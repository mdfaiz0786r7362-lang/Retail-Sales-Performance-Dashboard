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13_ncr:1_{2C2802B5-19B6-4041-929F-3EAA261F5F67}" xr6:coauthVersionLast="47" xr6:coauthVersionMax="47" xr10:uidLastSave="{00000000-0000-0000-0000-000000000000}"/>
  <bookViews>
    <workbookView xWindow="-108" yWindow="-108" windowWidth="23256" windowHeight="12456" activeTab="4" xr2:uid="{D3174B96-B874-4587-8FA6-17C658AECA05}"/>
  </bookViews>
  <sheets>
    <sheet name="Main Pivot" sheetId="10" r:id="rId1"/>
    <sheet name="Detail1" sheetId="20" r:id="rId2"/>
    <sheet name="Main pivot Final" sheetId="19" r:id="rId3"/>
    <sheet name="Main Data" sheetId="1" r:id="rId4"/>
    <sheet name="Pivot" sheetId="8" r:id="rId5"/>
    <sheet name="Sheet3" sheetId="23" r:id="rId6"/>
    <sheet name="Main Short Data" sheetId="2" r:id="rId7"/>
    <sheet name="Sheet1" sheetId="21" r:id="rId8"/>
    <sheet name="Sheet2" sheetId="22" r:id="rId9"/>
    <sheet name="Theory" sheetId="3" r:id="rId10"/>
  </sheets>
  <definedNames>
    <definedName name="_xlnm._FilterDatabase" localSheetId="3" hidden="1">'Main Data'!$A$1:$N$993</definedName>
    <definedName name="_xlchart.v1.0" hidden="1">'Main pivot Final'!$E$7:$F$18</definedName>
    <definedName name="_xlchart.v1.1" hidden="1">'Main pivot Final'!$G$6</definedName>
    <definedName name="_xlchart.v1.2" hidden="1">'Main pivot Final'!$G$7:$G$18</definedName>
    <definedName name="_xlchart.v5.3" hidden="1">'Main pivot Final'!$A$36</definedName>
    <definedName name="_xlchart.v5.4" hidden="1">'Main pivot Final'!$A$37:$A$57</definedName>
    <definedName name="_xlchart.v5.5" hidden="1">'Main pivot Final'!$B$36</definedName>
    <definedName name="_xlchart.v5.6" hidden="1">'Main pivot Final'!$B$37:$B$57</definedName>
    <definedName name="_xlnm.Print_Titles" localSheetId="2">'Main pivot Final'!$A:$A,'Main pivot Final'!$6:$6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93" i="1" l="1"/>
  <c r="M993" i="1" s="1"/>
  <c r="N993" i="1" s="1"/>
  <c r="K993" i="1"/>
  <c r="L992" i="1"/>
  <c r="M992" i="1" s="1"/>
  <c r="N992" i="1" s="1"/>
  <c r="K992" i="1"/>
  <c r="L991" i="1"/>
  <c r="M991" i="1" s="1"/>
  <c r="N991" i="1" s="1"/>
  <c r="K991" i="1"/>
  <c r="L990" i="1"/>
  <c r="M990" i="1" s="1"/>
  <c r="N990" i="1" s="1"/>
  <c r="K990" i="1"/>
  <c r="L989" i="1"/>
  <c r="M989" i="1" s="1"/>
  <c r="N989" i="1" s="1"/>
  <c r="K989" i="1"/>
  <c r="L988" i="1"/>
  <c r="M988" i="1" s="1"/>
  <c r="N988" i="1" s="1"/>
  <c r="K988" i="1"/>
  <c r="Q987" i="1"/>
  <c r="L987" i="1"/>
  <c r="K987" i="1"/>
  <c r="M987" i="1" s="1"/>
  <c r="N987" i="1" s="1"/>
  <c r="L986" i="1"/>
  <c r="M986" i="1" s="1"/>
  <c r="N986" i="1" s="1"/>
  <c r="K986" i="1"/>
  <c r="L985" i="1"/>
  <c r="M985" i="1" s="1"/>
  <c r="N985" i="1" s="1"/>
  <c r="K985" i="1"/>
  <c r="L984" i="1"/>
  <c r="M984" i="1" s="1"/>
  <c r="N984" i="1" s="1"/>
  <c r="K984" i="1"/>
  <c r="L983" i="1"/>
  <c r="K983" i="1"/>
  <c r="M983" i="1" s="1"/>
  <c r="N983" i="1" s="1"/>
  <c r="L982" i="1"/>
  <c r="M982" i="1" s="1"/>
  <c r="N982" i="1" s="1"/>
  <c r="K982" i="1"/>
  <c r="M981" i="1"/>
  <c r="N981" i="1" s="1"/>
  <c r="L981" i="1"/>
  <c r="K981" i="1"/>
  <c r="M980" i="1"/>
  <c r="N980" i="1" s="1"/>
  <c r="L980" i="1"/>
  <c r="K980" i="1"/>
  <c r="L979" i="1"/>
  <c r="M979" i="1" s="1"/>
  <c r="N979" i="1" s="1"/>
  <c r="K979" i="1"/>
  <c r="L978" i="1"/>
  <c r="M978" i="1" s="1"/>
  <c r="N978" i="1" s="1"/>
  <c r="K978" i="1"/>
  <c r="L977" i="1"/>
  <c r="M977" i="1" s="1"/>
  <c r="N977" i="1" s="1"/>
  <c r="K977" i="1"/>
  <c r="M976" i="1"/>
  <c r="N976" i="1" s="1"/>
  <c r="L976" i="1"/>
  <c r="K976" i="1"/>
  <c r="L975" i="1"/>
  <c r="K975" i="1"/>
  <c r="M975" i="1" s="1"/>
  <c r="N975" i="1" s="1"/>
  <c r="M974" i="1"/>
  <c r="N974" i="1" s="1"/>
  <c r="L974" i="1"/>
  <c r="K974" i="1"/>
  <c r="M973" i="1"/>
  <c r="N973" i="1" s="1"/>
  <c r="L973" i="1"/>
  <c r="K973" i="1"/>
  <c r="M972" i="1"/>
  <c r="N972" i="1" s="1"/>
  <c r="L972" i="1"/>
  <c r="K972" i="1"/>
  <c r="L971" i="1"/>
  <c r="M971" i="1" s="1"/>
  <c r="N971" i="1" s="1"/>
  <c r="K971" i="1"/>
  <c r="L970" i="1"/>
  <c r="M970" i="1" s="1"/>
  <c r="N970" i="1" s="1"/>
  <c r="K970" i="1"/>
  <c r="L969" i="1"/>
  <c r="M969" i="1" s="1"/>
  <c r="N969" i="1" s="1"/>
  <c r="K969" i="1"/>
  <c r="L968" i="1"/>
  <c r="K968" i="1"/>
  <c r="M968" i="1" s="1"/>
  <c r="N968" i="1" s="1"/>
  <c r="L967" i="1"/>
  <c r="M967" i="1" s="1"/>
  <c r="N967" i="1" s="1"/>
  <c r="K967" i="1"/>
  <c r="M966" i="1"/>
  <c r="N966" i="1" s="1"/>
  <c r="L966" i="1"/>
  <c r="K966" i="1"/>
  <c r="M965" i="1"/>
  <c r="N965" i="1" s="1"/>
  <c r="L965" i="1"/>
  <c r="K965" i="1"/>
  <c r="M964" i="1"/>
  <c r="N964" i="1" s="1"/>
  <c r="L964" i="1"/>
  <c r="K964" i="1"/>
  <c r="L963" i="1"/>
  <c r="M963" i="1" s="1"/>
  <c r="N963" i="1" s="1"/>
  <c r="K963" i="1"/>
  <c r="L962" i="1"/>
  <c r="M962" i="1" s="1"/>
  <c r="N962" i="1" s="1"/>
  <c r="K962" i="1"/>
  <c r="L961" i="1"/>
  <c r="K961" i="1"/>
  <c r="M961" i="1" s="1"/>
  <c r="N961" i="1" s="1"/>
  <c r="M960" i="1"/>
  <c r="N960" i="1" s="1"/>
  <c r="L960" i="1"/>
  <c r="K960" i="1"/>
  <c r="L959" i="1"/>
  <c r="M959" i="1" s="1"/>
  <c r="N959" i="1" s="1"/>
  <c r="K959" i="1"/>
  <c r="L958" i="1"/>
  <c r="M958" i="1" s="1"/>
  <c r="N958" i="1" s="1"/>
  <c r="K958" i="1"/>
  <c r="L957" i="1"/>
  <c r="M957" i="1" s="1"/>
  <c r="N957" i="1" s="1"/>
  <c r="K957" i="1"/>
  <c r="L956" i="1"/>
  <c r="K956" i="1"/>
  <c r="M956" i="1" s="1"/>
  <c r="N956" i="1" s="1"/>
  <c r="L955" i="1"/>
  <c r="M955" i="1" s="1"/>
  <c r="N955" i="1" s="1"/>
  <c r="K955" i="1"/>
  <c r="L954" i="1"/>
  <c r="K954" i="1"/>
  <c r="M954" i="1" s="1"/>
  <c r="N954" i="1" s="1"/>
  <c r="L953" i="1"/>
  <c r="M953" i="1" s="1"/>
  <c r="N953" i="1" s="1"/>
  <c r="K953" i="1"/>
  <c r="L952" i="1"/>
  <c r="M952" i="1" s="1"/>
  <c r="N952" i="1" s="1"/>
  <c r="K952" i="1"/>
  <c r="L951" i="1"/>
  <c r="K951" i="1"/>
  <c r="N950" i="1"/>
  <c r="L950" i="1"/>
  <c r="K950" i="1"/>
  <c r="M950" i="1" s="1"/>
  <c r="L949" i="1"/>
  <c r="M949" i="1" s="1"/>
  <c r="N949" i="1" s="1"/>
  <c r="K949" i="1"/>
  <c r="L948" i="1"/>
  <c r="M948" i="1" s="1"/>
  <c r="N948" i="1" s="1"/>
  <c r="K948" i="1"/>
  <c r="L947" i="1"/>
  <c r="M947" i="1" s="1"/>
  <c r="N947" i="1" s="1"/>
  <c r="K947" i="1"/>
  <c r="L946" i="1"/>
  <c r="K946" i="1"/>
  <c r="L945" i="1"/>
  <c r="M945" i="1" s="1"/>
  <c r="N945" i="1" s="1"/>
  <c r="K945" i="1"/>
  <c r="L944" i="1"/>
  <c r="M944" i="1" s="1"/>
  <c r="N944" i="1" s="1"/>
  <c r="K944" i="1"/>
  <c r="M943" i="1"/>
  <c r="N943" i="1" s="1"/>
  <c r="L943" i="1"/>
  <c r="K943" i="1"/>
  <c r="N942" i="1"/>
  <c r="M942" i="1"/>
  <c r="L942" i="1"/>
  <c r="K942" i="1"/>
  <c r="L941" i="1"/>
  <c r="M941" i="1" s="1"/>
  <c r="N941" i="1" s="1"/>
  <c r="K941" i="1"/>
  <c r="L940" i="1"/>
  <c r="K940" i="1"/>
  <c r="M940" i="1" s="1"/>
  <c r="N940" i="1" s="1"/>
  <c r="L939" i="1"/>
  <c r="K939" i="1"/>
  <c r="L938" i="1"/>
  <c r="M938" i="1" s="1"/>
  <c r="N938" i="1" s="1"/>
  <c r="K938" i="1"/>
  <c r="L937" i="1"/>
  <c r="K937" i="1"/>
  <c r="M937" i="1" s="1"/>
  <c r="N937" i="1" s="1"/>
  <c r="M936" i="1"/>
  <c r="N936" i="1" s="1"/>
  <c r="L936" i="1"/>
  <c r="K936" i="1"/>
  <c r="M935" i="1"/>
  <c r="N935" i="1" s="1"/>
  <c r="L935" i="1"/>
  <c r="K935" i="1"/>
  <c r="L934" i="1"/>
  <c r="M934" i="1" s="1"/>
  <c r="N934" i="1" s="1"/>
  <c r="K934" i="1"/>
  <c r="L933" i="1"/>
  <c r="M933" i="1" s="1"/>
  <c r="N933" i="1" s="1"/>
  <c r="K933" i="1"/>
  <c r="N932" i="1"/>
  <c r="L932" i="1"/>
  <c r="M932" i="1" s="1"/>
  <c r="K932" i="1"/>
  <c r="L931" i="1"/>
  <c r="M931" i="1" s="1"/>
  <c r="N931" i="1" s="1"/>
  <c r="K931" i="1"/>
  <c r="L930" i="1"/>
  <c r="K930" i="1"/>
  <c r="M930" i="1" s="1"/>
  <c r="N930" i="1" s="1"/>
  <c r="L929" i="1"/>
  <c r="M929" i="1" s="1"/>
  <c r="N929" i="1" s="1"/>
  <c r="K929" i="1"/>
  <c r="L928" i="1"/>
  <c r="M928" i="1" s="1"/>
  <c r="N928" i="1" s="1"/>
  <c r="K928" i="1"/>
  <c r="L927" i="1"/>
  <c r="M927" i="1" s="1"/>
  <c r="N927" i="1" s="1"/>
  <c r="K927" i="1"/>
  <c r="L926" i="1"/>
  <c r="K926" i="1"/>
  <c r="M926" i="1" s="1"/>
  <c r="N926" i="1" s="1"/>
  <c r="M925" i="1"/>
  <c r="N925" i="1" s="1"/>
  <c r="L925" i="1"/>
  <c r="K925" i="1"/>
  <c r="L924" i="1"/>
  <c r="K924" i="1"/>
  <c r="M924" i="1" s="1"/>
  <c r="N924" i="1" s="1"/>
  <c r="L923" i="1"/>
  <c r="K923" i="1"/>
  <c r="L922" i="1"/>
  <c r="M922" i="1" s="1"/>
  <c r="N922" i="1" s="1"/>
  <c r="K922" i="1"/>
  <c r="M921" i="1"/>
  <c r="N921" i="1" s="1"/>
  <c r="L921" i="1"/>
  <c r="K921" i="1"/>
  <c r="L920" i="1"/>
  <c r="M920" i="1" s="1"/>
  <c r="N920" i="1" s="1"/>
  <c r="K920" i="1"/>
  <c r="L919" i="1"/>
  <c r="K919" i="1"/>
  <c r="M919" i="1" s="1"/>
  <c r="N919" i="1" s="1"/>
  <c r="L918" i="1"/>
  <c r="M918" i="1" s="1"/>
  <c r="N918" i="1" s="1"/>
  <c r="K918" i="1"/>
  <c r="L917" i="1"/>
  <c r="M917" i="1" s="1"/>
  <c r="N917" i="1" s="1"/>
  <c r="K917" i="1"/>
  <c r="L916" i="1"/>
  <c r="M916" i="1" s="1"/>
  <c r="N916" i="1" s="1"/>
  <c r="K916" i="1"/>
  <c r="L915" i="1"/>
  <c r="M915" i="1" s="1"/>
  <c r="N915" i="1" s="1"/>
  <c r="K915" i="1"/>
  <c r="L914" i="1"/>
  <c r="M914" i="1" s="1"/>
  <c r="N914" i="1" s="1"/>
  <c r="K914" i="1"/>
  <c r="M913" i="1"/>
  <c r="N913" i="1" s="1"/>
  <c r="L913" i="1"/>
  <c r="K913" i="1"/>
  <c r="L912" i="1"/>
  <c r="M912" i="1" s="1"/>
  <c r="N912" i="1" s="1"/>
  <c r="K912" i="1"/>
  <c r="M911" i="1"/>
  <c r="N911" i="1" s="1"/>
  <c r="L911" i="1"/>
  <c r="K911" i="1"/>
  <c r="L910" i="1"/>
  <c r="M910" i="1" s="1"/>
  <c r="N910" i="1" s="1"/>
  <c r="K910" i="1"/>
  <c r="L909" i="1"/>
  <c r="K909" i="1"/>
  <c r="L908" i="1"/>
  <c r="K908" i="1"/>
  <c r="M908" i="1" s="1"/>
  <c r="N908" i="1" s="1"/>
  <c r="M907" i="1"/>
  <c r="N907" i="1" s="1"/>
  <c r="L907" i="1"/>
  <c r="K907" i="1"/>
  <c r="L906" i="1"/>
  <c r="K906" i="1"/>
  <c r="M906" i="1" s="1"/>
  <c r="N906" i="1" s="1"/>
  <c r="L905" i="1"/>
  <c r="M905" i="1" s="1"/>
  <c r="N905" i="1" s="1"/>
  <c r="K905" i="1"/>
  <c r="L904" i="1"/>
  <c r="M904" i="1" s="1"/>
  <c r="N904" i="1" s="1"/>
  <c r="K904" i="1"/>
  <c r="L903" i="1"/>
  <c r="K903" i="1"/>
  <c r="L902" i="1"/>
  <c r="K902" i="1"/>
  <c r="L901" i="1"/>
  <c r="M901" i="1" s="1"/>
  <c r="N901" i="1" s="1"/>
  <c r="K901" i="1"/>
  <c r="M900" i="1"/>
  <c r="N900" i="1" s="1"/>
  <c r="L900" i="1"/>
  <c r="K900" i="1"/>
  <c r="M899" i="1"/>
  <c r="N899" i="1" s="1"/>
  <c r="L899" i="1"/>
  <c r="K899" i="1"/>
  <c r="N898" i="1"/>
  <c r="M898" i="1"/>
  <c r="L898" i="1"/>
  <c r="K898" i="1"/>
  <c r="M897" i="1"/>
  <c r="N897" i="1" s="1"/>
  <c r="L897" i="1"/>
  <c r="K897" i="1"/>
  <c r="M896" i="1"/>
  <c r="N896" i="1" s="1"/>
  <c r="L896" i="1"/>
  <c r="K896" i="1"/>
  <c r="L895" i="1"/>
  <c r="M895" i="1" s="1"/>
  <c r="N895" i="1" s="1"/>
  <c r="K895" i="1"/>
  <c r="M894" i="1"/>
  <c r="N894" i="1" s="1"/>
  <c r="L894" i="1"/>
  <c r="K894" i="1"/>
  <c r="L893" i="1"/>
  <c r="K893" i="1"/>
  <c r="M893" i="1" s="1"/>
  <c r="N893" i="1" s="1"/>
  <c r="L892" i="1"/>
  <c r="M892" i="1" s="1"/>
  <c r="N892" i="1" s="1"/>
  <c r="K892" i="1"/>
  <c r="L891" i="1"/>
  <c r="K891" i="1"/>
  <c r="M891" i="1" s="1"/>
  <c r="N891" i="1" s="1"/>
  <c r="L890" i="1"/>
  <c r="M890" i="1" s="1"/>
  <c r="N890" i="1" s="1"/>
  <c r="K890" i="1"/>
  <c r="M889" i="1"/>
  <c r="N889" i="1" s="1"/>
  <c r="L889" i="1"/>
  <c r="K889" i="1"/>
  <c r="L888" i="1"/>
  <c r="M888" i="1" s="1"/>
  <c r="N888" i="1" s="1"/>
  <c r="K888" i="1"/>
  <c r="M887" i="1"/>
  <c r="N887" i="1" s="1"/>
  <c r="L887" i="1"/>
  <c r="K887" i="1"/>
  <c r="L886" i="1"/>
  <c r="K886" i="1"/>
  <c r="M886" i="1" s="1"/>
  <c r="N886" i="1" s="1"/>
  <c r="M885" i="1"/>
  <c r="N885" i="1" s="1"/>
  <c r="L885" i="1"/>
  <c r="K885" i="1"/>
  <c r="L884" i="1"/>
  <c r="K884" i="1"/>
  <c r="M884" i="1" s="1"/>
  <c r="N884" i="1" s="1"/>
  <c r="M883" i="1"/>
  <c r="N883" i="1" s="1"/>
  <c r="L883" i="1"/>
  <c r="K883" i="1"/>
  <c r="N882" i="1"/>
  <c r="L882" i="1"/>
  <c r="K882" i="1"/>
  <c r="M882" i="1" s="1"/>
  <c r="L881" i="1"/>
  <c r="M881" i="1" s="1"/>
  <c r="N881" i="1" s="1"/>
  <c r="K881" i="1"/>
  <c r="L880" i="1"/>
  <c r="M880" i="1" s="1"/>
  <c r="N880" i="1" s="1"/>
  <c r="K880" i="1"/>
  <c r="L879" i="1"/>
  <c r="M879" i="1" s="1"/>
  <c r="N879" i="1" s="1"/>
  <c r="K879" i="1"/>
  <c r="L878" i="1"/>
  <c r="K878" i="1"/>
  <c r="M878" i="1" s="1"/>
  <c r="N878" i="1" s="1"/>
  <c r="L877" i="1"/>
  <c r="M877" i="1" s="1"/>
  <c r="N877" i="1" s="1"/>
  <c r="K877" i="1"/>
  <c r="M876" i="1"/>
  <c r="N876" i="1" s="1"/>
  <c r="L876" i="1"/>
  <c r="K876" i="1"/>
  <c r="M875" i="1"/>
  <c r="N875" i="1" s="1"/>
  <c r="L875" i="1"/>
  <c r="K875" i="1"/>
  <c r="L874" i="1"/>
  <c r="M874" i="1" s="1"/>
  <c r="N874" i="1" s="1"/>
  <c r="K874" i="1"/>
  <c r="L873" i="1"/>
  <c r="M873" i="1" s="1"/>
  <c r="N873" i="1" s="1"/>
  <c r="K873" i="1"/>
  <c r="N872" i="1"/>
  <c r="M872" i="1"/>
  <c r="L872" i="1"/>
  <c r="K872" i="1"/>
  <c r="L871" i="1"/>
  <c r="K871" i="1"/>
  <c r="M871" i="1" s="1"/>
  <c r="N871" i="1" s="1"/>
  <c r="L870" i="1"/>
  <c r="K870" i="1"/>
  <c r="M870" i="1" s="1"/>
  <c r="N870" i="1" s="1"/>
  <c r="M869" i="1"/>
  <c r="N869" i="1" s="1"/>
  <c r="L869" i="1"/>
  <c r="K869" i="1"/>
  <c r="N868" i="1"/>
  <c r="L868" i="1"/>
  <c r="K868" i="1"/>
  <c r="M868" i="1" s="1"/>
  <c r="M867" i="1"/>
  <c r="N867" i="1" s="1"/>
  <c r="L867" i="1"/>
  <c r="K867" i="1"/>
  <c r="M866" i="1"/>
  <c r="N866" i="1" s="1"/>
  <c r="L866" i="1"/>
  <c r="K866" i="1"/>
  <c r="L865" i="1"/>
  <c r="K865" i="1"/>
  <c r="M865" i="1" s="1"/>
  <c r="N865" i="1" s="1"/>
  <c r="L864" i="1"/>
  <c r="K864" i="1"/>
  <c r="M864" i="1" s="1"/>
  <c r="N864" i="1" s="1"/>
  <c r="L863" i="1"/>
  <c r="M863" i="1" s="1"/>
  <c r="N863" i="1" s="1"/>
  <c r="K863" i="1"/>
  <c r="M862" i="1"/>
  <c r="N862" i="1" s="1"/>
  <c r="L862" i="1"/>
  <c r="K862" i="1"/>
  <c r="M861" i="1"/>
  <c r="N861" i="1" s="1"/>
  <c r="L861" i="1"/>
  <c r="K861" i="1"/>
  <c r="M860" i="1"/>
  <c r="N860" i="1" s="1"/>
  <c r="L860" i="1"/>
  <c r="K860" i="1"/>
  <c r="N859" i="1"/>
  <c r="M859" i="1"/>
  <c r="L859" i="1"/>
  <c r="K859" i="1"/>
  <c r="L858" i="1"/>
  <c r="K858" i="1"/>
  <c r="M858" i="1" s="1"/>
  <c r="N858" i="1" s="1"/>
  <c r="L857" i="1"/>
  <c r="K857" i="1"/>
  <c r="M857" i="1" s="1"/>
  <c r="N857" i="1" s="1"/>
  <c r="M856" i="1"/>
  <c r="N856" i="1" s="1"/>
  <c r="L856" i="1"/>
  <c r="K856" i="1"/>
  <c r="M855" i="1"/>
  <c r="N855" i="1" s="1"/>
  <c r="L855" i="1"/>
  <c r="K855" i="1"/>
  <c r="L854" i="1"/>
  <c r="K854" i="1"/>
  <c r="M854" i="1" s="1"/>
  <c r="N854" i="1" s="1"/>
  <c r="L853" i="1"/>
  <c r="M853" i="1" s="1"/>
  <c r="N853" i="1" s="1"/>
  <c r="K853" i="1"/>
  <c r="N852" i="1"/>
  <c r="L852" i="1"/>
  <c r="K852" i="1"/>
  <c r="M852" i="1" s="1"/>
  <c r="L851" i="1"/>
  <c r="M851" i="1" s="1"/>
  <c r="N851" i="1" s="1"/>
  <c r="K851" i="1"/>
  <c r="L850" i="1"/>
  <c r="K850" i="1"/>
  <c r="M850" i="1" s="1"/>
  <c r="N850" i="1" s="1"/>
  <c r="L849" i="1"/>
  <c r="M849" i="1" s="1"/>
  <c r="N849" i="1" s="1"/>
  <c r="K849" i="1"/>
  <c r="M848" i="1"/>
  <c r="N848" i="1" s="1"/>
  <c r="L848" i="1"/>
  <c r="K848" i="1"/>
  <c r="L847" i="1"/>
  <c r="K847" i="1"/>
  <c r="M847" i="1" s="1"/>
  <c r="N847" i="1" s="1"/>
  <c r="L846" i="1"/>
  <c r="M846" i="1" s="1"/>
  <c r="N846" i="1" s="1"/>
  <c r="K846" i="1"/>
  <c r="L845" i="1"/>
  <c r="M845" i="1" s="1"/>
  <c r="N845" i="1" s="1"/>
  <c r="K845" i="1"/>
  <c r="L844" i="1"/>
  <c r="K844" i="1"/>
  <c r="M844" i="1" s="1"/>
  <c r="N844" i="1" s="1"/>
  <c r="L843" i="1"/>
  <c r="K843" i="1"/>
  <c r="M843" i="1" s="1"/>
  <c r="N843" i="1" s="1"/>
  <c r="M842" i="1"/>
  <c r="N842" i="1" s="1"/>
  <c r="L842" i="1"/>
  <c r="K842" i="1"/>
  <c r="L841" i="1"/>
  <c r="M841" i="1" s="1"/>
  <c r="N841" i="1" s="1"/>
  <c r="K841" i="1"/>
  <c r="L840" i="1"/>
  <c r="K840" i="1"/>
  <c r="M839" i="1"/>
  <c r="N839" i="1" s="1"/>
  <c r="L839" i="1"/>
  <c r="K839" i="1"/>
  <c r="L838" i="1"/>
  <c r="M838" i="1" s="1"/>
  <c r="N838" i="1" s="1"/>
  <c r="K838" i="1"/>
  <c r="L837" i="1"/>
  <c r="K837" i="1"/>
  <c r="M837" i="1" s="1"/>
  <c r="N837" i="1" s="1"/>
  <c r="L836" i="1"/>
  <c r="M836" i="1" s="1"/>
  <c r="N836" i="1" s="1"/>
  <c r="K836" i="1"/>
  <c r="L835" i="1"/>
  <c r="K835" i="1"/>
  <c r="L834" i="1"/>
  <c r="M834" i="1" s="1"/>
  <c r="N834" i="1" s="1"/>
  <c r="K834" i="1"/>
  <c r="L833" i="1"/>
  <c r="K833" i="1"/>
  <c r="L832" i="1"/>
  <c r="M832" i="1" s="1"/>
  <c r="N832" i="1" s="1"/>
  <c r="K832" i="1"/>
  <c r="L831" i="1"/>
  <c r="M831" i="1" s="1"/>
  <c r="N831" i="1" s="1"/>
  <c r="K831" i="1"/>
  <c r="L830" i="1"/>
  <c r="K830" i="1"/>
  <c r="M830" i="1" s="1"/>
  <c r="N830" i="1" s="1"/>
  <c r="L829" i="1"/>
  <c r="M829" i="1" s="1"/>
  <c r="N829" i="1" s="1"/>
  <c r="K829" i="1"/>
  <c r="L828" i="1"/>
  <c r="M828" i="1" s="1"/>
  <c r="N828" i="1" s="1"/>
  <c r="K828" i="1"/>
  <c r="L827" i="1"/>
  <c r="K827" i="1"/>
  <c r="N826" i="1"/>
  <c r="M826" i="1"/>
  <c r="L826" i="1"/>
  <c r="K826" i="1"/>
  <c r="M825" i="1"/>
  <c r="N825" i="1" s="1"/>
  <c r="L825" i="1"/>
  <c r="K825" i="1"/>
  <c r="M824" i="1"/>
  <c r="N824" i="1" s="1"/>
  <c r="L824" i="1"/>
  <c r="K824" i="1"/>
  <c r="M823" i="1"/>
  <c r="N823" i="1" s="1"/>
  <c r="L823" i="1"/>
  <c r="K823" i="1"/>
  <c r="L822" i="1"/>
  <c r="M822" i="1" s="1"/>
  <c r="N822" i="1" s="1"/>
  <c r="K822" i="1"/>
  <c r="M821" i="1"/>
  <c r="N821" i="1" s="1"/>
  <c r="L821" i="1"/>
  <c r="K821" i="1"/>
  <c r="M820" i="1"/>
  <c r="N820" i="1" s="1"/>
  <c r="L820" i="1"/>
  <c r="K820" i="1"/>
  <c r="L819" i="1"/>
  <c r="K819" i="1"/>
  <c r="M819" i="1" s="1"/>
  <c r="N819" i="1" s="1"/>
  <c r="L818" i="1"/>
  <c r="M818" i="1" s="1"/>
  <c r="N818" i="1" s="1"/>
  <c r="K818" i="1"/>
  <c r="M817" i="1"/>
  <c r="N817" i="1" s="1"/>
  <c r="L817" i="1"/>
  <c r="K817" i="1"/>
  <c r="M816" i="1"/>
  <c r="N816" i="1" s="1"/>
  <c r="L816" i="1"/>
  <c r="K816" i="1"/>
  <c r="L815" i="1"/>
  <c r="K815" i="1"/>
  <c r="M815" i="1" s="1"/>
  <c r="N815" i="1" s="1"/>
  <c r="M814" i="1"/>
  <c r="N814" i="1" s="1"/>
  <c r="L814" i="1"/>
  <c r="K814" i="1"/>
  <c r="L813" i="1"/>
  <c r="M813" i="1" s="1"/>
  <c r="N813" i="1" s="1"/>
  <c r="K813" i="1"/>
  <c r="L812" i="1"/>
  <c r="K812" i="1"/>
  <c r="M812" i="1" s="1"/>
  <c r="N812" i="1" s="1"/>
  <c r="M811" i="1"/>
  <c r="N811" i="1" s="1"/>
  <c r="L811" i="1"/>
  <c r="K811" i="1"/>
  <c r="M810" i="1"/>
  <c r="N810" i="1" s="1"/>
  <c r="L810" i="1"/>
  <c r="K810" i="1"/>
  <c r="M809" i="1"/>
  <c r="N809" i="1" s="1"/>
  <c r="L809" i="1"/>
  <c r="K809" i="1"/>
  <c r="L808" i="1"/>
  <c r="M808" i="1" s="1"/>
  <c r="N808" i="1" s="1"/>
  <c r="K808" i="1"/>
  <c r="M807" i="1"/>
  <c r="N807" i="1" s="1"/>
  <c r="L807" i="1"/>
  <c r="K807" i="1"/>
  <c r="L806" i="1"/>
  <c r="K806" i="1"/>
  <c r="M806" i="1" s="1"/>
  <c r="N806" i="1" s="1"/>
  <c r="L805" i="1"/>
  <c r="M805" i="1" s="1"/>
  <c r="N805" i="1" s="1"/>
  <c r="K805" i="1"/>
  <c r="N804" i="1"/>
  <c r="M804" i="1"/>
  <c r="L804" i="1"/>
  <c r="K804" i="1"/>
  <c r="L803" i="1"/>
  <c r="M803" i="1" s="1"/>
  <c r="N803" i="1" s="1"/>
  <c r="K803" i="1"/>
  <c r="M802" i="1"/>
  <c r="N802" i="1" s="1"/>
  <c r="L802" i="1"/>
  <c r="K802" i="1"/>
  <c r="L801" i="1"/>
  <c r="K801" i="1"/>
  <c r="M801" i="1" s="1"/>
  <c r="N801" i="1" s="1"/>
  <c r="L800" i="1"/>
  <c r="M800" i="1" s="1"/>
  <c r="N800" i="1" s="1"/>
  <c r="K800" i="1"/>
  <c r="L799" i="1"/>
  <c r="K799" i="1"/>
  <c r="M799" i="1" s="1"/>
  <c r="N799" i="1" s="1"/>
  <c r="M798" i="1"/>
  <c r="N798" i="1" s="1"/>
  <c r="L798" i="1"/>
  <c r="K798" i="1"/>
  <c r="L797" i="1"/>
  <c r="M797" i="1" s="1"/>
  <c r="N797" i="1" s="1"/>
  <c r="K797" i="1"/>
  <c r="M796" i="1"/>
  <c r="N796" i="1" s="1"/>
  <c r="L796" i="1"/>
  <c r="K796" i="1"/>
  <c r="M795" i="1"/>
  <c r="N795" i="1" s="1"/>
  <c r="L795" i="1"/>
  <c r="K795" i="1"/>
  <c r="L794" i="1"/>
  <c r="M794" i="1" s="1"/>
  <c r="N794" i="1" s="1"/>
  <c r="K794" i="1"/>
  <c r="N793" i="1"/>
  <c r="L793" i="1"/>
  <c r="K793" i="1"/>
  <c r="M793" i="1" s="1"/>
  <c r="L792" i="1"/>
  <c r="M792" i="1" s="1"/>
  <c r="N792" i="1" s="1"/>
  <c r="K792" i="1"/>
  <c r="L791" i="1"/>
  <c r="K791" i="1"/>
  <c r="M790" i="1"/>
  <c r="N790" i="1" s="1"/>
  <c r="L790" i="1"/>
  <c r="K790" i="1"/>
  <c r="L789" i="1"/>
  <c r="M789" i="1" s="1"/>
  <c r="N789" i="1" s="1"/>
  <c r="K789" i="1"/>
  <c r="M788" i="1"/>
  <c r="N788" i="1" s="1"/>
  <c r="L788" i="1"/>
  <c r="K788" i="1"/>
  <c r="L787" i="1"/>
  <c r="M787" i="1" s="1"/>
  <c r="N787" i="1" s="1"/>
  <c r="K787" i="1"/>
  <c r="M786" i="1"/>
  <c r="N786" i="1" s="1"/>
  <c r="L786" i="1"/>
  <c r="K786" i="1"/>
  <c r="L785" i="1"/>
  <c r="M785" i="1" s="1"/>
  <c r="N785" i="1" s="1"/>
  <c r="K785" i="1"/>
  <c r="L784" i="1"/>
  <c r="K784" i="1"/>
  <c r="L783" i="1"/>
  <c r="M783" i="1" s="1"/>
  <c r="N783" i="1" s="1"/>
  <c r="K783" i="1"/>
  <c r="N782" i="1"/>
  <c r="M782" i="1"/>
  <c r="L782" i="1"/>
  <c r="K782" i="1"/>
  <c r="L781" i="1"/>
  <c r="K781" i="1"/>
  <c r="M781" i="1" s="1"/>
  <c r="N781" i="1" s="1"/>
  <c r="L780" i="1"/>
  <c r="K780" i="1"/>
  <c r="M780" i="1" s="1"/>
  <c r="N780" i="1" s="1"/>
  <c r="L779" i="1"/>
  <c r="M779" i="1" s="1"/>
  <c r="N779" i="1" s="1"/>
  <c r="K779" i="1"/>
  <c r="L778" i="1"/>
  <c r="M778" i="1" s="1"/>
  <c r="N778" i="1" s="1"/>
  <c r="K778" i="1"/>
  <c r="L777" i="1"/>
  <c r="K777" i="1"/>
  <c r="M776" i="1"/>
  <c r="N776" i="1" s="1"/>
  <c r="L776" i="1"/>
  <c r="K776" i="1"/>
  <c r="M775" i="1"/>
  <c r="N775" i="1" s="1"/>
  <c r="L775" i="1"/>
  <c r="K775" i="1"/>
  <c r="N774" i="1"/>
  <c r="M774" i="1"/>
  <c r="L774" i="1"/>
  <c r="K774" i="1"/>
  <c r="L773" i="1"/>
  <c r="M773" i="1" s="1"/>
  <c r="N773" i="1" s="1"/>
  <c r="K773" i="1"/>
  <c r="L772" i="1"/>
  <c r="M772" i="1" s="1"/>
  <c r="N772" i="1" s="1"/>
  <c r="K772" i="1"/>
  <c r="L771" i="1"/>
  <c r="M771" i="1" s="1"/>
  <c r="N771" i="1" s="1"/>
  <c r="K771" i="1"/>
  <c r="L770" i="1"/>
  <c r="M770" i="1" s="1"/>
  <c r="N770" i="1" s="1"/>
  <c r="K770" i="1"/>
  <c r="L769" i="1"/>
  <c r="M769" i="1" s="1"/>
  <c r="N769" i="1" s="1"/>
  <c r="K769" i="1"/>
  <c r="L768" i="1"/>
  <c r="K768" i="1"/>
  <c r="M768" i="1" s="1"/>
  <c r="N768" i="1" s="1"/>
  <c r="M767" i="1"/>
  <c r="N767" i="1" s="1"/>
  <c r="L767" i="1"/>
  <c r="K767" i="1"/>
  <c r="L766" i="1"/>
  <c r="M766" i="1" s="1"/>
  <c r="N766" i="1" s="1"/>
  <c r="K766" i="1"/>
  <c r="M765" i="1"/>
  <c r="N765" i="1" s="1"/>
  <c r="L765" i="1"/>
  <c r="K765" i="1"/>
  <c r="M764" i="1"/>
  <c r="N764" i="1" s="1"/>
  <c r="L764" i="1"/>
  <c r="K764" i="1"/>
  <c r="M763" i="1"/>
  <c r="N763" i="1" s="1"/>
  <c r="L763" i="1"/>
  <c r="K763" i="1"/>
  <c r="N762" i="1"/>
  <c r="M762" i="1"/>
  <c r="L762" i="1"/>
  <c r="K762" i="1"/>
  <c r="L761" i="1"/>
  <c r="K761" i="1"/>
  <c r="M761" i="1" s="1"/>
  <c r="N761" i="1" s="1"/>
  <c r="L760" i="1"/>
  <c r="M760" i="1" s="1"/>
  <c r="N760" i="1" s="1"/>
  <c r="K760" i="1"/>
  <c r="L759" i="1"/>
  <c r="K759" i="1"/>
  <c r="M759" i="1" s="1"/>
  <c r="N759" i="1" s="1"/>
  <c r="M758" i="1"/>
  <c r="N758" i="1" s="1"/>
  <c r="L758" i="1"/>
  <c r="K758" i="1"/>
  <c r="M757" i="1"/>
  <c r="N757" i="1" s="1"/>
  <c r="L757" i="1"/>
  <c r="K757" i="1"/>
  <c r="N756" i="1"/>
  <c r="M756" i="1"/>
  <c r="L756" i="1"/>
  <c r="K756" i="1"/>
  <c r="L755" i="1"/>
  <c r="M755" i="1" s="1"/>
  <c r="N755" i="1" s="1"/>
  <c r="K755" i="1"/>
  <c r="N754" i="1"/>
  <c r="M754" i="1"/>
  <c r="L754" i="1"/>
  <c r="K754" i="1"/>
  <c r="L753" i="1"/>
  <c r="K753" i="1"/>
  <c r="M753" i="1" s="1"/>
  <c r="N753" i="1" s="1"/>
  <c r="M752" i="1"/>
  <c r="N752" i="1" s="1"/>
  <c r="L752" i="1"/>
  <c r="K752" i="1"/>
  <c r="L751" i="1"/>
  <c r="K751" i="1"/>
  <c r="L750" i="1"/>
  <c r="K750" i="1"/>
  <c r="L749" i="1"/>
  <c r="M749" i="1" s="1"/>
  <c r="N749" i="1" s="1"/>
  <c r="K749" i="1"/>
  <c r="N748" i="1"/>
  <c r="M748" i="1"/>
  <c r="L748" i="1"/>
  <c r="K748" i="1"/>
  <c r="L747" i="1"/>
  <c r="K747" i="1"/>
  <c r="M747" i="1" s="1"/>
  <c r="N747" i="1" s="1"/>
  <c r="L746" i="1"/>
  <c r="K746" i="1"/>
  <c r="M746" i="1" s="1"/>
  <c r="N746" i="1" s="1"/>
  <c r="M745" i="1"/>
  <c r="N745" i="1" s="1"/>
  <c r="L745" i="1"/>
  <c r="K745" i="1"/>
  <c r="L744" i="1"/>
  <c r="K744" i="1"/>
  <c r="L743" i="1"/>
  <c r="K743" i="1"/>
  <c r="M743" i="1" s="1"/>
  <c r="N743" i="1" s="1"/>
  <c r="L742" i="1"/>
  <c r="M742" i="1" s="1"/>
  <c r="N742" i="1" s="1"/>
  <c r="K742" i="1"/>
  <c r="L741" i="1"/>
  <c r="M741" i="1" s="1"/>
  <c r="N741" i="1" s="1"/>
  <c r="K741" i="1"/>
  <c r="L740" i="1"/>
  <c r="K740" i="1"/>
  <c r="M740" i="1" s="1"/>
  <c r="N740" i="1" s="1"/>
  <c r="L739" i="1"/>
  <c r="M739" i="1" s="1"/>
  <c r="N739" i="1" s="1"/>
  <c r="K739" i="1"/>
  <c r="L738" i="1"/>
  <c r="K738" i="1"/>
  <c r="L737" i="1"/>
  <c r="M737" i="1" s="1"/>
  <c r="N737" i="1" s="1"/>
  <c r="K737" i="1"/>
  <c r="L736" i="1"/>
  <c r="M736" i="1" s="1"/>
  <c r="N736" i="1" s="1"/>
  <c r="K736" i="1"/>
  <c r="L735" i="1"/>
  <c r="M735" i="1" s="1"/>
  <c r="N735" i="1" s="1"/>
  <c r="K735" i="1"/>
  <c r="N734" i="1"/>
  <c r="L734" i="1"/>
  <c r="K734" i="1"/>
  <c r="M734" i="1" s="1"/>
  <c r="L733" i="1"/>
  <c r="K733" i="1"/>
  <c r="M733" i="1" s="1"/>
  <c r="N733" i="1" s="1"/>
  <c r="L732" i="1"/>
  <c r="M732" i="1" s="1"/>
  <c r="N732" i="1" s="1"/>
  <c r="K732" i="1"/>
  <c r="L731" i="1"/>
  <c r="K731" i="1"/>
  <c r="M731" i="1" s="1"/>
  <c r="N731" i="1" s="1"/>
  <c r="L730" i="1"/>
  <c r="M730" i="1" s="1"/>
  <c r="N730" i="1" s="1"/>
  <c r="K730" i="1"/>
  <c r="L729" i="1"/>
  <c r="K729" i="1"/>
  <c r="M729" i="1" s="1"/>
  <c r="N729" i="1" s="1"/>
  <c r="M728" i="1"/>
  <c r="N728" i="1" s="1"/>
  <c r="L728" i="1"/>
  <c r="K728" i="1"/>
  <c r="M727" i="1"/>
  <c r="N727" i="1" s="1"/>
  <c r="L727" i="1"/>
  <c r="K727" i="1"/>
  <c r="L726" i="1"/>
  <c r="M726" i="1" s="1"/>
  <c r="N726" i="1" s="1"/>
  <c r="K726" i="1"/>
  <c r="L725" i="1"/>
  <c r="M725" i="1" s="1"/>
  <c r="N725" i="1" s="1"/>
  <c r="K725" i="1"/>
  <c r="L724" i="1"/>
  <c r="K724" i="1"/>
  <c r="L723" i="1"/>
  <c r="M723" i="1" s="1"/>
  <c r="N723" i="1" s="1"/>
  <c r="K723" i="1"/>
  <c r="L722" i="1"/>
  <c r="K722" i="1"/>
  <c r="N721" i="1"/>
  <c r="L721" i="1"/>
  <c r="K721" i="1"/>
  <c r="M721" i="1" s="1"/>
  <c r="M720" i="1"/>
  <c r="N720" i="1" s="1"/>
  <c r="L720" i="1"/>
  <c r="K720" i="1"/>
  <c r="L719" i="1"/>
  <c r="K719" i="1"/>
  <c r="M719" i="1" s="1"/>
  <c r="N719" i="1" s="1"/>
  <c r="L718" i="1"/>
  <c r="M718" i="1" s="1"/>
  <c r="N718" i="1" s="1"/>
  <c r="K718" i="1"/>
  <c r="M717" i="1"/>
  <c r="N717" i="1" s="1"/>
  <c r="L717" i="1"/>
  <c r="K717" i="1"/>
  <c r="L716" i="1"/>
  <c r="K716" i="1"/>
  <c r="L715" i="1"/>
  <c r="M715" i="1" s="1"/>
  <c r="N715" i="1" s="1"/>
  <c r="K715" i="1"/>
  <c r="L714" i="1"/>
  <c r="K714" i="1"/>
  <c r="M714" i="1" s="1"/>
  <c r="N714" i="1" s="1"/>
  <c r="L713" i="1"/>
  <c r="K713" i="1"/>
  <c r="L712" i="1"/>
  <c r="M712" i="1" s="1"/>
  <c r="N712" i="1" s="1"/>
  <c r="K712" i="1"/>
  <c r="L711" i="1"/>
  <c r="M711" i="1" s="1"/>
  <c r="N711" i="1" s="1"/>
  <c r="K711" i="1"/>
  <c r="L710" i="1"/>
  <c r="K710" i="1"/>
  <c r="L709" i="1"/>
  <c r="M709" i="1" s="1"/>
  <c r="N709" i="1" s="1"/>
  <c r="K709" i="1"/>
  <c r="L708" i="1"/>
  <c r="K708" i="1"/>
  <c r="M708" i="1" s="1"/>
  <c r="N708" i="1" s="1"/>
  <c r="L707" i="1"/>
  <c r="M707" i="1" s="1"/>
  <c r="N707" i="1" s="1"/>
  <c r="K707" i="1"/>
  <c r="L706" i="1"/>
  <c r="M706" i="1" s="1"/>
  <c r="N706" i="1" s="1"/>
  <c r="K706" i="1"/>
  <c r="L705" i="1"/>
  <c r="K705" i="1"/>
  <c r="M705" i="1" s="1"/>
  <c r="N705" i="1" s="1"/>
  <c r="L704" i="1"/>
  <c r="M704" i="1" s="1"/>
  <c r="N704" i="1" s="1"/>
  <c r="K704" i="1"/>
  <c r="L703" i="1"/>
  <c r="K703" i="1"/>
  <c r="L702" i="1"/>
  <c r="M702" i="1" s="1"/>
  <c r="N702" i="1" s="1"/>
  <c r="K702" i="1"/>
  <c r="L701" i="1"/>
  <c r="M701" i="1" s="1"/>
  <c r="N701" i="1" s="1"/>
  <c r="K701" i="1"/>
  <c r="L700" i="1"/>
  <c r="M700" i="1" s="1"/>
  <c r="N700" i="1" s="1"/>
  <c r="K700" i="1"/>
  <c r="M699" i="1"/>
  <c r="N699" i="1" s="1"/>
  <c r="L699" i="1"/>
  <c r="K699" i="1"/>
  <c r="L698" i="1"/>
  <c r="M698" i="1" s="1"/>
  <c r="N698" i="1" s="1"/>
  <c r="K698" i="1"/>
  <c r="L697" i="1"/>
  <c r="K697" i="1"/>
  <c r="M697" i="1" s="1"/>
  <c r="N697" i="1" s="1"/>
  <c r="M696" i="1"/>
  <c r="N696" i="1" s="1"/>
  <c r="L696" i="1"/>
  <c r="K696" i="1"/>
  <c r="M695" i="1"/>
  <c r="N695" i="1" s="1"/>
  <c r="L695" i="1"/>
  <c r="K695" i="1"/>
  <c r="L694" i="1"/>
  <c r="K694" i="1"/>
  <c r="L693" i="1"/>
  <c r="M693" i="1" s="1"/>
  <c r="N693" i="1" s="1"/>
  <c r="K693" i="1"/>
  <c r="N692" i="1"/>
  <c r="M692" i="1"/>
  <c r="L692" i="1"/>
  <c r="K692" i="1"/>
  <c r="M691" i="1"/>
  <c r="N691" i="1" s="1"/>
  <c r="L691" i="1"/>
  <c r="K691" i="1"/>
  <c r="L690" i="1"/>
  <c r="M690" i="1" s="1"/>
  <c r="N690" i="1" s="1"/>
  <c r="K690" i="1"/>
  <c r="M689" i="1"/>
  <c r="N689" i="1" s="1"/>
  <c r="L689" i="1"/>
  <c r="K689" i="1"/>
  <c r="L688" i="1"/>
  <c r="M688" i="1" s="1"/>
  <c r="N688" i="1" s="1"/>
  <c r="K688" i="1"/>
  <c r="L687" i="1"/>
  <c r="K687" i="1"/>
  <c r="L686" i="1"/>
  <c r="M686" i="1" s="1"/>
  <c r="N686" i="1" s="1"/>
  <c r="K686" i="1"/>
  <c r="M685" i="1"/>
  <c r="N685" i="1" s="1"/>
  <c r="L685" i="1"/>
  <c r="K685" i="1"/>
  <c r="M684" i="1"/>
  <c r="N684" i="1" s="1"/>
  <c r="L684" i="1"/>
  <c r="K684" i="1"/>
  <c r="L683" i="1"/>
  <c r="K683" i="1"/>
  <c r="M683" i="1" s="1"/>
  <c r="N683" i="1" s="1"/>
  <c r="M682" i="1"/>
  <c r="N682" i="1" s="1"/>
  <c r="L682" i="1"/>
  <c r="K682" i="1"/>
  <c r="L681" i="1"/>
  <c r="K681" i="1"/>
  <c r="M681" i="1" s="1"/>
  <c r="N681" i="1" s="1"/>
  <c r="L680" i="1"/>
  <c r="M680" i="1" s="1"/>
  <c r="N680" i="1" s="1"/>
  <c r="K680" i="1"/>
  <c r="L679" i="1"/>
  <c r="M679" i="1" s="1"/>
  <c r="N679" i="1" s="1"/>
  <c r="K679" i="1"/>
  <c r="N678" i="1"/>
  <c r="L678" i="1"/>
  <c r="K678" i="1"/>
  <c r="M678" i="1" s="1"/>
  <c r="L677" i="1"/>
  <c r="K677" i="1"/>
  <c r="M677" i="1" s="1"/>
  <c r="N677" i="1" s="1"/>
  <c r="M676" i="1"/>
  <c r="N676" i="1" s="1"/>
  <c r="L676" i="1"/>
  <c r="K676" i="1"/>
  <c r="L675" i="1"/>
  <c r="K675" i="1"/>
  <c r="M675" i="1" s="1"/>
  <c r="N675" i="1" s="1"/>
  <c r="L674" i="1"/>
  <c r="M674" i="1" s="1"/>
  <c r="N674" i="1" s="1"/>
  <c r="K674" i="1"/>
  <c r="M673" i="1"/>
  <c r="N673" i="1" s="1"/>
  <c r="L673" i="1"/>
  <c r="K673" i="1"/>
  <c r="N672" i="1"/>
  <c r="M672" i="1"/>
  <c r="L672" i="1"/>
  <c r="K672" i="1"/>
  <c r="M671" i="1"/>
  <c r="N671" i="1" s="1"/>
  <c r="L671" i="1"/>
  <c r="K671" i="1"/>
  <c r="L670" i="1"/>
  <c r="K670" i="1"/>
  <c r="M670" i="1" s="1"/>
  <c r="N670" i="1" s="1"/>
  <c r="L669" i="1"/>
  <c r="M669" i="1" s="1"/>
  <c r="N669" i="1" s="1"/>
  <c r="K669" i="1"/>
  <c r="M668" i="1"/>
  <c r="N668" i="1" s="1"/>
  <c r="L668" i="1"/>
  <c r="K668" i="1"/>
  <c r="M667" i="1"/>
  <c r="N667" i="1" s="1"/>
  <c r="L667" i="1"/>
  <c r="K667" i="1"/>
  <c r="L666" i="1"/>
  <c r="M666" i="1" s="1"/>
  <c r="N666" i="1" s="1"/>
  <c r="K666" i="1"/>
  <c r="M665" i="1"/>
  <c r="N665" i="1" s="1"/>
  <c r="L665" i="1"/>
  <c r="K665" i="1"/>
  <c r="N664" i="1"/>
  <c r="L664" i="1"/>
  <c r="K664" i="1"/>
  <c r="M664" i="1" s="1"/>
  <c r="L663" i="1"/>
  <c r="K663" i="1"/>
  <c r="M663" i="1" s="1"/>
  <c r="N663" i="1" s="1"/>
  <c r="N662" i="1"/>
  <c r="L662" i="1"/>
  <c r="K662" i="1"/>
  <c r="M662" i="1" s="1"/>
  <c r="L661" i="1"/>
  <c r="M661" i="1" s="1"/>
  <c r="N661" i="1" s="1"/>
  <c r="K661" i="1"/>
  <c r="M660" i="1"/>
  <c r="N660" i="1" s="1"/>
  <c r="L660" i="1"/>
  <c r="K660" i="1"/>
  <c r="M659" i="1"/>
  <c r="N659" i="1" s="1"/>
  <c r="L659" i="1"/>
  <c r="K659" i="1"/>
  <c r="L658" i="1"/>
  <c r="M658" i="1" s="1"/>
  <c r="N658" i="1" s="1"/>
  <c r="K658" i="1"/>
  <c r="M657" i="1"/>
  <c r="N657" i="1" s="1"/>
  <c r="L657" i="1"/>
  <c r="K657" i="1"/>
  <c r="N656" i="1"/>
  <c r="M656" i="1"/>
  <c r="L656" i="1"/>
  <c r="K656" i="1"/>
  <c r="M655" i="1"/>
  <c r="N655" i="1" s="1"/>
  <c r="L655" i="1"/>
  <c r="K655" i="1"/>
  <c r="M654" i="1"/>
  <c r="N654" i="1" s="1"/>
  <c r="L654" i="1"/>
  <c r="K654" i="1"/>
  <c r="M653" i="1"/>
  <c r="N653" i="1" s="1"/>
  <c r="L653" i="1"/>
  <c r="K653" i="1"/>
  <c r="N652" i="1"/>
  <c r="L652" i="1"/>
  <c r="M652" i="1" s="1"/>
  <c r="K652" i="1"/>
  <c r="L651" i="1"/>
  <c r="M651" i="1" s="1"/>
  <c r="N651" i="1" s="1"/>
  <c r="K651" i="1"/>
  <c r="N650" i="1"/>
  <c r="L650" i="1"/>
  <c r="K650" i="1"/>
  <c r="M650" i="1" s="1"/>
  <c r="L649" i="1"/>
  <c r="K649" i="1"/>
  <c r="M649" i="1" s="1"/>
  <c r="N649" i="1" s="1"/>
  <c r="L648" i="1"/>
  <c r="M648" i="1" s="1"/>
  <c r="N648" i="1" s="1"/>
  <c r="K648" i="1"/>
  <c r="L647" i="1"/>
  <c r="M647" i="1" s="1"/>
  <c r="N647" i="1" s="1"/>
  <c r="K647" i="1"/>
  <c r="M646" i="1"/>
  <c r="N646" i="1" s="1"/>
  <c r="L646" i="1"/>
  <c r="K646" i="1"/>
  <c r="M645" i="1"/>
  <c r="N645" i="1" s="1"/>
  <c r="L645" i="1"/>
  <c r="K645" i="1"/>
  <c r="M644" i="1"/>
  <c r="N644" i="1" s="1"/>
  <c r="L644" i="1"/>
  <c r="K644" i="1"/>
  <c r="N643" i="1"/>
  <c r="M643" i="1"/>
  <c r="L643" i="1"/>
  <c r="K643" i="1"/>
  <c r="L642" i="1"/>
  <c r="K642" i="1"/>
  <c r="M642" i="1" s="1"/>
  <c r="N642" i="1" s="1"/>
  <c r="L641" i="1"/>
  <c r="M641" i="1" s="1"/>
  <c r="N641" i="1" s="1"/>
  <c r="K641" i="1"/>
  <c r="N640" i="1"/>
  <c r="M640" i="1"/>
  <c r="L640" i="1"/>
  <c r="K640" i="1"/>
  <c r="M639" i="1"/>
  <c r="N639" i="1" s="1"/>
  <c r="L639" i="1"/>
  <c r="K639" i="1"/>
  <c r="L638" i="1"/>
  <c r="M638" i="1" s="1"/>
  <c r="N638" i="1" s="1"/>
  <c r="K638" i="1"/>
  <c r="M637" i="1"/>
  <c r="N637" i="1" s="1"/>
  <c r="L637" i="1"/>
  <c r="K637" i="1"/>
  <c r="L636" i="1"/>
  <c r="K636" i="1"/>
  <c r="M636" i="1" s="1"/>
  <c r="N636" i="1" s="1"/>
  <c r="L635" i="1"/>
  <c r="M635" i="1" s="1"/>
  <c r="N635" i="1" s="1"/>
  <c r="K635" i="1"/>
  <c r="L634" i="1"/>
  <c r="M634" i="1" s="1"/>
  <c r="N634" i="1" s="1"/>
  <c r="K634" i="1"/>
  <c r="M633" i="1"/>
  <c r="N633" i="1" s="1"/>
  <c r="L633" i="1"/>
  <c r="K633" i="1"/>
  <c r="M632" i="1"/>
  <c r="N632" i="1" s="1"/>
  <c r="L632" i="1"/>
  <c r="K632" i="1"/>
  <c r="L631" i="1"/>
  <c r="K631" i="1"/>
  <c r="M631" i="1" s="1"/>
  <c r="N631" i="1" s="1"/>
  <c r="L630" i="1"/>
  <c r="M630" i="1" s="1"/>
  <c r="N630" i="1" s="1"/>
  <c r="K630" i="1"/>
  <c r="L629" i="1"/>
  <c r="M629" i="1" s="1"/>
  <c r="N629" i="1" s="1"/>
  <c r="K629" i="1"/>
  <c r="L628" i="1"/>
  <c r="K628" i="1"/>
  <c r="M628" i="1" s="1"/>
  <c r="N628" i="1" s="1"/>
  <c r="L627" i="1"/>
  <c r="M627" i="1" s="1"/>
  <c r="N627" i="1" s="1"/>
  <c r="K627" i="1"/>
  <c r="M626" i="1"/>
  <c r="N626" i="1" s="1"/>
  <c r="L626" i="1"/>
  <c r="K626" i="1"/>
  <c r="L625" i="1"/>
  <c r="K625" i="1"/>
  <c r="L624" i="1"/>
  <c r="M624" i="1" s="1"/>
  <c r="N624" i="1" s="1"/>
  <c r="K624" i="1"/>
  <c r="M623" i="1"/>
  <c r="N623" i="1" s="1"/>
  <c r="L623" i="1"/>
  <c r="K623" i="1"/>
  <c r="L622" i="1"/>
  <c r="K622" i="1"/>
  <c r="L621" i="1"/>
  <c r="K621" i="1"/>
  <c r="M621" i="1" s="1"/>
  <c r="N621" i="1" s="1"/>
  <c r="L620" i="1"/>
  <c r="K620" i="1"/>
  <c r="M620" i="1" s="1"/>
  <c r="N620" i="1" s="1"/>
  <c r="L619" i="1"/>
  <c r="M619" i="1" s="1"/>
  <c r="N619" i="1" s="1"/>
  <c r="K619" i="1"/>
  <c r="L618" i="1"/>
  <c r="K618" i="1"/>
  <c r="L617" i="1"/>
  <c r="M617" i="1" s="1"/>
  <c r="N617" i="1" s="1"/>
  <c r="K617" i="1"/>
  <c r="L616" i="1"/>
  <c r="M616" i="1" s="1"/>
  <c r="N616" i="1" s="1"/>
  <c r="K616" i="1"/>
  <c r="M615" i="1"/>
  <c r="N615" i="1" s="1"/>
  <c r="L615" i="1"/>
  <c r="K615" i="1"/>
  <c r="L614" i="1"/>
  <c r="K614" i="1"/>
  <c r="M614" i="1" s="1"/>
  <c r="N614" i="1" s="1"/>
  <c r="L613" i="1"/>
  <c r="K613" i="1"/>
  <c r="M613" i="1" s="1"/>
  <c r="N613" i="1" s="1"/>
  <c r="L612" i="1"/>
  <c r="K612" i="1"/>
  <c r="L611" i="1"/>
  <c r="K611" i="1"/>
  <c r="M610" i="1"/>
  <c r="N610" i="1" s="1"/>
  <c r="L610" i="1"/>
  <c r="K610" i="1"/>
  <c r="L609" i="1"/>
  <c r="K609" i="1"/>
  <c r="M609" i="1" s="1"/>
  <c r="N609" i="1" s="1"/>
  <c r="L608" i="1"/>
  <c r="M608" i="1" s="1"/>
  <c r="N608" i="1" s="1"/>
  <c r="K608" i="1"/>
  <c r="L607" i="1"/>
  <c r="K607" i="1"/>
  <c r="M607" i="1" s="1"/>
  <c r="N607" i="1" s="1"/>
  <c r="L606" i="1"/>
  <c r="M606" i="1" s="1"/>
  <c r="N606" i="1" s="1"/>
  <c r="K606" i="1"/>
  <c r="L605" i="1"/>
  <c r="M605" i="1" s="1"/>
  <c r="N605" i="1" s="1"/>
  <c r="K605" i="1"/>
  <c r="L604" i="1"/>
  <c r="M604" i="1" s="1"/>
  <c r="N604" i="1" s="1"/>
  <c r="K604" i="1"/>
  <c r="L603" i="1"/>
  <c r="K603" i="1"/>
  <c r="M603" i="1" s="1"/>
  <c r="N603" i="1" s="1"/>
  <c r="L602" i="1"/>
  <c r="M602" i="1" s="1"/>
  <c r="N602" i="1" s="1"/>
  <c r="K602" i="1"/>
  <c r="L601" i="1"/>
  <c r="M601" i="1" s="1"/>
  <c r="N601" i="1" s="1"/>
  <c r="K601" i="1"/>
  <c r="L600" i="1"/>
  <c r="K600" i="1"/>
  <c r="M600" i="1" s="1"/>
  <c r="N600" i="1" s="1"/>
  <c r="L599" i="1"/>
  <c r="K599" i="1"/>
  <c r="L598" i="1"/>
  <c r="M598" i="1" s="1"/>
  <c r="N598" i="1" s="1"/>
  <c r="K598" i="1"/>
  <c r="L597" i="1"/>
  <c r="M597" i="1" s="1"/>
  <c r="N597" i="1" s="1"/>
  <c r="K597" i="1"/>
  <c r="M596" i="1"/>
  <c r="N596" i="1" s="1"/>
  <c r="L596" i="1"/>
  <c r="K596" i="1"/>
  <c r="M595" i="1"/>
  <c r="N595" i="1" s="1"/>
  <c r="L595" i="1"/>
  <c r="K595" i="1"/>
  <c r="M594" i="1"/>
  <c r="N594" i="1" s="1"/>
  <c r="L594" i="1"/>
  <c r="K594" i="1"/>
  <c r="L593" i="1"/>
  <c r="K593" i="1"/>
  <c r="M593" i="1" s="1"/>
  <c r="N593" i="1" s="1"/>
  <c r="L592" i="1"/>
  <c r="M592" i="1" s="1"/>
  <c r="N592" i="1" s="1"/>
  <c r="K592" i="1"/>
  <c r="L591" i="1"/>
  <c r="M591" i="1" s="1"/>
  <c r="N591" i="1" s="1"/>
  <c r="K591" i="1"/>
  <c r="L590" i="1"/>
  <c r="K590" i="1"/>
  <c r="M590" i="1" s="1"/>
  <c r="N590" i="1" s="1"/>
  <c r="L589" i="1"/>
  <c r="M589" i="1" s="1"/>
  <c r="N589" i="1" s="1"/>
  <c r="K589" i="1"/>
  <c r="L588" i="1"/>
  <c r="M588" i="1" s="1"/>
  <c r="N588" i="1" s="1"/>
  <c r="K588" i="1"/>
  <c r="L587" i="1"/>
  <c r="M587" i="1" s="1"/>
  <c r="N587" i="1" s="1"/>
  <c r="K587" i="1"/>
  <c r="L586" i="1"/>
  <c r="K586" i="1"/>
  <c r="M586" i="1" s="1"/>
  <c r="N586" i="1" s="1"/>
  <c r="L585" i="1"/>
  <c r="K585" i="1"/>
  <c r="L584" i="1"/>
  <c r="M584" i="1" s="1"/>
  <c r="N584" i="1" s="1"/>
  <c r="K584" i="1"/>
  <c r="L583" i="1"/>
  <c r="K583" i="1"/>
  <c r="M583" i="1" s="1"/>
  <c r="N583" i="1" s="1"/>
  <c r="L582" i="1"/>
  <c r="M582" i="1" s="1"/>
  <c r="N582" i="1" s="1"/>
  <c r="K582" i="1"/>
  <c r="L581" i="1"/>
  <c r="M581" i="1" s="1"/>
  <c r="N581" i="1" s="1"/>
  <c r="K581" i="1"/>
  <c r="M580" i="1"/>
  <c r="N580" i="1" s="1"/>
  <c r="L580" i="1"/>
  <c r="K580" i="1"/>
  <c r="M579" i="1"/>
  <c r="N579" i="1" s="1"/>
  <c r="L579" i="1"/>
  <c r="K579" i="1"/>
  <c r="L578" i="1"/>
  <c r="M578" i="1" s="1"/>
  <c r="N578" i="1" s="1"/>
  <c r="K578" i="1"/>
  <c r="L577" i="1"/>
  <c r="K577" i="1"/>
  <c r="M577" i="1" s="1"/>
  <c r="N577" i="1" s="1"/>
  <c r="L576" i="1"/>
  <c r="M576" i="1" s="1"/>
  <c r="N576" i="1" s="1"/>
  <c r="K576" i="1"/>
  <c r="L575" i="1"/>
  <c r="K575" i="1"/>
  <c r="L574" i="1"/>
  <c r="M574" i="1" s="1"/>
  <c r="N574" i="1" s="1"/>
  <c r="K574" i="1"/>
  <c r="L573" i="1"/>
  <c r="M573" i="1" s="1"/>
  <c r="N573" i="1" s="1"/>
  <c r="K573" i="1"/>
  <c r="M572" i="1"/>
  <c r="N572" i="1" s="1"/>
  <c r="L572" i="1"/>
  <c r="K572" i="1"/>
  <c r="L571" i="1"/>
  <c r="M571" i="1" s="1"/>
  <c r="N571" i="1" s="1"/>
  <c r="K571" i="1"/>
  <c r="L570" i="1"/>
  <c r="K570" i="1"/>
  <c r="M570" i="1" s="1"/>
  <c r="N570" i="1" s="1"/>
  <c r="L569" i="1"/>
  <c r="M569" i="1" s="1"/>
  <c r="N569" i="1" s="1"/>
  <c r="K569" i="1"/>
  <c r="L568" i="1"/>
  <c r="K568" i="1"/>
  <c r="L567" i="1"/>
  <c r="M567" i="1" s="1"/>
  <c r="N567" i="1" s="1"/>
  <c r="K567" i="1"/>
  <c r="M566" i="1"/>
  <c r="N566" i="1" s="1"/>
  <c r="L566" i="1"/>
  <c r="K566" i="1"/>
  <c r="N565" i="1"/>
  <c r="L565" i="1"/>
  <c r="M565" i="1" s="1"/>
  <c r="K565" i="1"/>
  <c r="N564" i="1"/>
  <c r="L564" i="1"/>
  <c r="K564" i="1"/>
  <c r="M564" i="1" s="1"/>
  <c r="L563" i="1"/>
  <c r="K563" i="1"/>
  <c r="M562" i="1"/>
  <c r="N562" i="1" s="1"/>
  <c r="L562" i="1"/>
  <c r="K562" i="1"/>
  <c r="L561" i="1"/>
  <c r="M561" i="1" s="1"/>
  <c r="N561" i="1" s="1"/>
  <c r="K561" i="1"/>
  <c r="L560" i="1"/>
  <c r="M560" i="1" s="1"/>
  <c r="N560" i="1" s="1"/>
  <c r="K560" i="1"/>
  <c r="M559" i="1"/>
  <c r="N559" i="1" s="1"/>
  <c r="L559" i="1"/>
  <c r="K559" i="1"/>
  <c r="N558" i="1"/>
  <c r="L558" i="1"/>
  <c r="M558" i="1" s="1"/>
  <c r="K558" i="1"/>
  <c r="L557" i="1"/>
  <c r="M557" i="1" s="1"/>
  <c r="N557" i="1" s="1"/>
  <c r="K557" i="1"/>
  <c r="L556" i="1"/>
  <c r="M556" i="1" s="1"/>
  <c r="N556" i="1" s="1"/>
  <c r="K556" i="1"/>
  <c r="M555" i="1"/>
  <c r="N555" i="1" s="1"/>
  <c r="L555" i="1"/>
  <c r="K555" i="1"/>
  <c r="M554" i="1"/>
  <c r="N554" i="1" s="1"/>
  <c r="L554" i="1"/>
  <c r="K554" i="1"/>
  <c r="M553" i="1"/>
  <c r="N553" i="1" s="1"/>
  <c r="L553" i="1"/>
  <c r="K553" i="1"/>
  <c r="L552" i="1"/>
  <c r="K552" i="1"/>
  <c r="M552" i="1" s="1"/>
  <c r="N552" i="1" s="1"/>
  <c r="M551" i="1"/>
  <c r="N551" i="1" s="1"/>
  <c r="L551" i="1"/>
  <c r="K551" i="1"/>
  <c r="N550" i="1"/>
  <c r="L550" i="1"/>
  <c r="M550" i="1" s="1"/>
  <c r="K550" i="1"/>
  <c r="L549" i="1"/>
  <c r="M549" i="1" s="1"/>
  <c r="N549" i="1" s="1"/>
  <c r="K549" i="1"/>
  <c r="L548" i="1"/>
  <c r="M548" i="1" s="1"/>
  <c r="N548" i="1" s="1"/>
  <c r="K548" i="1"/>
  <c r="L547" i="1"/>
  <c r="M547" i="1" s="1"/>
  <c r="N547" i="1" s="1"/>
  <c r="K547" i="1"/>
  <c r="L546" i="1"/>
  <c r="K546" i="1"/>
  <c r="M546" i="1" s="1"/>
  <c r="N546" i="1" s="1"/>
  <c r="L545" i="1"/>
  <c r="K545" i="1"/>
  <c r="L544" i="1"/>
  <c r="M544" i="1" s="1"/>
  <c r="N544" i="1" s="1"/>
  <c r="K544" i="1"/>
  <c r="L543" i="1"/>
  <c r="M543" i="1" s="1"/>
  <c r="N543" i="1" s="1"/>
  <c r="K543" i="1"/>
  <c r="L542" i="1"/>
  <c r="M542" i="1" s="1"/>
  <c r="N542" i="1" s="1"/>
  <c r="K542" i="1"/>
  <c r="L541" i="1"/>
  <c r="M541" i="1" s="1"/>
  <c r="N541" i="1" s="1"/>
  <c r="K541" i="1"/>
  <c r="L540" i="1"/>
  <c r="M540" i="1" s="1"/>
  <c r="N540" i="1" s="1"/>
  <c r="K540" i="1"/>
  <c r="M539" i="1"/>
  <c r="N539" i="1" s="1"/>
  <c r="L539" i="1"/>
  <c r="K539" i="1"/>
  <c r="N538" i="1"/>
  <c r="M538" i="1"/>
  <c r="L538" i="1"/>
  <c r="K538" i="1"/>
  <c r="M537" i="1"/>
  <c r="N537" i="1" s="1"/>
  <c r="L537" i="1"/>
  <c r="K537" i="1"/>
  <c r="M536" i="1"/>
  <c r="N536" i="1" s="1"/>
  <c r="L536" i="1"/>
  <c r="K536" i="1"/>
  <c r="L535" i="1"/>
  <c r="M535" i="1" s="1"/>
  <c r="N535" i="1" s="1"/>
  <c r="K535" i="1"/>
  <c r="M534" i="1"/>
  <c r="N534" i="1" s="1"/>
  <c r="L534" i="1"/>
  <c r="K534" i="1"/>
  <c r="L533" i="1"/>
  <c r="M533" i="1" s="1"/>
  <c r="N533" i="1" s="1"/>
  <c r="K533" i="1"/>
  <c r="L532" i="1"/>
  <c r="M532" i="1" s="1"/>
  <c r="N532" i="1" s="1"/>
  <c r="K532" i="1"/>
  <c r="L531" i="1"/>
  <c r="K531" i="1"/>
  <c r="M531" i="1" s="1"/>
  <c r="N531" i="1" s="1"/>
  <c r="L530" i="1"/>
  <c r="M530" i="1" s="1"/>
  <c r="N530" i="1" s="1"/>
  <c r="K530" i="1"/>
  <c r="M529" i="1"/>
  <c r="N529" i="1" s="1"/>
  <c r="L529" i="1"/>
  <c r="K529" i="1"/>
  <c r="L528" i="1"/>
  <c r="M528" i="1" s="1"/>
  <c r="N528" i="1" s="1"/>
  <c r="K528" i="1"/>
  <c r="L527" i="1"/>
  <c r="K527" i="1"/>
  <c r="M526" i="1"/>
  <c r="N526" i="1" s="1"/>
  <c r="L526" i="1"/>
  <c r="K526" i="1"/>
  <c r="M525" i="1"/>
  <c r="N525" i="1" s="1"/>
  <c r="L525" i="1"/>
  <c r="K525" i="1"/>
  <c r="L524" i="1"/>
  <c r="K524" i="1"/>
  <c r="M524" i="1" s="1"/>
  <c r="N524" i="1" s="1"/>
  <c r="M523" i="1"/>
  <c r="N523" i="1" s="1"/>
  <c r="L523" i="1"/>
  <c r="K523" i="1"/>
  <c r="L522" i="1"/>
  <c r="K522" i="1"/>
  <c r="L521" i="1"/>
  <c r="M521" i="1" s="1"/>
  <c r="N521" i="1" s="1"/>
  <c r="K521" i="1"/>
  <c r="M520" i="1"/>
  <c r="N520" i="1" s="1"/>
  <c r="L520" i="1"/>
  <c r="K520" i="1"/>
  <c r="L519" i="1"/>
  <c r="M519" i="1" s="1"/>
  <c r="N519" i="1" s="1"/>
  <c r="K519" i="1"/>
  <c r="L518" i="1"/>
  <c r="K518" i="1"/>
  <c r="M518" i="1" s="1"/>
  <c r="N518" i="1" s="1"/>
  <c r="L517" i="1"/>
  <c r="K517" i="1"/>
  <c r="M516" i="1"/>
  <c r="N516" i="1" s="1"/>
  <c r="L516" i="1"/>
  <c r="K516" i="1"/>
  <c r="M515" i="1"/>
  <c r="N515" i="1" s="1"/>
  <c r="L515" i="1"/>
  <c r="K515" i="1"/>
  <c r="L514" i="1"/>
  <c r="M514" i="1" s="1"/>
  <c r="N514" i="1" s="1"/>
  <c r="K514" i="1"/>
  <c r="L513" i="1"/>
  <c r="M513" i="1" s="1"/>
  <c r="N513" i="1" s="1"/>
  <c r="K513" i="1"/>
  <c r="M512" i="1"/>
  <c r="N512" i="1" s="1"/>
  <c r="L512" i="1"/>
  <c r="K512" i="1"/>
  <c r="L511" i="1"/>
  <c r="K511" i="1"/>
  <c r="M511" i="1" s="1"/>
  <c r="N511" i="1" s="1"/>
  <c r="L510" i="1"/>
  <c r="M510" i="1" s="1"/>
  <c r="N510" i="1" s="1"/>
  <c r="K510" i="1"/>
  <c r="M509" i="1"/>
  <c r="N509" i="1" s="1"/>
  <c r="L509" i="1"/>
  <c r="K509" i="1"/>
  <c r="L508" i="1"/>
  <c r="M508" i="1" s="1"/>
  <c r="N508" i="1" s="1"/>
  <c r="K508" i="1"/>
  <c r="L507" i="1"/>
  <c r="M507" i="1" s="1"/>
  <c r="N507" i="1" s="1"/>
  <c r="K507" i="1"/>
  <c r="L506" i="1"/>
  <c r="M506" i="1" s="1"/>
  <c r="N506" i="1" s="1"/>
  <c r="K506" i="1"/>
  <c r="L505" i="1"/>
  <c r="K505" i="1"/>
  <c r="M505" i="1" s="1"/>
  <c r="N505" i="1" s="1"/>
  <c r="L504" i="1"/>
  <c r="K504" i="1"/>
  <c r="M504" i="1" s="1"/>
  <c r="N504" i="1" s="1"/>
  <c r="L503" i="1"/>
  <c r="K503" i="1"/>
  <c r="M502" i="1"/>
  <c r="N502" i="1" s="1"/>
  <c r="L502" i="1"/>
  <c r="K502" i="1"/>
  <c r="M501" i="1"/>
  <c r="N501" i="1" s="1"/>
  <c r="L501" i="1"/>
  <c r="K501" i="1"/>
  <c r="L500" i="1"/>
  <c r="M500" i="1" s="1"/>
  <c r="N500" i="1" s="1"/>
  <c r="K500" i="1"/>
  <c r="L499" i="1"/>
  <c r="M499" i="1" s="1"/>
  <c r="N499" i="1" s="1"/>
  <c r="K499" i="1"/>
  <c r="L498" i="1"/>
  <c r="K498" i="1"/>
  <c r="M498" i="1" s="1"/>
  <c r="N498" i="1" s="1"/>
  <c r="L497" i="1"/>
  <c r="K497" i="1"/>
  <c r="M497" i="1" s="1"/>
  <c r="N497" i="1" s="1"/>
  <c r="L496" i="1"/>
  <c r="M496" i="1" s="1"/>
  <c r="N496" i="1" s="1"/>
  <c r="K496" i="1"/>
  <c r="M495" i="1"/>
  <c r="N495" i="1" s="1"/>
  <c r="L495" i="1"/>
  <c r="K495" i="1"/>
  <c r="N494" i="1"/>
  <c r="L494" i="1"/>
  <c r="M494" i="1" s="1"/>
  <c r="K494" i="1"/>
  <c r="N493" i="1"/>
  <c r="M493" i="1"/>
  <c r="L493" i="1"/>
  <c r="K493" i="1"/>
  <c r="N492" i="1"/>
  <c r="L492" i="1"/>
  <c r="K492" i="1"/>
  <c r="M492" i="1" s="1"/>
  <c r="L491" i="1"/>
  <c r="K491" i="1"/>
  <c r="N490" i="1"/>
  <c r="L490" i="1"/>
  <c r="K490" i="1"/>
  <c r="M490" i="1" s="1"/>
  <c r="L489" i="1"/>
  <c r="M489" i="1" s="1"/>
  <c r="N489" i="1" s="1"/>
  <c r="K489" i="1"/>
  <c r="L488" i="1"/>
  <c r="K488" i="1"/>
  <c r="L487" i="1"/>
  <c r="K487" i="1"/>
  <c r="M486" i="1"/>
  <c r="N486" i="1" s="1"/>
  <c r="L486" i="1"/>
  <c r="K486" i="1"/>
  <c r="L485" i="1"/>
  <c r="K485" i="1"/>
  <c r="M485" i="1" s="1"/>
  <c r="N485" i="1" s="1"/>
  <c r="M484" i="1"/>
  <c r="N484" i="1" s="1"/>
  <c r="L484" i="1"/>
  <c r="K484" i="1"/>
  <c r="L483" i="1"/>
  <c r="K483" i="1"/>
  <c r="M482" i="1"/>
  <c r="N482" i="1" s="1"/>
  <c r="L482" i="1"/>
  <c r="K482" i="1"/>
  <c r="L481" i="1"/>
  <c r="M481" i="1" s="1"/>
  <c r="N481" i="1" s="1"/>
  <c r="K481" i="1"/>
  <c r="L480" i="1"/>
  <c r="M480" i="1" s="1"/>
  <c r="N480" i="1" s="1"/>
  <c r="K480" i="1"/>
  <c r="L479" i="1"/>
  <c r="K479" i="1"/>
  <c r="M479" i="1" s="1"/>
  <c r="N479" i="1" s="1"/>
  <c r="L478" i="1"/>
  <c r="M478" i="1" s="1"/>
  <c r="N478" i="1" s="1"/>
  <c r="K478" i="1"/>
  <c r="M477" i="1"/>
  <c r="N477" i="1" s="1"/>
  <c r="L477" i="1"/>
  <c r="K477" i="1"/>
  <c r="N476" i="1"/>
  <c r="L476" i="1"/>
  <c r="M476" i="1" s="1"/>
  <c r="K476" i="1"/>
  <c r="M475" i="1"/>
  <c r="N475" i="1" s="1"/>
  <c r="L475" i="1"/>
  <c r="K475" i="1"/>
  <c r="M474" i="1"/>
  <c r="N474" i="1" s="1"/>
  <c r="L474" i="1"/>
  <c r="K474" i="1"/>
  <c r="L473" i="1"/>
  <c r="K473" i="1"/>
  <c r="M473" i="1" s="1"/>
  <c r="N473" i="1" s="1"/>
  <c r="L472" i="1"/>
  <c r="M472" i="1" s="1"/>
  <c r="N472" i="1" s="1"/>
  <c r="K472" i="1"/>
  <c r="L471" i="1"/>
  <c r="M471" i="1" s="1"/>
  <c r="N471" i="1" s="1"/>
  <c r="K471" i="1"/>
  <c r="M470" i="1"/>
  <c r="N470" i="1" s="1"/>
  <c r="L470" i="1"/>
  <c r="K470" i="1"/>
  <c r="L469" i="1"/>
  <c r="M469" i="1" s="1"/>
  <c r="N469" i="1" s="1"/>
  <c r="K469" i="1"/>
  <c r="L468" i="1"/>
  <c r="M468" i="1" s="1"/>
  <c r="N468" i="1" s="1"/>
  <c r="K468" i="1"/>
  <c r="L467" i="1"/>
  <c r="K467" i="1"/>
  <c r="M467" i="1" s="1"/>
  <c r="N467" i="1" s="1"/>
  <c r="L466" i="1"/>
  <c r="M466" i="1" s="1"/>
  <c r="N466" i="1" s="1"/>
  <c r="K466" i="1"/>
  <c r="N465" i="1"/>
  <c r="L465" i="1"/>
  <c r="K465" i="1"/>
  <c r="M465" i="1" s="1"/>
  <c r="L464" i="1"/>
  <c r="M464" i="1" s="1"/>
  <c r="N464" i="1" s="1"/>
  <c r="K464" i="1"/>
  <c r="L463" i="1"/>
  <c r="K463" i="1"/>
  <c r="L462" i="1"/>
  <c r="M462" i="1" s="1"/>
  <c r="N462" i="1" s="1"/>
  <c r="K462" i="1"/>
  <c r="L461" i="1"/>
  <c r="K461" i="1"/>
  <c r="M461" i="1" s="1"/>
  <c r="N461" i="1" s="1"/>
  <c r="L460" i="1"/>
  <c r="M460" i="1" s="1"/>
  <c r="N460" i="1" s="1"/>
  <c r="K460" i="1"/>
  <c r="M459" i="1"/>
  <c r="N459" i="1" s="1"/>
  <c r="L459" i="1"/>
  <c r="K459" i="1"/>
  <c r="L458" i="1"/>
  <c r="K458" i="1"/>
  <c r="M457" i="1"/>
  <c r="N457" i="1" s="1"/>
  <c r="L457" i="1"/>
  <c r="K457" i="1"/>
  <c r="L456" i="1"/>
  <c r="M456" i="1" s="1"/>
  <c r="N456" i="1" s="1"/>
  <c r="K456" i="1"/>
  <c r="L455" i="1"/>
  <c r="K455" i="1"/>
  <c r="M455" i="1" s="1"/>
  <c r="N455" i="1" s="1"/>
  <c r="L454" i="1"/>
  <c r="M454" i="1" s="1"/>
  <c r="N454" i="1" s="1"/>
  <c r="K454" i="1"/>
  <c r="L453" i="1"/>
  <c r="M453" i="1" s="1"/>
  <c r="N453" i="1" s="1"/>
  <c r="K453" i="1"/>
  <c r="M452" i="1"/>
  <c r="N452" i="1" s="1"/>
  <c r="L452" i="1"/>
  <c r="K452" i="1"/>
  <c r="N451" i="1"/>
  <c r="L451" i="1"/>
  <c r="M451" i="1" s="1"/>
  <c r="K451" i="1"/>
  <c r="M450" i="1"/>
  <c r="N450" i="1" s="1"/>
  <c r="L450" i="1"/>
  <c r="K450" i="1"/>
  <c r="L449" i="1"/>
  <c r="K449" i="1"/>
  <c r="M449" i="1" s="1"/>
  <c r="N449" i="1" s="1"/>
  <c r="M448" i="1"/>
  <c r="N448" i="1" s="1"/>
  <c r="L448" i="1"/>
  <c r="K448" i="1"/>
  <c r="L447" i="1"/>
  <c r="M447" i="1" s="1"/>
  <c r="N447" i="1" s="1"/>
  <c r="K447" i="1"/>
  <c r="L446" i="1"/>
  <c r="M446" i="1" s="1"/>
  <c r="N446" i="1" s="1"/>
  <c r="K446" i="1"/>
  <c r="M445" i="1"/>
  <c r="N445" i="1" s="1"/>
  <c r="L445" i="1"/>
  <c r="K445" i="1"/>
  <c r="L444" i="1"/>
  <c r="M444" i="1" s="1"/>
  <c r="N444" i="1" s="1"/>
  <c r="K444" i="1"/>
  <c r="L443" i="1"/>
  <c r="K443" i="1"/>
  <c r="M443" i="1" s="1"/>
  <c r="N443" i="1" s="1"/>
  <c r="M442" i="1"/>
  <c r="N442" i="1" s="1"/>
  <c r="L442" i="1"/>
  <c r="K442" i="1"/>
  <c r="M441" i="1"/>
  <c r="N441" i="1" s="1"/>
  <c r="L441" i="1"/>
  <c r="K441" i="1"/>
  <c r="N440" i="1"/>
  <c r="L440" i="1"/>
  <c r="K440" i="1"/>
  <c r="M440" i="1" s="1"/>
  <c r="L439" i="1"/>
  <c r="M439" i="1" s="1"/>
  <c r="N439" i="1" s="1"/>
  <c r="K439" i="1"/>
  <c r="N438" i="1"/>
  <c r="L438" i="1"/>
  <c r="M438" i="1" s="1"/>
  <c r="K438" i="1"/>
  <c r="L437" i="1"/>
  <c r="K437" i="1"/>
  <c r="M437" i="1" s="1"/>
  <c r="N437" i="1" s="1"/>
  <c r="L436" i="1"/>
  <c r="M436" i="1" s="1"/>
  <c r="N436" i="1" s="1"/>
  <c r="K436" i="1"/>
  <c r="L435" i="1"/>
  <c r="M435" i="1" s="1"/>
  <c r="N435" i="1" s="1"/>
  <c r="K435" i="1"/>
  <c r="M434" i="1"/>
  <c r="N434" i="1" s="1"/>
  <c r="L434" i="1"/>
  <c r="K434" i="1"/>
  <c r="L433" i="1"/>
  <c r="M433" i="1" s="1"/>
  <c r="N433" i="1" s="1"/>
  <c r="K433" i="1"/>
  <c r="M432" i="1"/>
  <c r="N432" i="1" s="1"/>
  <c r="L432" i="1"/>
  <c r="K432" i="1"/>
  <c r="M431" i="1"/>
  <c r="N431" i="1" s="1"/>
  <c r="L431" i="1"/>
  <c r="K431" i="1"/>
  <c r="M430" i="1"/>
  <c r="N430" i="1" s="1"/>
  <c r="L430" i="1"/>
  <c r="K430" i="1"/>
  <c r="L429" i="1"/>
  <c r="K429" i="1"/>
  <c r="M429" i="1" s="1"/>
  <c r="N429" i="1" s="1"/>
  <c r="L428" i="1"/>
  <c r="M428" i="1" s="1"/>
  <c r="N428" i="1" s="1"/>
  <c r="K428" i="1"/>
  <c r="M427" i="1"/>
  <c r="N427" i="1" s="1"/>
  <c r="L427" i="1"/>
  <c r="K427" i="1"/>
  <c r="L426" i="1"/>
  <c r="M426" i="1" s="1"/>
  <c r="N426" i="1" s="1"/>
  <c r="K426" i="1"/>
  <c r="M425" i="1"/>
  <c r="N425" i="1" s="1"/>
  <c r="L425" i="1"/>
  <c r="K425" i="1"/>
  <c r="M424" i="1"/>
  <c r="N424" i="1" s="1"/>
  <c r="L424" i="1"/>
  <c r="K424" i="1"/>
  <c r="M423" i="1"/>
  <c r="N423" i="1" s="1"/>
  <c r="L423" i="1"/>
  <c r="K423" i="1"/>
  <c r="L422" i="1"/>
  <c r="K422" i="1"/>
  <c r="M422" i="1" s="1"/>
  <c r="N422" i="1" s="1"/>
  <c r="L421" i="1"/>
  <c r="M421" i="1" s="1"/>
  <c r="N421" i="1" s="1"/>
  <c r="K421" i="1"/>
  <c r="M420" i="1"/>
  <c r="N420" i="1" s="1"/>
  <c r="L420" i="1"/>
  <c r="K420" i="1"/>
  <c r="L419" i="1"/>
  <c r="K419" i="1"/>
  <c r="M419" i="1" s="1"/>
  <c r="N419" i="1" s="1"/>
  <c r="L418" i="1"/>
  <c r="K418" i="1"/>
  <c r="L417" i="1"/>
  <c r="M417" i="1" s="1"/>
  <c r="N417" i="1" s="1"/>
  <c r="K417" i="1"/>
  <c r="N416" i="1"/>
  <c r="M416" i="1"/>
  <c r="L416" i="1"/>
  <c r="K416" i="1"/>
  <c r="N415" i="1"/>
  <c r="L415" i="1"/>
  <c r="K415" i="1"/>
  <c r="M415" i="1" s="1"/>
  <c r="L414" i="1"/>
  <c r="M414" i="1" s="1"/>
  <c r="N414" i="1" s="1"/>
  <c r="K414" i="1"/>
  <c r="L413" i="1"/>
  <c r="K413" i="1"/>
  <c r="M413" i="1" s="1"/>
  <c r="N413" i="1" s="1"/>
  <c r="L412" i="1"/>
  <c r="M412" i="1" s="1"/>
  <c r="N412" i="1" s="1"/>
  <c r="K412" i="1"/>
  <c r="L411" i="1"/>
  <c r="M411" i="1" s="1"/>
  <c r="N411" i="1" s="1"/>
  <c r="K411" i="1"/>
  <c r="N410" i="1"/>
  <c r="M410" i="1"/>
  <c r="L410" i="1"/>
  <c r="K410" i="1"/>
  <c r="M409" i="1"/>
  <c r="N409" i="1" s="1"/>
  <c r="L409" i="1"/>
  <c r="K409" i="1"/>
  <c r="L408" i="1"/>
  <c r="M408" i="1" s="1"/>
  <c r="N408" i="1" s="1"/>
  <c r="K408" i="1"/>
  <c r="M407" i="1"/>
  <c r="N407" i="1" s="1"/>
  <c r="L407" i="1"/>
  <c r="K407" i="1"/>
  <c r="M406" i="1"/>
  <c r="N406" i="1" s="1"/>
  <c r="L406" i="1"/>
  <c r="K406" i="1"/>
  <c r="N405" i="1"/>
  <c r="L405" i="1"/>
  <c r="M405" i="1" s="1"/>
  <c r="K405" i="1"/>
  <c r="N404" i="1"/>
  <c r="L404" i="1"/>
  <c r="M404" i="1" s="1"/>
  <c r="K404" i="1"/>
  <c r="L403" i="1"/>
  <c r="M403" i="1" s="1"/>
  <c r="N403" i="1" s="1"/>
  <c r="K403" i="1"/>
  <c r="M402" i="1"/>
  <c r="N402" i="1" s="1"/>
  <c r="L402" i="1"/>
  <c r="K402" i="1"/>
  <c r="M401" i="1"/>
  <c r="N401" i="1" s="1"/>
  <c r="L401" i="1"/>
  <c r="K401" i="1"/>
  <c r="L400" i="1"/>
  <c r="M400" i="1" s="1"/>
  <c r="N400" i="1" s="1"/>
  <c r="K400" i="1"/>
  <c r="L399" i="1"/>
  <c r="M399" i="1" s="1"/>
  <c r="N399" i="1" s="1"/>
  <c r="K399" i="1"/>
  <c r="L398" i="1"/>
  <c r="K398" i="1"/>
  <c r="L397" i="1"/>
  <c r="M397" i="1" s="1"/>
  <c r="N397" i="1" s="1"/>
  <c r="K397" i="1"/>
  <c r="L396" i="1"/>
  <c r="M396" i="1" s="1"/>
  <c r="N396" i="1" s="1"/>
  <c r="K396" i="1"/>
  <c r="M395" i="1"/>
  <c r="N395" i="1" s="1"/>
  <c r="L395" i="1"/>
  <c r="K395" i="1"/>
  <c r="L394" i="1"/>
  <c r="K394" i="1"/>
  <c r="L393" i="1"/>
  <c r="K393" i="1"/>
  <c r="L392" i="1"/>
  <c r="K392" i="1"/>
  <c r="M392" i="1" s="1"/>
  <c r="N392" i="1" s="1"/>
  <c r="L391" i="1"/>
  <c r="M391" i="1" s="1"/>
  <c r="N391" i="1" s="1"/>
  <c r="K391" i="1"/>
  <c r="N390" i="1"/>
  <c r="M390" i="1"/>
  <c r="L390" i="1"/>
  <c r="K390" i="1"/>
  <c r="L389" i="1"/>
  <c r="K389" i="1"/>
  <c r="M389" i="1" s="1"/>
  <c r="N389" i="1" s="1"/>
  <c r="L388" i="1"/>
  <c r="K388" i="1"/>
  <c r="M388" i="1" s="1"/>
  <c r="N388" i="1" s="1"/>
  <c r="N387" i="1"/>
  <c r="L387" i="1"/>
  <c r="M387" i="1" s="1"/>
  <c r="K387" i="1"/>
  <c r="M386" i="1"/>
  <c r="N386" i="1" s="1"/>
  <c r="L386" i="1"/>
  <c r="K386" i="1"/>
  <c r="L385" i="1"/>
  <c r="K385" i="1"/>
  <c r="M385" i="1" s="1"/>
  <c r="N385" i="1" s="1"/>
  <c r="M384" i="1"/>
  <c r="N384" i="1" s="1"/>
  <c r="L384" i="1"/>
  <c r="K384" i="1"/>
  <c r="M383" i="1"/>
  <c r="N383" i="1" s="1"/>
  <c r="L383" i="1"/>
  <c r="K383" i="1"/>
  <c r="L382" i="1"/>
  <c r="M382" i="1" s="1"/>
  <c r="N382" i="1" s="1"/>
  <c r="K382" i="1"/>
  <c r="M381" i="1"/>
  <c r="N381" i="1" s="1"/>
  <c r="L381" i="1"/>
  <c r="K381" i="1"/>
  <c r="L380" i="1"/>
  <c r="M380" i="1" s="1"/>
  <c r="N380" i="1" s="1"/>
  <c r="K380" i="1"/>
  <c r="L379" i="1"/>
  <c r="M379" i="1" s="1"/>
  <c r="N379" i="1" s="1"/>
  <c r="K379" i="1"/>
  <c r="L378" i="1"/>
  <c r="M378" i="1" s="1"/>
  <c r="N378" i="1" s="1"/>
  <c r="K378" i="1"/>
  <c r="M377" i="1"/>
  <c r="N377" i="1" s="1"/>
  <c r="L377" i="1"/>
  <c r="K377" i="1"/>
  <c r="M376" i="1"/>
  <c r="N376" i="1" s="1"/>
  <c r="L376" i="1"/>
  <c r="K376" i="1"/>
  <c r="M375" i="1"/>
  <c r="N375" i="1" s="1"/>
  <c r="L375" i="1"/>
  <c r="K375" i="1"/>
  <c r="L374" i="1"/>
  <c r="M374" i="1" s="1"/>
  <c r="N374" i="1" s="1"/>
  <c r="K374" i="1"/>
  <c r="L373" i="1"/>
  <c r="M373" i="1" s="1"/>
  <c r="N373" i="1" s="1"/>
  <c r="K373" i="1"/>
  <c r="L372" i="1"/>
  <c r="M372" i="1" s="1"/>
  <c r="N372" i="1" s="1"/>
  <c r="K372" i="1"/>
  <c r="L371" i="1"/>
  <c r="K371" i="1"/>
  <c r="M371" i="1" s="1"/>
  <c r="N371" i="1" s="1"/>
  <c r="L370" i="1"/>
  <c r="M370" i="1" s="1"/>
  <c r="N370" i="1" s="1"/>
  <c r="K370" i="1"/>
  <c r="L369" i="1"/>
  <c r="K369" i="1"/>
  <c r="L368" i="1"/>
  <c r="K368" i="1"/>
  <c r="M367" i="1"/>
  <c r="N367" i="1" s="1"/>
  <c r="L367" i="1"/>
  <c r="K367" i="1"/>
  <c r="L366" i="1"/>
  <c r="M366" i="1" s="1"/>
  <c r="N366" i="1" s="1"/>
  <c r="K366" i="1"/>
  <c r="M365" i="1"/>
  <c r="N365" i="1" s="1"/>
  <c r="L365" i="1"/>
  <c r="K365" i="1"/>
  <c r="L364" i="1"/>
  <c r="K364" i="1"/>
  <c r="L363" i="1"/>
  <c r="K363" i="1"/>
  <c r="M363" i="1" s="1"/>
  <c r="N363" i="1" s="1"/>
  <c r="L362" i="1"/>
  <c r="K362" i="1"/>
  <c r="L361" i="1"/>
  <c r="K361" i="1"/>
  <c r="M360" i="1"/>
  <c r="N360" i="1" s="1"/>
  <c r="L360" i="1"/>
  <c r="K360" i="1"/>
  <c r="M359" i="1"/>
  <c r="N359" i="1" s="1"/>
  <c r="L359" i="1"/>
  <c r="K359" i="1"/>
  <c r="M358" i="1"/>
  <c r="N358" i="1" s="1"/>
  <c r="L358" i="1"/>
  <c r="K358" i="1"/>
  <c r="N357" i="1"/>
  <c r="L357" i="1"/>
  <c r="M357" i="1" s="1"/>
  <c r="K357" i="1"/>
  <c r="M356" i="1"/>
  <c r="N356" i="1" s="1"/>
  <c r="L356" i="1"/>
  <c r="K356" i="1"/>
  <c r="L355" i="1"/>
  <c r="M355" i="1" s="1"/>
  <c r="N355" i="1" s="1"/>
  <c r="K355" i="1"/>
  <c r="L354" i="1"/>
  <c r="M354" i="1" s="1"/>
  <c r="N354" i="1" s="1"/>
  <c r="K354" i="1"/>
  <c r="M353" i="1"/>
  <c r="N353" i="1" s="1"/>
  <c r="L353" i="1"/>
  <c r="K353" i="1"/>
  <c r="L352" i="1"/>
  <c r="M352" i="1" s="1"/>
  <c r="N352" i="1" s="1"/>
  <c r="K352" i="1"/>
  <c r="M351" i="1"/>
  <c r="N351" i="1" s="1"/>
  <c r="L351" i="1"/>
  <c r="K351" i="1"/>
  <c r="L350" i="1"/>
  <c r="M350" i="1" s="1"/>
  <c r="N350" i="1" s="1"/>
  <c r="K350" i="1"/>
  <c r="L349" i="1"/>
  <c r="M349" i="1" s="1"/>
  <c r="N349" i="1" s="1"/>
  <c r="K349" i="1"/>
  <c r="L348" i="1"/>
  <c r="M348" i="1" s="1"/>
  <c r="N348" i="1" s="1"/>
  <c r="K348" i="1"/>
  <c r="M347" i="1"/>
  <c r="N347" i="1" s="1"/>
  <c r="L347" i="1"/>
  <c r="K347" i="1"/>
  <c r="N346" i="1"/>
  <c r="L346" i="1"/>
  <c r="K346" i="1"/>
  <c r="M346" i="1" s="1"/>
  <c r="L345" i="1"/>
  <c r="M345" i="1" s="1"/>
  <c r="N345" i="1" s="1"/>
  <c r="K345" i="1"/>
  <c r="L344" i="1"/>
  <c r="K344" i="1"/>
  <c r="L343" i="1"/>
  <c r="M343" i="1" s="1"/>
  <c r="N343" i="1" s="1"/>
  <c r="K343" i="1"/>
  <c r="L342" i="1"/>
  <c r="M342" i="1" s="1"/>
  <c r="N342" i="1" s="1"/>
  <c r="K342" i="1"/>
  <c r="L341" i="1"/>
  <c r="K341" i="1"/>
  <c r="M341" i="1" s="1"/>
  <c r="N341" i="1" s="1"/>
  <c r="M340" i="1"/>
  <c r="N340" i="1" s="1"/>
  <c r="L340" i="1"/>
  <c r="K340" i="1"/>
  <c r="L339" i="1"/>
  <c r="K339" i="1"/>
  <c r="M338" i="1"/>
  <c r="N338" i="1" s="1"/>
  <c r="L338" i="1"/>
  <c r="K338" i="1"/>
  <c r="N337" i="1"/>
  <c r="L337" i="1"/>
  <c r="M337" i="1" s="1"/>
  <c r="K337" i="1"/>
  <c r="L336" i="1"/>
  <c r="M336" i="1" s="1"/>
  <c r="N336" i="1" s="1"/>
  <c r="K336" i="1"/>
  <c r="L335" i="1"/>
  <c r="K335" i="1"/>
  <c r="M335" i="1" s="1"/>
  <c r="N335" i="1" s="1"/>
  <c r="L334" i="1"/>
  <c r="M334" i="1" s="1"/>
  <c r="N334" i="1" s="1"/>
  <c r="K334" i="1"/>
  <c r="M333" i="1"/>
  <c r="N333" i="1" s="1"/>
  <c r="L333" i="1"/>
  <c r="K333" i="1"/>
  <c r="L332" i="1"/>
  <c r="M332" i="1" s="1"/>
  <c r="N332" i="1" s="1"/>
  <c r="K332" i="1"/>
  <c r="M331" i="1"/>
  <c r="N331" i="1" s="1"/>
  <c r="L331" i="1"/>
  <c r="K331" i="1"/>
  <c r="N330" i="1"/>
  <c r="M330" i="1"/>
  <c r="L330" i="1"/>
  <c r="K330" i="1"/>
  <c r="M329" i="1"/>
  <c r="N329" i="1" s="1"/>
  <c r="L329" i="1"/>
  <c r="K329" i="1"/>
  <c r="L328" i="1"/>
  <c r="M328" i="1" s="1"/>
  <c r="N328" i="1" s="1"/>
  <c r="K328" i="1"/>
  <c r="L327" i="1"/>
  <c r="M327" i="1" s="1"/>
  <c r="N327" i="1" s="1"/>
  <c r="K327" i="1"/>
  <c r="L326" i="1"/>
  <c r="K326" i="1"/>
  <c r="M326" i="1" s="1"/>
  <c r="N326" i="1" s="1"/>
  <c r="L325" i="1"/>
  <c r="M325" i="1" s="1"/>
  <c r="N325" i="1" s="1"/>
  <c r="K325" i="1"/>
  <c r="L324" i="1"/>
  <c r="M324" i="1" s="1"/>
  <c r="N324" i="1" s="1"/>
  <c r="K324" i="1"/>
  <c r="M323" i="1"/>
  <c r="N323" i="1" s="1"/>
  <c r="L323" i="1"/>
  <c r="K323" i="1"/>
  <c r="L322" i="1"/>
  <c r="M322" i="1" s="1"/>
  <c r="N322" i="1" s="1"/>
  <c r="K322" i="1"/>
  <c r="N321" i="1"/>
  <c r="L321" i="1"/>
  <c r="K321" i="1"/>
  <c r="M321" i="1" s="1"/>
  <c r="L320" i="1"/>
  <c r="M320" i="1" s="1"/>
  <c r="N320" i="1" s="1"/>
  <c r="K320" i="1"/>
  <c r="L319" i="1"/>
  <c r="K319" i="1"/>
  <c r="L318" i="1"/>
  <c r="M318" i="1" s="1"/>
  <c r="N318" i="1" s="1"/>
  <c r="K318" i="1"/>
  <c r="L317" i="1"/>
  <c r="K317" i="1"/>
  <c r="M317" i="1" s="1"/>
  <c r="N317" i="1" s="1"/>
  <c r="L316" i="1"/>
  <c r="K316" i="1"/>
  <c r="N315" i="1"/>
  <c r="M315" i="1"/>
  <c r="L315" i="1"/>
  <c r="K315" i="1"/>
  <c r="L314" i="1"/>
  <c r="K314" i="1"/>
  <c r="M313" i="1"/>
  <c r="N313" i="1" s="1"/>
  <c r="L313" i="1"/>
  <c r="K313" i="1"/>
  <c r="L312" i="1"/>
  <c r="M312" i="1" s="1"/>
  <c r="N312" i="1" s="1"/>
  <c r="K312" i="1"/>
  <c r="L311" i="1"/>
  <c r="K311" i="1"/>
  <c r="M311" i="1" s="1"/>
  <c r="N311" i="1" s="1"/>
  <c r="L310" i="1"/>
  <c r="M310" i="1" s="1"/>
  <c r="N310" i="1" s="1"/>
  <c r="K310" i="1"/>
  <c r="L309" i="1"/>
  <c r="M309" i="1" s="1"/>
  <c r="N309" i="1" s="1"/>
  <c r="K309" i="1"/>
  <c r="M308" i="1"/>
  <c r="N308" i="1" s="1"/>
  <c r="L308" i="1"/>
  <c r="K308" i="1"/>
  <c r="N307" i="1"/>
  <c r="L307" i="1"/>
  <c r="M307" i="1" s="1"/>
  <c r="K307" i="1"/>
  <c r="M306" i="1"/>
  <c r="N306" i="1" s="1"/>
  <c r="L306" i="1"/>
  <c r="K306" i="1"/>
  <c r="L305" i="1"/>
  <c r="M305" i="1" s="1"/>
  <c r="N305" i="1" s="1"/>
  <c r="K305" i="1"/>
  <c r="L304" i="1"/>
  <c r="M304" i="1" s="1"/>
  <c r="N304" i="1" s="1"/>
  <c r="K304" i="1"/>
  <c r="L303" i="1"/>
  <c r="K303" i="1"/>
  <c r="L302" i="1"/>
  <c r="M302" i="1" s="1"/>
  <c r="N302" i="1" s="1"/>
  <c r="K302" i="1"/>
  <c r="M301" i="1"/>
  <c r="N301" i="1" s="1"/>
  <c r="L301" i="1"/>
  <c r="K301" i="1"/>
  <c r="M300" i="1"/>
  <c r="N300" i="1" s="1"/>
  <c r="L300" i="1"/>
  <c r="K300" i="1"/>
  <c r="L299" i="1"/>
  <c r="K299" i="1"/>
  <c r="N298" i="1"/>
  <c r="M298" i="1"/>
  <c r="L298" i="1"/>
  <c r="K298" i="1"/>
  <c r="L297" i="1"/>
  <c r="M297" i="1" s="1"/>
  <c r="N297" i="1" s="1"/>
  <c r="K297" i="1"/>
  <c r="L296" i="1"/>
  <c r="K296" i="1"/>
  <c r="M296" i="1" s="1"/>
  <c r="N296" i="1" s="1"/>
  <c r="L295" i="1"/>
  <c r="M295" i="1" s="1"/>
  <c r="N295" i="1" s="1"/>
  <c r="K295" i="1"/>
  <c r="N294" i="1"/>
  <c r="L294" i="1"/>
  <c r="M294" i="1" s="1"/>
  <c r="K294" i="1"/>
  <c r="L293" i="1"/>
  <c r="K293" i="1"/>
  <c r="M292" i="1"/>
  <c r="N292" i="1" s="1"/>
  <c r="L292" i="1"/>
  <c r="K292" i="1"/>
  <c r="L291" i="1"/>
  <c r="M291" i="1" s="1"/>
  <c r="N291" i="1" s="1"/>
  <c r="K291" i="1"/>
  <c r="M290" i="1"/>
  <c r="N290" i="1" s="1"/>
  <c r="L290" i="1"/>
  <c r="K290" i="1"/>
  <c r="L289" i="1"/>
  <c r="K289" i="1"/>
  <c r="M288" i="1"/>
  <c r="N288" i="1" s="1"/>
  <c r="L288" i="1"/>
  <c r="K288" i="1"/>
  <c r="M287" i="1"/>
  <c r="N287" i="1" s="1"/>
  <c r="L287" i="1"/>
  <c r="K287" i="1"/>
  <c r="L286" i="1"/>
  <c r="M286" i="1" s="1"/>
  <c r="N286" i="1" s="1"/>
  <c r="K286" i="1"/>
  <c r="N285" i="1"/>
  <c r="M285" i="1"/>
  <c r="L285" i="1"/>
  <c r="K285" i="1"/>
  <c r="M284" i="1"/>
  <c r="N284" i="1" s="1"/>
  <c r="L284" i="1"/>
  <c r="K284" i="1"/>
  <c r="M283" i="1"/>
  <c r="N283" i="1" s="1"/>
  <c r="L283" i="1"/>
  <c r="K283" i="1"/>
  <c r="L282" i="1"/>
  <c r="M282" i="1" s="1"/>
  <c r="N282" i="1" s="1"/>
  <c r="K282" i="1"/>
  <c r="L281" i="1"/>
  <c r="M281" i="1" s="1"/>
  <c r="N281" i="1" s="1"/>
  <c r="K281" i="1"/>
  <c r="L280" i="1"/>
  <c r="M280" i="1" s="1"/>
  <c r="N280" i="1" s="1"/>
  <c r="K280" i="1"/>
  <c r="M279" i="1"/>
  <c r="N279" i="1" s="1"/>
  <c r="L279" i="1"/>
  <c r="K279" i="1"/>
  <c r="N278" i="1"/>
  <c r="M278" i="1"/>
  <c r="L278" i="1"/>
  <c r="K278" i="1"/>
  <c r="L277" i="1"/>
  <c r="M277" i="1" s="1"/>
  <c r="N277" i="1" s="1"/>
  <c r="K277" i="1"/>
  <c r="M276" i="1"/>
  <c r="N276" i="1" s="1"/>
  <c r="L276" i="1"/>
  <c r="K276" i="1"/>
  <c r="L275" i="1"/>
  <c r="M275" i="1" s="1"/>
  <c r="N275" i="1" s="1"/>
  <c r="K275" i="1"/>
  <c r="L274" i="1"/>
  <c r="K274" i="1"/>
  <c r="L273" i="1"/>
  <c r="M273" i="1" s="1"/>
  <c r="N273" i="1" s="1"/>
  <c r="K273" i="1"/>
  <c r="M272" i="1"/>
  <c r="N272" i="1" s="1"/>
  <c r="L272" i="1"/>
  <c r="K272" i="1"/>
  <c r="N271" i="1"/>
  <c r="L271" i="1"/>
  <c r="K271" i="1"/>
  <c r="M271" i="1" s="1"/>
  <c r="L270" i="1"/>
  <c r="M270" i="1" s="1"/>
  <c r="N270" i="1" s="1"/>
  <c r="K270" i="1"/>
  <c r="L269" i="1"/>
  <c r="K269" i="1"/>
  <c r="M269" i="1" s="1"/>
  <c r="N269" i="1" s="1"/>
  <c r="N268" i="1"/>
  <c r="L268" i="1"/>
  <c r="M268" i="1" s="1"/>
  <c r="K268" i="1"/>
  <c r="M267" i="1"/>
  <c r="N267" i="1" s="1"/>
  <c r="L267" i="1"/>
  <c r="K267" i="1"/>
  <c r="L266" i="1"/>
  <c r="K266" i="1"/>
  <c r="M266" i="1" s="1"/>
  <c r="N266" i="1" s="1"/>
  <c r="M265" i="1"/>
  <c r="N265" i="1" s="1"/>
  <c r="L265" i="1"/>
  <c r="K265" i="1"/>
  <c r="L264" i="1"/>
  <c r="M264" i="1" s="1"/>
  <c r="N264" i="1" s="1"/>
  <c r="K264" i="1"/>
  <c r="L263" i="1"/>
  <c r="M263" i="1" s="1"/>
  <c r="N263" i="1" s="1"/>
  <c r="K263" i="1"/>
  <c r="N262" i="1"/>
  <c r="M262" i="1"/>
  <c r="L262" i="1"/>
  <c r="K262" i="1"/>
  <c r="N261" i="1"/>
  <c r="M261" i="1"/>
  <c r="L261" i="1"/>
  <c r="K261" i="1"/>
  <c r="L260" i="1"/>
  <c r="M260" i="1" s="1"/>
  <c r="N260" i="1" s="1"/>
  <c r="K260" i="1"/>
  <c r="L259" i="1"/>
  <c r="M259" i="1" s="1"/>
  <c r="N259" i="1" s="1"/>
  <c r="K259" i="1"/>
  <c r="M258" i="1"/>
  <c r="N258" i="1" s="1"/>
  <c r="L258" i="1"/>
  <c r="K258" i="1"/>
  <c r="L257" i="1"/>
  <c r="K257" i="1"/>
  <c r="M257" i="1" s="1"/>
  <c r="N257" i="1" s="1"/>
  <c r="L256" i="1"/>
  <c r="M256" i="1" s="1"/>
  <c r="N256" i="1" s="1"/>
  <c r="K256" i="1"/>
  <c r="L255" i="1"/>
  <c r="M255" i="1" s="1"/>
  <c r="N255" i="1" s="1"/>
  <c r="K255" i="1"/>
  <c r="N254" i="1"/>
  <c r="M254" i="1"/>
  <c r="L254" i="1"/>
  <c r="K254" i="1"/>
  <c r="L253" i="1"/>
  <c r="M253" i="1" s="1"/>
  <c r="N253" i="1" s="1"/>
  <c r="K253" i="1"/>
  <c r="L252" i="1"/>
  <c r="M252" i="1" s="1"/>
  <c r="N252" i="1" s="1"/>
  <c r="K252" i="1"/>
  <c r="L251" i="1"/>
  <c r="M251" i="1" s="1"/>
  <c r="N251" i="1" s="1"/>
  <c r="K251" i="1"/>
  <c r="L250" i="1"/>
  <c r="M250" i="1" s="1"/>
  <c r="N250" i="1" s="1"/>
  <c r="K250" i="1"/>
  <c r="L249" i="1"/>
  <c r="K249" i="1"/>
  <c r="N248" i="1"/>
  <c r="L248" i="1"/>
  <c r="M248" i="1" s="1"/>
  <c r="K248" i="1"/>
  <c r="L247" i="1"/>
  <c r="M247" i="1" s="1"/>
  <c r="N247" i="1" s="1"/>
  <c r="K247" i="1"/>
  <c r="N246" i="1"/>
  <c r="M246" i="1"/>
  <c r="L246" i="1"/>
  <c r="K246" i="1"/>
  <c r="L245" i="1"/>
  <c r="K245" i="1"/>
  <c r="L244" i="1"/>
  <c r="K244" i="1"/>
  <c r="M244" i="1" s="1"/>
  <c r="N244" i="1" s="1"/>
  <c r="L243" i="1"/>
  <c r="K243" i="1"/>
  <c r="N242" i="1"/>
  <c r="L242" i="1"/>
  <c r="M242" i="1" s="1"/>
  <c r="K242" i="1"/>
  <c r="N241" i="1"/>
  <c r="L241" i="1"/>
  <c r="M241" i="1" s="1"/>
  <c r="K241" i="1"/>
  <c r="M240" i="1"/>
  <c r="N240" i="1" s="1"/>
  <c r="L240" i="1"/>
  <c r="K240" i="1"/>
  <c r="M239" i="1"/>
  <c r="N239" i="1" s="1"/>
  <c r="L239" i="1"/>
  <c r="K239" i="1"/>
  <c r="N238" i="1"/>
  <c r="L238" i="1"/>
  <c r="M238" i="1" s="1"/>
  <c r="K238" i="1"/>
  <c r="M237" i="1"/>
  <c r="N237" i="1" s="1"/>
  <c r="L237" i="1"/>
  <c r="K237" i="1"/>
  <c r="L236" i="1"/>
  <c r="M236" i="1" s="1"/>
  <c r="N236" i="1" s="1"/>
  <c r="K236" i="1"/>
  <c r="L235" i="1"/>
  <c r="M235" i="1" s="1"/>
  <c r="N235" i="1" s="1"/>
  <c r="K235" i="1"/>
  <c r="N234" i="1"/>
  <c r="M234" i="1"/>
  <c r="L234" i="1"/>
  <c r="K234" i="1"/>
  <c r="L233" i="1"/>
  <c r="M233" i="1" s="1"/>
  <c r="N233" i="1" s="1"/>
  <c r="K233" i="1"/>
  <c r="M232" i="1"/>
  <c r="N232" i="1" s="1"/>
  <c r="L232" i="1"/>
  <c r="K232" i="1"/>
  <c r="M231" i="1"/>
  <c r="N231" i="1" s="1"/>
  <c r="L231" i="1"/>
  <c r="K231" i="1"/>
  <c r="L230" i="1"/>
  <c r="M230" i="1" s="1"/>
  <c r="N230" i="1" s="1"/>
  <c r="K230" i="1"/>
  <c r="L229" i="1"/>
  <c r="K229" i="1"/>
  <c r="L228" i="1"/>
  <c r="M228" i="1" s="1"/>
  <c r="N228" i="1" s="1"/>
  <c r="K228" i="1"/>
  <c r="L227" i="1"/>
  <c r="K227" i="1"/>
  <c r="M227" i="1" s="1"/>
  <c r="N227" i="1" s="1"/>
  <c r="L226" i="1"/>
  <c r="M226" i="1" s="1"/>
  <c r="N226" i="1" s="1"/>
  <c r="K226" i="1"/>
  <c r="L225" i="1"/>
  <c r="K225" i="1"/>
  <c r="L224" i="1"/>
  <c r="M224" i="1" s="1"/>
  <c r="N224" i="1" s="1"/>
  <c r="K224" i="1"/>
  <c r="M223" i="1"/>
  <c r="N223" i="1" s="1"/>
  <c r="L223" i="1"/>
  <c r="K223" i="1"/>
  <c r="M222" i="1"/>
  <c r="N222" i="1" s="1"/>
  <c r="L222" i="1"/>
  <c r="K222" i="1"/>
  <c r="M221" i="1"/>
  <c r="N221" i="1" s="1"/>
  <c r="L221" i="1"/>
  <c r="K221" i="1"/>
  <c r="L220" i="1"/>
  <c r="K220" i="1"/>
  <c r="M219" i="1"/>
  <c r="N219" i="1" s="1"/>
  <c r="L219" i="1"/>
  <c r="K219" i="1"/>
  <c r="L218" i="1"/>
  <c r="K218" i="1"/>
  <c r="M217" i="1"/>
  <c r="N217" i="1" s="1"/>
  <c r="L217" i="1"/>
  <c r="K217" i="1"/>
  <c r="M216" i="1"/>
  <c r="N216" i="1" s="1"/>
  <c r="L216" i="1"/>
  <c r="K216" i="1"/>
  <c r="L215" i="1"/>
  <c r="M215" i="1" s="1"/>
  <c r="N215" i="1" s="1"/>
  <c r="K215" i="1"/>
  <c r="M214" i="1"/>
  <c r="N214" i="1" s="1"/>
  <c r="L214" i="1"/>
  <c r="K214" i="1"/>
  <c r="N213" i="1"/>
  <c r="L213" i="1"/>
  <c r="M213" i="1" s="1"/>
  <c r="K213" i="1"/>
  <c r="M212" i="1"/>
  <c r="N212" i="1" s="1"/>
  <c r="L212" i="1"/>
  <c r="K212" i="1"/>
  <c r="L211" i="1"/>
  <c r="M211" i="1" s="1"/>
  <c r="N211" i="1" s="1"/>
  <c r="K211" i="1"/>
  <c r="N210" i="1"/>
  <c r="M210" i="1"/>
  <c r="L210" i="1"/>
  <c r="K210" i="1"/>
  <c r="M209" i="1"/>
  <c r="N209" i="1" s="1"/>
  <c r="L209" i="1"/>
  <c r="K209" i="1"/>
  <c r="L208" i="1"/>
  <c r="M208" i="1" s="1"/>
  <c r="N208" i="1" s="1"/>
  <c r="K208" i="1"/>
  <c r="L207" i="1"/>
  <c r="K207" i="1"/>
  <c r="M207" i="1" s="1"/>
  <c r="N207" i="1" s="1"/>
  <c r="L206" i="1"/>
  <c r="M206" i="1" s="1"/>
  <c r="N206" i="1" s="1"/>
  <c r="K206" i="1"/>
  <c r="L205" i="1"/>
  <c r="K205" i="1"/>
  <c r="M204" i="1"/>
  <c r="N204" i="1" s="1"/>
  <c r="L204" i="1"/>
  <c r="K204" i="1"/>
  <c r="L203" i="1"/>
  <c r="M203" i="1" s="1"/>
  <c r="N203" i="1" s="1"/>
  <c r="K203" i="1"/>
  <c r="N202" i="1"/>
  <c r="L202" i="1"/>
  <c r="K202" i="1"/>
  <c r="M202" i="1" s="1"/>
  <c r="L201" i="1"/>
  <c r="M201" i="1" s="1"/>
  <c r="N201" i="1" s="1"/>
  <c r="K201" i="1"/>
  <c r="L200" i="1"/>
  <c r="K200" i="1"/>
  <c r="L199" i="1"/>
  <c r="K199" i="1"/>
  <c r="L198" i="1"/>
  <c r="M198" i="1" s="1"/>
  <c r="N198" i="1" s="1"/>
  <c r="K198" i="1"/>
  <c r="L197" i="1"/>
  <c r="K197" i="1"/>
  <c r="M196" i="1"/>
  <c r="N196" i="1" s="1"/>
  <c r="L196" i="1"/>
  <c r="K196" i="1"/>
  <c r="L195" i="1"/>
  <c r="K195" i="1"/>
  <c r="M194" i="1"/>
  <c r="N194" i="1" s="1"/>
  <c r="L194" i="1"/>
  <c r="K194" i="1"/>
  <c r="L193" i="1"/>
  <c r="K193" i="1"/>
  <c r="M192" i="1"/>
  <c r="N192" i="1" s="1"/>
  <c r="L192" i="1"/>
  <c r="K192" i="1"/>
  <c r="L191" i="1"/>
  <c r="M191" i="1" s="1"/>
  <c r="N191" i="1" s="1"/>
  <c r="K191" i="1"/>
  <c r="M190" i="1"/>
  <c r="N190" i="1" s="1"/>
  <c r="L190" i="1"/>
  <c r="K190" i="1"/>
  <c r="N189" i="1"/>
  <c r="L189" i="1"/>
  <c r="M189" i="1" s="1"/>
  <c r="K189" i="1"/>
  <c r="L188" i="1"/>
  <c r="K188" i="1"/>
  <c r="M188" i="1" s="1"/>
  <c r="N188" i="1" s="1"/>
  <c r="L187" i="1"/>
  <c r="K187" i="1"/>
  <c r="L186" i="1"/>
  <c r="M186" i="1" s="1"/>
  <c r="N186" i="1" s="1"/>
  <c r="K186" i="1"/>
  <c r="L185" i="1"/>
  <c r="M185" i="1" s="1"/>
  <c r="N185" i="1" s="1"/>
  <c r="K185" i="1"/>
  <c r="N184" i="1"/>
  <c r="M184" i="1"/>
  <c r="L184" i="1"/>
  <c r="K184" i="1"/>
  <c r="L183" i="1"/>
  <c r="M183" i="1" s="1"/>
  <c r="N183" i="1" s="1"/>
  <c r="K183" i="1"/>
  <c r="M182" i="1"/>
  <c r="N182" i="1" s="1"/>
  <c r="L182" i="1"/>
  <c r="K182" i="1"/>
  <c r="L181" i="1"/>
  <c r="K181" i="1"/>
  <c r="L180" i="1"/>
  <c r="M180" i="1" s="1"/>
  <c r="N180" i="1" s="1"/>
  <c r="K180" i="1"/>
  <c r="L179" i="1"/>
  <c r="M179" i="1" s="1"/>
  <c r="N179" i="1" s="1"/>
  <c r="K179" i="1"/>
  <c r="M178" i="1"/>
  <c r="N178" i="1" s="1"/>
  <c r="L178" i="1"/>
  <c r="K178" i="1"/>
  <c r="L177" i="1"/>
  <c r="K177" i="1"/>
  <c r="M176" i="1"/>
  <c r="N176" i="1" s="1"/>
  <c r="L176" i="1"/>
  <c r="K176" i="1"/>
  <c r="N175" i="1"/>
  <c r="L175" i="1"/>
  <c r="M175" i="1" s="1"/>
  <c r="K175" i="1"/>
  <c r="L174" i="1"/>
  <c r="M174" i="1" s="1"/>
  <c r="N174" i="1" s="1"/>
  <c r="K174" i="1"/>
  <c r="L173" i="1"/>
  <c r="M173" i="1" s="1"/>
  <c r="N173" i="1" s="1"/>
  <c r="K173" i="1"/>
  <c r="L172" i="1"/>
  <c r="M172" i="1" s="1"/>
  <c r="N172" i="1" s="1"/>
  <c r="K172" i="1"/>
  <c r="L171" i="1"/>
  <c r="K171" i="1"/>
  <c r="M170" i="1"/>
  <c r="N170" i="1" s="1"/>
  <c r="L170" i="1"/>
  <c r="K170" i="1"/>
  <c r="N169" i="1"/>
  <c r="L169" i="1"/>
  <c r="M169" i="1" s="1"/>
  <c r="K169" i="1"/>
  <c r="N168" i="1"/>
  <c r="M168" i="1"/>
  <c r="L168" i="1"/>
  <c r="K168" i="1"/>
  <c r="M167" i="1"/>
  <c r="N167" i="1" s="1"/>
  <c r="L167" i="1"/>
  <c r="K167" i="1"/>
  <c r="M166" i="1"/>
  <c r="N166" i="1" s="1"/>
  <c r="L166" i="1"/>
  <c r="K166" i="1"/>
  <c r="L165" i="1"/>
  <c r="M165" i="1" s="1"/>
  <c r="N165" i="1" s="1"/>
  <c r="K165" i="1"/>
  <c r="L164" i="1"/>
  <c r="K164" i="1"/>
  <c r="M164" i="1" s="1"/>
  <c r="N164" i="1" s="1"/>
  <c r="L163" i="1"/>
  <c r="K163" i="1"/>
  <c r="M162" i="1"/>
  <c r="N162" i="1" s="1"/>
  <c r="L162" i="1"/>
  <c r="K162" i="1"/>
  <c r="L161" i="1"/>
  <c r="M161" i="1" s="1"/>
  <c r="N161" i="1" s="1"/>
  <c r="K161" i="1"/>
  <c r="N160" i="1"/>
  <c r="M160" i="1"/>
  <c r="L160" i="1"/>
  <c r="K160" i="1"/>
  <c r="L159" i="1"/>
  <c r="K159" i="1"/>
  <c r="L158" i="1"/>
  <c r="K158" i="1"/>
  <c r="M158" i="1" s="1"/>
  <c r="N158" i="1" s="1"/>
  <c r="L157" i="1"/>
  <c r="K157" i="1"/>
  <c r="L156" i="1"/>
  <c r="K156" i="1"/>
  <c r="N155" i="1"/>
  <c r="L155" i="1"/>
  <c r="M155" i="1" s="1"/>
  <c r="K155" i="1"/>
  <c r="L154" i="1"/>
  <c r="M154" i="1" s="1"/>
  <c r="N154" i="1" s="1"/>
  <c r="K154" i="1"/>
  <c r="L153" i="1"/>
  <c r="K153" i="1"/>
  <c r="M152" i="1"/>
  <c r="N152" i="1" s="1"/>
  <c r="L152" i="1"/>
  <c r="K152" i="1"/>
  <c r="L151" i="1"/>
  <c r="M151" i="1" s="1"/>
  <c r="N151" i="1" s="1"/>
  <c r="K151" i="1"/>
  <c r="L150" i="1"/>
  <c r="K150" i="1"/>
  <c r="L149" i="1"/>
  <c r="K149" i="1"/>
  <c r="M148" i="1"/>
  <c r="N148" i="1" s="1"/>
  <c r="L148" i="1"/>
  <c r="K148" i="1"/>
  <c r="L147" i="1"/>
  <c r="K147" i="1"/>
  <c r="M146" i="1"/>
  <c r="N146" i="1" s="1"/>
  <c r="L146" i="1"/>
  <c r="K146" i="1"/>
  <c r="L145" i="1"/>
  <c r="K145" i="1"/>
  <c r="L144" i="1"/>
  <c r="K144" i="1"/>
  <c r="M144" i="1" s="1"/>
  <c r="N144" i="1" s="1"/>
  <c r="L143" i="1"/>
  <c r="M143" i="1" s="1"/>
  <c r="N143" i="1" s="1"/>
  <c r="K143" i="1"/>
  <c r="M142" i="1"/>
  <c r="N142" i="1" s="1"/>
  <c r="L142" i="1"/>
  <c r="K142" i="1"/>
  <c r="N141" i="1"/>
  <c r="L141" i="1"/>
  <c r="M141" i="1" s="1"/>
  <c r="K141" i="1"/>
  <c r="L140" i="1"/>
  <c r="K140" i="1"/>
  <c r="M140" i="1" s="1"/>
  <c r="N140" i="1" s="1"/>
  <c r="L139" i="1"/>
  <c r="K139" i="1"/>
  <c r="L138" i="1"/>
  <c r="M138" i="1" s="1"/>
  <c r="N138" i="1" s="1"/>
  <c r="K138" i="1"/>
  <c r="L137" i="1"/>
  <c r="M137" i="1" s="1"/>
  <c r="N137" i="1" s="1"/>
  <c r="K137" i="1"/>
  <c r="L136" i="1"/>
  <c r="K136" i="1"/>
  <c r="M136" i="1" s="1"/>
  <c r="N136" i="1" s="1"/>
  <c r="N135" i="1"/>
  <c r="L135" i="1"/>
  <c r="M135" i="1" s="1"/>
  <c r="K135" i="1"/>
  <c r="N134" i="1"/>
  <c r="M134" i="1"/>
  <c r="L134" i="1"/>
  <c r="K134" i="1"/>
  <c r="L133" i="1"/>
  <c r="M133" i="1" s="1"/>
  <c r="N133" i="1" s="1"/>
  <c r="K133" i="1"/>
  <c r="L132" i="1"/>
  <c r="M132" i="1" s="1"/>
  <c r="N132" i="1" s="1"/>
  <c r="K132" i="1"/>
  <c r="L131" i="1"/>
  <c r="M131" i="1" s="1"/>
  <c r="N131" i="1" s="1"/>
  <c r="K131" i="1"/>
  <c r="L130" i="1"/>
  <c r="K130" i="1"/>
  <c r="L129" i="1"/>
  <c r="M129" i="1" s="1"/>
  <c r="N129" i="1" s="1"/>
  <c r="K129" i="1"/>
  <c r="N128" i="1"/>
  <c r="L128" i="1"/>
  <c r="K128" i="1"/>
  <c r="M128" i="1" s="1"/>
  <c r="L127" i="1"/>
  <c r="K127" i="1"/>
  <c r="N126" i="1"/>
  <c r="M126" i="1"/>
  <c r="L126" i="1"/>
  <c r="K126" i="1"/>
  <c r="L125" i="1"/>
  <c r="M125" i="1" s="1"/>
  <c r="N125" i="1" s="1"/>
  <c r="K125" i="1"/>
  <c r="L124" i="1"/>
  <c r="M124" i="1" s="1"/>
  <c r="N124" i="1" s="1"/>
  <c r="K124" i="1"/>
  <c r="L123" i="1"/>
  <c r="M123" i="1" s="1"/>
  <c r="N123" i="1" s="1"/>
  <c r="K123" i="1"/>
  <c r="M122" i="1"/>
  <c r="N122" i="1" s="1"/>
  <c r="L122" i="1"/>
  <c r="K122" i="1"/>
  <c r="N121" i="1"/>
  <c r="L121" i="1"/>
  <c r="M121" i="1" s="1"/>
  <c r="K121" i="1"/>
  <c r="L120" i="1"/>
  <c r="M120" i="1" s="1"/>
  <c r="N120" i="1" s="1"/>
  <c r="K120" i="1"/>
  <c r="L119" i="1"/>
  <c r="M119" i="1" s="1"/>
  <c r="N119" i="1" s="1"/>
  <c r="K119" i="1"/>
  <c r="L118" i="1"/>
  <c r="M118" i="1" s="1"/>
  <c r="N118" i="1" s="1"/>
  <c r="K118" i="1"/>
  <c r="L117" i="1"/>
  <c r="K117" i="1"/>
  <c r="N116" i="1"/>
  <c r="L116" i="1"/>
  <c r="K116" i="1"/>
  <c r="M116" i="1" s="1"/>
  <c r="L115" i="1"/>
  <c r="K115" i="1"/>
  <c r="L114" i="1"/>
  <c r="M114" i="1" s="1"/>
  <c r="N114" i="1" s="1"/>
  <c r="K114" i="1"/>
  <c r="N113" i="1"/>
  <c r="M113" i="1"/>
  <c r="L113" i="1"/>
  <c r="K113" i="1"/>
  <c r="L112" i="1"/>
  <c r="M112" i="1" s="1"/>
  <c r="N112" i="1" s="1"/>
  <c r="K112" i="1"/>
  <c r="L111" i="1"/>
  <c r="K111" i="1"/>
  <c r="M110" i="1"/>
  <c r="N110" i="1" s="1"/>
  <c r="L110" i="1"/>
  <c r="K110" i="1"/>
  <c r="L109" i="1"/>
  <c r="K109" i="1"/>
  <c r="M108" i="1"/>
  <c r="N108" i="1" s="1"/>
  <c r="L108" i="1"/>
  <c r="K108" i="1"/>
  <c r="L107" i="1"/>
  <c r="M107" i="1" s="1"/>
  <c r="N107" i="1" s="1"/>
  <c r="K107" i="1"/>
  <c r="L106" i="1"/>
  <c r="M106" i="1" s="1"/>
  <c r="N106" i="1" s="1"/>
  <c r="K106" i="1"/>
  <c r="L105" i="1"/>
  <c r="K105" i="1"/>
  <c r="L104" i="1"/>
  <c r="K104" i="1"/>
  <c r="M104" i="1" s="1"/>
  <c r="N104" i="1" s="1"/>
  <c r="L103" i="1"/>
  <c r="K103" i="1"/>
  <c r="M102" i="1"/>
  <c r="N102" i="1" s="1"/>
  <c r="L102" i="1"/>
  <c r="K102" i="1"/>
  <c r="L101" i="1"/>
  <c r="M101" i="1" s="1"/>
  <c r="N101" i="1" s="1"/>
  <c r="K101" i="1"/>
  <c r="N100" i="1"/>
  <c r="M100" i="1"/>
  <c r="L100" i="1"/>
  <c r="K100" i="1"/>
  <c r="L99" i="1"/>
  <c r="K99" i="1"/>
  <c r="L98" i="1"/>
  <c r="K98" i="1"/>
  <c r="M98" i="1" s="1"/>
  <c r="N98" i="1" s="1"/>
  <c r="L97" i="1"/>
  <c r="K97" i="1"/>
  <c r="L96" i="1"/>
  <c r="M96" i="1" s="1"/>
  <c r="N96" i="1" s="1"/>
  <c r="K96" i="1"/>
  <c r="M95" i="1"/>
  <c r="N95" i="1" s="1"/>
  <c r="L95" i="1"/>
  <c r="K95" i="1"/>
  <c r="L94" i="1"/>
  <c r="M94" i="1" s="1"/>
  <c r="N94" i="1" s="1"/>
  <c r="K94" i="1"/>
  <c r="L93" i="1"/>
  <c r="K93" i="1"/>
  <c r="L92" i="1"/>
  <c r="K92" i="1"/>
  <c r="M92" i="1" s="1"/>
  <c r="N92" i="1" s="1"/>
  <c r="L91" i="1"/>
  <c r="K91" i="1"/>
  <c r="M90" i="1"/>
  <c r="N90" i="1" s="1"/>
  <c r="L90" i="1"/>
  <c r="K90" i="1"/>
  <c r="M89" i="1"/>
  <c r="N89" i="1" s="1"/>
  <c r="L89" i="1"/>
  <c r="K89" i="1"/>
  <c r="L88" i="1"/>
  <c r="M88" i="1" s="1"/>
  <c r="N88" i="1" s="1"/>
  <c r="K88" i="1"/>
  <c r="N87" i="1"/>
  <c r="L87" i="1"/>
  <c r="M87" i="1" s="1"/>
  <c r="K87" i="1"/>
  <c r="M86" i="1"/>
  <c r="N86" i="1" s="1"/>
  <c r="L86" i="1"/>
  <c r="K86" i="1"/>
  <c r="L85" i="1"/>
  <c r="M85" i="1" s="1"/>
  <c r="N85" i="1" s="1"/>
  <c r="K85" i="1"/>
  <c r="L84" i="1"/>
  <c r="K84" i="1"/>
  <c r="L83" i="1"/>
  <c r="M83" i="1" s="1"/>
  <c r="N83" i="1" s="1"/>
  <c r="K83" i="1"/>
  <c r="M82" i="1"/>
  <c r="N82" i="1" s="1"/>
  <c r="L82" i="1"/>
  <c r="K82" i="1"/>
  <c r="L81" i="1"/>
  <c r="K81" i="1"/>
  <c r="L80" i="1"/>
  <c r="K80" i="1"/>
  <c r="M80" i="1" s="1"/>
  <c r="N80" i="1" s="1"/>
  <c r="L79" i="1"/>
  <c r="K79" i="1"/>
  <c r="L78" i="1"/>
  <c r="M78" i="1" s="1"/>
  <c r="N78" i="1" s="1"/>
  <c r="K78" i="1"/>
  <c r="M77" i="1"/>
  <c r="N77" i="1" s="1"/>
  <c r="L77" i="1"/>
  <c r="K77" i="1"/>
  <c r="M76" i="1"/>
  <c r="N76" i="1" s="1"/>
  <c r="L76" i="1"/>
  <c r="K76" i="1"/>
  <c r="L75" i="1"/>
  <c r="K75" i="1"/>
  <c r="M74" i="1"/>
  <c r="N74" i="1" s="1"/>
  <c r="L74" i="1"/>
  <c r="K74" i="1"/>
  <c r="L73" i="1"/>
  <c r="M73" i="1" s="1"/>
  <c r="N73" i="1" s="1"/>
  <c r="K73" i="1"/>
  <c r="L72" i="1"/>
  <c r="M72" i="1" s="1"/>
  <c r="N72" i="1" s="1"/>
  <c r="K72" i="1"/>
  <c r="L71" i="1"/>
  <c r="M71" i="1" s="1"/>
  <c r="N71" i="1" s="1"/>
  <c r="K71" i="1"/>
  <c r="L70" i="1"/>
  <c r="M70" i="1" s="1"/>
  <c r="N70" i="1" s="1"/>
  <c r="K70" i="1"/>
  <c r="L69" i="1"/>
  <c r="M69" i="1" s="1"/>
  <c r="N69" i="1" s="1"/>
  <c r="K69" i="1"/>
  <c r="L68" i="1"/>
  <c r="K68" i="1"/>
  <c r="M68" i="1" s="1"/>
  <c r="N68" i="1" s="1"/>
  <c r="L67" i="1"/>
  <c r="K67" i="1"/>
  <c r="L66" i="1"/>
  <c r="M66" i="1" s="1"/>
  <c r="N66" i="1" s="1"/>
  <c r="K66" i="1"/>
  <c r="L65" i="1"/>
  <c r="M65" i="1" s="1"/>
  <c r="N65" i="1" s="1"/>
  <c r="K65" i="1"/>
  <c r="M64" i="1"/>
  <c r="N64" i="1" s="1"/>
  <c r="L64" i="1"/>
  <c r="K64" i="1"/>
  <c r="L63" i="1"/>
  <c r="M63" i="1" s="1"/>
  <c r="N63" i="1" s="1"/>
  <c r="K63" i="1"/>
  <c r="N62" i="1"/>
  <c r="M62" i="1"/>
  <c r="L62" i="1"/>
  <c r="K62" i="1"/>
  <c r="L61" i="1"/>
  <c r="M61" i="1" s="1"/>
  <c r="N61" i="1" s="1"/>
  <c r="K61" i="1"/>
  <c r="L60" i="1"/>
  <c r="M60" i="1" s="1"/>
  <c r="N60" i="1" s="1"/>
  <c r="K60" i="1"/>
  <c r="L59" i="1"/>
  <c r="M59" i="1" s="1"/>
  <c r="N59" i="1" s="1"/>
  <c r="K59" i="1"/>
  <c r="L58" i="1"/>
  <c r="K58" i="1"/>
  <c r="L57" i="1"/>
  <c r="K57" i="1"/>
  <c r="L56" i="1"/>
  <c r="K56" i="1"/>
  <c r="M56" i="1" s="1"/>
  <c r="N56" i="1" s="1"/>
  <c r="L55" i="1"/>
  <c r="K55" i="1"/>
  <c r="N54" i="1"/>
  <c r="M54" i="1"/>
  <c r="L54" i="1"/>
  <c r="K54" i="1"/>
  <c r="L53" i="1"/>
  <c r="M53" i="1" s="1"/>
  <c r="N53" i="1" s="1"/>
  <c r="K53" i="1"/>
  <c r="L52" i="1"/>
  <c r="M52" i="1" s="1"/>
  <c r="N52" i="1" s="1"/>
  <c r="K52" i="1"/>
  <c r="L51" i="1"/>
  <c r="M51" i="1" s="1"/>
  <c r="N51" i="1" s="1"/>
  <c r="K51" i="1"/>
  <c r="M50" i="1"/>
  <c r="N50" i="1" s="1"/>
  <c r="L50" i="1"/>
  <c r="K50" i="1"/>
  <c r="N49" i="1"/>
  <c r="L49" i="1"/>
  <c r="M49" i="1" s="1"/>
  <c r="K49" i="1"/>
  <c r="L48" i="1"/>
  <c r="M48" i="1" s="1"/>
  <c r="N48" i="1" s="1"/>
  <c r="K48" i="1"/>
  <c r="L47" i="1"/>
  <c r="M47" i="1" s="1"/>
  <c r="N47" i="1" s="1"/>
  <c r="K47" i="1"/>
  <c r="L46" i="1"/>
  <c r="M46" i="1" s="1"/>
  <c r="N46" i="1" s="1"/>
  <c r="K46" i="1"/>
  <c r="L45" i="1"/>
  <c r="K45" i="1"/>
  <c r="L44" i="1"/>
  <c r="K44" i="1"/>
  <c r="M44" i="1" s="1"/>
  <c r="N44" i="1" s="1"/>
  <c r="L43" i="1"/>
  <c r="K43" i="1"/>
  <c r="L42" i="1"/>
  <c r="M42" i="1" s="1"/>
  <c r="N42" i="1" s="1"/>
  <c r="K42" i="1"/>
  <c r="N41" i="1"/>
  <c r="M41" i="1"/>
  <c r="L41" i="1"/>
  <c r="K41" i="1"/>
  <c r="L40" i="1"/>
  <c r="M40" i="1" s="1"/>
  <c r="N40" i="1" s="1"/>
  <c r="K40" i="1"/>
  <c r="L39" i="1"/>
  <c r="K39" i="1"/>
  <c r="M38" i="1"/>
  <c r="N38" i="1" s="1"/>
  <c r="L38" i="1"/>
  <c r="K38" i="1"/>
  <c r="L37" i="1"/>
  <c r="M37" i="1" s="1"/>
  <c r="N37" i="1" s="1"/>
  <c r="K37" i="1"/>
  <c r="M36" i="1"/>
  <c r="N36" i="1" s="1"/>
  <c r="L36" i="1"/>
  <c r="K36" i="1"/>
  <c r="L35" i="1"/>
  <c r="M35" i="1" s="1"/>
  <c r="N35" i="1" s="1"/>
  <c r="K35" i="1"/>
  <c r="L34" i="1"/>
  <c r="M34" i="1" s="1"/>
  <c r="N34" i="1" s="1"/>
  <c r="K34" i="1"/>
  <c r="L33" i="1"/>
  <c r="K33" i="1"/>
  <c r="L32" i="1"/>
  <c r="K32" i="1"/>
  <c r="M32" i="1" s="1"/>
  <c r="N32" i="1" s="1"/>
  <c r="L31" i="1"/>
  <c r="K31" i="1"/>
  <c r="M30" i="1"/>
  <c r="N30" i="1" s="1"/>
  <c r="L30" i="1"/>
  <c r="K30" i="1"/>
  <c r="L29" i="1"/>
  <c r="M29" i="1" s="1"/>
  <c r="N29" i="1" s="1"/>
  <c r="K29" i="1"/>
  <c r="N28" i="1"/>
  <c r="M28" i="1"/>
  <c r="L28" i="1"/>
  <c r="K28" i="1"/>
  <c r="L27" i="1"/>
  <c r="K27" i="1"/>
  <c r="L26" i="1"/>
  <c r="K26" i="1"/>
  <c r="M26" i="1" s="1"/>
  <c r="N26" i="1" s="1"/>
  <c r="L25" i="1"/>
  <c r="K25" i="1"/>
  <c r="M24" i="1"/>
  <c r="N24" i="1" s="1"/>
  <c r="L24" i="1"/>
  <c r="K24" i="1"/>
  <c r="M23" i="1"/>
  <c r="N23" i="1" s="1"/>
  <c r="L23" i="1"/>
  <c r="K23" i="1"/>
  <c r="L22" i="1"/>
  <c r="M22" i="1" s="1"/>
  <c r="N22" i="1" s="1"/>
  <c r="K22" i="1"/>
  <c r="L21" i="1"/>
  <c r="K21" i="1"/>
  <c r="L20" i="1"/>
  <c r="K20" i="1"/>
  <c r="M20" i="1" s="1"/>
  <c r="N20" i="1" s="1"/>
  <c r="L19" i="1"/>
  <c r="K19" i="1"/>
  <c r="L18" i="1"/>
  <c r="K18" i="1"/>
  <c r="L17" i="1"/>
  <c r="K17" i="1"/>
  <c r="L16" i="1"/>
  <c r="K16" i="1"/>
  <c r="L15" i="1"/>
  <c r="K15" i="1"/>
  <c r="L14" i="1"/>
  <c r="K14" i="1"/>
  <c r="M14" i="1" s="1"/>
  <c r="N14" i="1" s="1"/>
  <c r="L13" i="1"/>
  <c r="K13" i="1"/>
  <c r="L12" i="1"/>
  <c r="K12" i="1"/>
  <c r="M12" i="1" s="1"/>
  <c r="N12" i="1" s="1"/>
  <c r="L11" i="1"/>
  <c r="K11" i="1"/>
  <c r="M11" i="1" s="1"/>
  <c r="N11" i="1" s="1"/>
  <c r="L10" i="1"/>
  <c r="K10" i="1"/>
  <c r="L9" i="1"/>
  <c r="K9" i="1"/>
  <c r="M9" i="1" s="1"/>
  <c r="N9" i="1" s="1"/>
  <c r="L8" i="1"/>
  <c r="K8" i="1"/>
  <c r="M8" i="1" s="1"/>
  <c r="N8" i="1" s="1"/>
  <c r="L7" i="1"/>
  <c r="K7" i="1"/>
  <c r="L6" i="1"/>
  <c r="K6" i="1"/>
  <c r="L5" i="1"/>
  <c r="K5" i="1"/>
  <c r="M5" i="1" s="1"/>
  <c r="N5" i="1" s="1"/>
  <c r="L4" i="1"/>
  <c r="K4" i="1"/>
  <c r="M4" i="1" s="1"/>
  <c r="N4" i="1" s="1"/>
  <c r="L3" i="1"/>
  <c r="K3" i="1"/>
  <c r="M3" i="1" s="1"/>
  <c r="N3" i="1" s="1"/>
  <c r="L2" i="1"/>
  <c r="K2" i="1"/>
  <c r="B38" i="19"/>
  <c r="B44" i="19"/>
  <c r="B54" i="19"/>
  <c r="B39" i="19"/>
  <c r="B46" i="19"/>
  <c r="B40" i="19"/>
  <c r="B51" i="19"/>
  <c r="B53" i="19"/>
  <c r="B41" i="19"/>
  <c r="B42" i="19"/>
  <c r="B43" i="19"/>
  <c r="B45" i="19"/>
  <c r="B47" i="19"/>
  <c r="B49" i="19"/>
  <c r="B50" i="19"/>
  <c r="B55" i="19"/>
  <c r="B48" i="19"/>
  <c r="B52" i="19"/>
  <c r="B56" i="19"/>
  <c r="B57" i="19"/>
  <c r="B37" i="19"/>
  <c r="G8" i="19"/>
  <c r="G9" i="19"/>
  <c r="G10" i="19"/>
  <c r="G11" i="19"/>
  <c r="G12" i="19"/>
  <c r="G14" i="19"/>
  <c r="G15" i="19"/>
  <c r="G16" i="19"/>
  <c r="G17" i="19"/>
  <c r="G18" i="19"/>
  <c r="G13" i="19"/>
  <c r="G7" i="19"/>
  <c r="M2" i="1" l="1"/>
  <c r="N2" i="1" s="1"/>
  <c r="M21" i="1"/>
  <c r="N21" i="1" s="1"/>
  <c r="M6" i="1"/>
  <c r="N6" i="1" s="1"/>
  <c r="M17" i="1"/>
  <c r="N17" i="1" s="1"/>
  <c r="M15" i="1"/>
  <c r="N15" i="1" s="1"/>
  <c r="M10" i="1"/>
  <c r="N10" i="1" s="1"/>
  <c r="M16" i="1"/>
  <c r="N16" i="1" s="1"/>
  <c r="M293" i="1"/>
  <c r="N293" i="1" s="1"/>
  <c r="M784" i="1"/>
  <c r="N784" i="1" s="1"/>
  <c r="M229" i="1"/>
  <c r="N229" i="1" s="1"/>
  <c r="M303" i="1"/>
  <c r="N303" i="1" s="1"/>
  <c r="M575" i="1"/>
  <c r="N575" i="1" s="1"/>
  <c r="M18" i="1"/>
  <c r="N18" i="1" s="1"/>
  <c r="M57" i="1"/>
  <c r="N57" i="1" s="1"/>
  <c r="M361" i="1"/>
  <c r="N361" i="1" s="1"/>
  <c r="M58" i="1"/>
  <c r="N58" i="1" s="1"/>
  <c r="M527" i="1"/>
  <c r="N527" i="1" s="1"/>
  <c r="M156" i="1"/>
  <c r="N156" i="1" s="1"/>
  <c r="M568" i="1"/>
  <c r="N568" i="1" s="1"/>
  <c r="M611" i="1"/>
  <c r="N611" i="1" s="1"/>
  <c r="M109" i="1"/>
  <c r="N109" i="1" s="1"/>
  <c r="M316" i="1"/>
  <c r="N316" i="1" s="1"/>
  <c r="M205" i="1"/>
  <c r="N205" i="1" s="1"/>
  <c r="M149" i="1"/>
  <c r="N149" i="1" s="1"/>
  <c r="M130" i="1"/>
  <c r="N130" i="1" s="1"/>
  <c r="M150" i="1"/>
  <c r="N150" i="1" s="1"/>
  <c r="M791" i="1"/>
  <c r="N791" i="1" s="1"/>
  <c r="M197" i="1"/>
  <c r="N197" i="1" s="1"/>
  <c r="M368" i="1"/>
  <c r="N368" i="1" s="1"/>
  <c r="M84" i="1"/>
  <c r="N84" i="1" s="1"/>
  <c r="M398" i="1"/>
  <c r="N398" i="1" s="1"/>
  <c r="M713" i="1"/>
  <c r="N713" i="1" s="1"/>
  <c r="M43" i="1"/>
  <c r="N43" i="1" s="1"/>
  <c r="M115" i="1"/>
  <c r="N115" i="1" s="1"/>
  <c r="M418" i="1"/>
  <c r="N418" i="1" s="1"/>
  <c r="M463" i="1"/>
  <c r="N463" i="1" s="1"/>
  <c r="M946" i="1"/>
  <c r="N946" i="1" s="1"/>
  <c r="M220" i="1"/>
  <c r="N220" i="1" s="1"/>
  <c r="M249" i="1"/>
  <c r="N249" i="1" s="1"/>
  <c r="M703" i="1"/>
  <c r="N703" i="1" s="1"/>
  <c r="M722" i="1"/>
  <c r="N722" i="1" s="1"/>
  <c r="M835" i="1"/>
  <c r="N835" i="1" s="1"/>
  <c r="M909" i="1"/>
  <c r="N909" i="1" s="1"/>
  <c r="M31" i="1"/>
  <c r="N31" i="1" s="1"/>
  <c r="M103" i="1"/>
  <c r="N103" i="1" s="1"/>
  <c r="M163" i="1"/>
  <c r="N163" i="1" s="1"/>
  <c r="M177" i="1"/>
  <c r="N177" i="1" s="1"/>
  <c r="M339" i="1"/>
  <c r="N339" i="1" s="1"/>
  <c r="M369" i="1"/>
  <c r="N369" i="1" s="1"/>
  <c r="M503" i="1"/>
  <c r="N503" i="1" s="1"/>
  <c r="M612" i="1"/>
  <c r="N612" i="1" s="1"/>
  <c r="M694" i="1"/>
  <c r="N694" i="1" s="1"/>
  <c r="M750" i="1"/>
  <c r="N750" i="1" s="1"/>
  <c r="M488" i="1"/>
  <c r="N488" i="1" s="1"/>
  <c r="M585" i="1"/>
  <c r="N585" i="1" s="1"/>
  <c r="M827" i="1"/>
  <c r="N827" i="1" s="1"/>
  <c r="M7" i="1"/>
  <c r="N7" i="1" s="1"/>
  <c r="M39" i="1"/>
  <c r="N39" i="1" s="1"/>
  <c r="M111" i="1"/>
  <c r="N111" i="1" s="1"/>
  <c r="M199" i="1"/>
  <c r="N199" i="1" s="1"/>
  <c r="M545" i="1"/>
  <c r="N545" i="1" s="1"/>
  <c r="M687" i="1"/>
  <c r="N687" i="1" s="1"/>
  <c r="M902" i="1"/>
  <c r="N902" i="1" s="1"/>
  <c r="M458" i="1"/>
  <c r="N458" i="1" s="1"/>
  <c r="M105" i="1"/>
  <c r="N105" i="1" s="1"/>
  <c r="M522" i="1"/>
  <c r="N522" i="1" s="1"/>
  <c r="M716" i="1"/>
  <c r="N716" i="1" s="1"/>
  <c r="M744" i="1"/>
  <c r="N744" i="1" s="1"/>
  <c r="M903" i="1"/>
  <c r="N903" i="1" s="1"/>
  <c r="M13" i="1"/>
  <c r="N13" i="1" s="1"/>
  <c r="M79" i="1"/>
  <c r="N79" i="1" s="1"/>
  <c r="M274" i="1"/>
  <c r="N274" i="1" s="1"/>
  <c r="M319" i="1"/>
  <c r="N319" i="1" s="1"/>
  <c r="M364" i="1"/>
  <c r="N364" i="1" s="1"/>
  <c r="M724" i="1"/>
  <c r="N724" i="1" s="1"/>
  <c r="M33" i="1"/>
  <c r="N33" i="1" s="1"/>
  <c r="M200" i="1"/>
  <c r="N200" i="1" s="1"/>
  <c r="M289" i="1"/>
  <c r="N289" i="1" s="1"/>
  <c r="M27" i="1"/>
  <c r="N27" i="1" s="1"/>
  <c r="M99" i="1"/>
  <c r="N99" i="1" s="1"/>
  <c r="M145" i="1"/>
  <c r="N145" i="1" s="1"/>
  <c r="M159" i="1"/>
  <c r="N159" i="1" s="1"/>
  <c r="M193" i="1"/>
  <c r="N193" i="1" s="1"/>
  <c r="M245" i="1"/>
  <c r="N245" i="1" s="1"/>
  <c r="M393" i="1"/>
  <c r="N393" i="1" s="1"/>
  <c r="M777" i="1"/>
  <c r="N777" i="1" s="1"/>
  <c r="M951" i="1"/>
  <c r="N951" i="1" s="1"/>
  <c r="M487" i="1"/>
  <c r="N487" i="1" s="1"/>
  <c r="M939" i="1"/>
  <c r="N939" i="1" s="1"/>
  <c r="M45" i="1"/>
  <c r="N45" i="1" s="1"/>
  <c r="M394" i="1"/>
  <c r="N394" i="1" s="1"/>
  <c r="M25" i="1"/>
  <c r="N25" i="1" s="1"/>
  <c r="M362" i="1"/>
  <c r="N362" i="1" s="1"/>
  <c r="M117" i="1"/>
  <c r="N117" i="1" s="1"/>
  <c r="M91" i="1"/>
  <c r="N91" i="1" s="1"/>
  <c r="M93" i="1"/>
  <c r="N93" i="1" s="1"/>
  <c r="M67" i="1"/>
  <c r="N67" i="1" s="1"/>
  <c r="M139" i="1"/>
  <c r="N139" i="1" s="1"/>
  <c r="M153" i="1"/>
  <c r="N153" i="1" s="1"/>
  <c r="M187" i="1"/>
  <c r="N187" i="1" s="1"/>
  <c r="M483" i="1"/>
  <c r="N483" i="1" s="1"/>
  <c r="M491" i="1"/>
  <c r="N491" i="1" s="1"/>
  <c r="M625" i="1"/>
  <c r="N625" i="1" s="1"/>
  <c r="M840" i="1"/>
  <c r="N840" i="1" s="1"/>
  <c r="M171" i="1"/>
  <c r="N171" i="1" s="1"/>
  <c r="M195" i="1"/>
  <c r="N195" i="1" s="1"/>
  <c r="M225" i="1"/>
  <c r="N225" i="1" s="1"/>
  <c r="M738" i="1"/>
  <c r="N738" i="1" s="1"/>
  <c r="M19" i="1"/>
  <c r="N19" i="1" s="1"/>
  <c r="M157" i="1"/>
  <c r="N157" i="1" s="1"/>
  <c r="M243" i="1"/>
  <c r="N243" i="1" s="1"/>
  <c r="M81" i="1"/>
  <c r="N81" i="1" s="1"/>
  <c r="M147" i="1"/>
  <c r="N147" i="1" s="1"/>
  <c r="M181" i="1"/>
  <c r="N181" i="1" s="1"/>
  <c r="M55" i="1"/>
  <c r="N55" i="1" s="1"/>
  <c r="M127" i="1"/>
  <c r="N127" i="1" s="1"/>
  <c r="M299" i="1"/>
  <c r="N299" i="1" s="1"/>
  <c r="M314" i="1"/>
  <c r="N314" i="1" s="1"/>
  <c r="M344" i="1"/>
  <c r="N344" i="1" s="1"/>
  <c r="M599" i="1"/>
  <c r="N599" i="1" s="1"/>
  <c r="M710" i="1"/>
  <c r="N710" i="1" s="1"/>
  <c r="M97" i="1"/>
  <c r="N97" i="1" s="1"/>
  <c r="M751" i="1"/>
  <c r="N751" i="1" s="1"/>
  <c r="M75" i="1"/>
  <c r="N75" i="1" s="1"/>
  <c r="M218" i="1"/>
  <c r="N218" i="1" s="1"/>
  <c r="M517" i="1"/>
  <c r="N517" i="1" s="1"/>
  <c r="M618" i="1"/>
  <c r="N618" i="1" s="1"/>
  <c r="M833" i="1"/>
  <c r="N833" i="1" s="1"/>
  <c r="M923" i="1"/>
  <c r="N923" i="1" s="1"/>
  <c r="M563" i="1"/>
  <c r="N563" i="1" s="1"/>
  <c r="M622" i="1"/>
  <c r="N622" i="1" s="1"/>
</calcChain>
</file>

<file path=xl/sharedStrings.xml><?xml version="1.0" encoding="utf-8"?>
<sst xmlns="http://schemas.openxmlformats.org/spreadsheetml/2006/main" count="6469" uniqueCount="420">
  <si>
    <t>date</t>
  </si>
  <si>
    <t>Month</t>
  </si>
  <si>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</si>
  <si>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</si>
  <si>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</si>
  <si>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</si>
  <si>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</si>
  <si>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</si>
  <si>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</si>
  <si>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</si>
  <si>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</si>
  <si>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</si>
  <si>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</si>
  <si>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>Status</t>
  </si>
  <si>
    <t>june</t>
  </si>
  <si>
    <t>Horizon Wellness</t>
  </si>
  <si>
    <t>Decor</t>
  </si>
  <si>
    <t>Car accessories</t>
  </si>
  <si>
    <t>Assam</t>
  </si>
  <si>
    <t>Female</t>
  </si>
  <si>
    <t>True Value Electronics</t>
  </si>
  <si>
    <t>Punjab</t>
  </si>
  <si>
    <t>Harmony Homes Realty</t>
  </si>
  <si>
    <t>Chhattisgarh</t>
  </si>
  <si>
    <t>Stellar Advertising</t>
  </si>
  <si>
    <t>West Bengal</t>
  </si>
  <si>
    <t>Modern Trends Retail</t>
  </si>
  <si>
    <t>Madhya Pradesh</t>
  </si>
  <si>
    <t>Male</t>
  </si>
  <si>
    <t>Global Spectrum Consulting</t>
  </si>
  <si>
    <t>Jharkhand</t>
  </si>
  <si>
    <t>april</t>
  </si>
  <si>
    <t>Apex Solutions</t>
  </si>
  <si>
    <t xml:space="preserve">Fashion </t>
  </si>
  <si>
    <t>Women dress</t>
  </si>
  <si>
    <t>Gujarat</t>
  </si>
  <si>
    <t>Radiant Vision Studios</t>
  </si>
  <si>
    <t>Home décor</t>
  </si>
  <si>
    <t>Noble Travel Services</t>
  </si>
  <si>
    <t>Uttar Pradesh</t>
  </si>
  <si>
    <t>july</t>
  </si>
  <si>
    <t>Bright Future Academy</t>
  </si>
  <si>
    <t>Visionary Health Systems</t>
  </si>
  <si>
    <t>Apex Retailers</t>
  </si>
  <si>
    <t>Maharashtra</t>
  </si>
  <si>
    <t>Metro Tech Solutions</t>
  </si>
  <si>
    <t>Electronic</t>
  </si>
  <si>
    <t>Speaker</t>
  </si>
  <si>
    <t>Prestige Property Developers</t>
  </si>
  <si>
    <t>Chandigarh</t>
  </si>
  <si>
    <t>Classic Trends Fashion</t>
  </si>
  <si>
    <t>Harmony Ventures</t>
  </si>
  <si>
    <t>Andhra Pradesh</t>
  </si>
  <si>
    <t>Stellar Realty</t>
  </si>
  <si>
    <t>Bihar</t>
  </si>
  <si>
    <t>Future Path Technologies</t>
  </si>
  <si>
    <t>Elite Edge Services</t>
  </si>
  <si>
    <t>august</t>
  </si>
  <si>
    <t>Modern Harmony Products</t>
  </si>
  <si>
    <t>Horizon Builders &amp; Developers</t>
  </si>
  <si>
    <t>Rajasthan</t>
  </si>
  <si>
    <t>Legacy Apparel</t>
  </si>
  <si>
    <t>Elite Marketing Solutions</t>
  </si>
  <si>
    <t>TV</t>
  </si>
  <si>
    <t>Tamil Nadu</t>
  </si>
  <si>
    <t>Pinnacle Education Group</t>
  </si>
  <si>
    <t>Crystal Clear Solutions</t>
  </si>
  <si>
    <t>Noble Innovations</t>
  </si>
  <si>
    <t>Crystal Clear Realty</t>
  </si>
  <si>
    <t>september</t>
  </si>
  <si>
    <t>Apex Publishing House</t>
  </si>
  <si>
    <t>Delhi</t>
  </si>
  <si>
    <t>True Value Consulting</t>
  </si>
  <si>
    <t>Future Path Ventures</t>
  </si>
  <si>
    <t>Stellar Tech Services</t>
  </si>
  <si>
    <t>Legacy Travel Agency</t>
  </si>
  <si>
    <t>Karnataka</t>
  </si>
  <si>
    <t>Harmony Innovations</t>
  </si>
  <si>
    <t>Telangana</t>
  </si>
  <si>
    <t>Elite Media Group</t>
  </si>
  <si>
    <t>Radiant Construction</t>
  </si>
  <si>
    <t>Pinnacle Finance</t>
  </si>
  <si>
    <t>Horizon Tech Ventures</t>
  </si>
  <si>
    <t>Elite Edge Consulting</t>
  </si>
  <si>
    <t>Harmony Tech Ventures</t>
  </si>
  <si>
    <t>october</t>
  </si>
  <si>
    <t>Radiant Fitness Studio</t>
  </si>
  <si>
    <t>Zenith Finance Co.</t>
  </si>
  <si>
    <t>Apex Events Management</t>
  </si>
  <si>
    <t>Stellar Media Group</t>
  </si>
  <si>
    <t>Harmony Finance Co.</t>
  </si>
  <si>
    <t>Pure Vision Ventures</t>
  </si>
  <si>
    <t>Legacy Travel Services</t>
  </si>
  <si>
    <t>Elite Spectrum Media</t>
  </si>
  <si>
    <t>Pinnacle Design Studio</t>
  </si>
  <si>
    <t>january</t>
  </si>
  <si>
    <t>Legacy Travel Ventures</t>
  </si>
  <si>
    <t>may</t>
  </si>
  <si>
    <t>Absolute Solutions</t>
  </si>
  <si>
    <t>Saree</t>
  </si>
  <si>
    <t>Stellar Design Group</t>
  </si>
  <si>
    <t>Horizon Ventures Co.</t>
  </si>
  <si>
    <t>Zenith Wellness Services</t>
  </si>
  <si>
    <t>Legacy Travel Co.</t>
  </si>
  <si>
    <t>Pinnacle Innovations Group</t>
  </si>
  <si>
    <t>Stellar Health Services</t>
  </si>
  <si>
    <t>Radiance Design Co.</t>
  </si>
  <si>
    <t>Harmony Consulting Group</t>
  </si>
  <si>
    <t>Synergy Tech Solutions</t>
  </si>
  <si>
    <t>Apex Educational Group</t>
  </si>
  <si>
    <t>Modern Wellness Co.</t>
  </si>
  <si>
    <t>Pure Spectrum Innovations</t>
  </si>
  <si>
    <t>Pinnacle Travel Co.</t>
  </si>
  <si>
    <t>Kerala</t>
  </si>
  <si>
    <t>Radiant Enterprise Solutions</t>
  </si>
  <si>
    <t>Infinite Solutions</t>
  </si>
  <si>
    <t>Synergy Solutions Group</t>
  </si>
  <si>
    <t>Horizon Tech Solutions</t>
  </si>
  <si>
    <t>Laptop</t>
  </si>
  <si>
    <t>Apex Wellness Solutions</t>
  </si>
  <si>
    <t>Suit</t>
  </si>
  <si>
    <t>Radiance Tech Solutions</t>
  </si>
  <si>
    <t>Apex Enterprise Solutions</t>
  </si>
  <si>
    <t>Prestige Solutions</t>
  </si>
  <si>
    <t>Urban Wave Solutions</t>
  </si>
  <si>
    <t>Visionary Realty Solutions</t>
  </si>
  <si>
    <t>Pure Essence Solutions</t>
  </si>
  <si>
    <t>Crystal Health Solutions</t>
  </si>
  <si>
    <t>Stellar Travel Solutions</t>
  </si>
  <si>
    <t>Pure Harmony Solutions</t>
  </si>
  <si>
    <t>Modern Spectrum Solutions</t>
  </si>
  <si>
    <t>Bharat Innovations</t>
  </si>
  <si>
    <t>Green Leaf Enterprises</t>
  </si>
  <si>
    <t>Earbuds</t>
  </si>
  <si>
    <t>Urban Pulse Technologies</t>
  </si>
  <si>
    <t>Apex Creative Solutions</t>
  </si>
  <si>
    <t>Mystic India Exports</t>
  </si>
  <si>
    <t>Pure Essence Skincare</t>
  </si>
  <si>
    <t>Zenith Construction Co.</t>
  </si>
  <si>
    <t>Radiant Health Systems</t>
  </si>
  <si>
    <t>Radiance Solutions Group</t>
  </si>
  <si>
    <t>Divine Creations</t>
  </si>
  <si>
    <t>True Path Logistics</t>
  </si>
  <si>
    <t>Modern Edge Solutions</t>
  </si>
  <si>
    <t>Prestige Automobiles</t>
  </si>
  <si>
    <t>Horizon Health Solutions</t>
  </si>
  <si>
    <t>Natural Bliss Beverages</t>
  </si>
  <si>
    <t>Apex Marketing Solutions</t>
  </si>
  <si>
    <t>Modern Trends Fashion</t>
  </si>
  <si>
    <t>Heritage Crafts</t>
  </si>
  <si>
    <t>Future Insights Analytics</t>
  </si>
  <si>
    <t>Emerald Estate Developers</t>
  </si>
  <si>
    <t>Starlight Media Group</t>
  </si>
  <si>
    <t>Himachal Pradesh</t>
  </si>
  <si>
    <t>Supreme Electronics</t>
  </si>
  <si>
    <t>Uttarakhand</t>
  </si>
  <si>
    <t>Optimum Wellness</t>
  </si>
  <si>
    <t>Zenith Books Publishing</t>
  </si>
  <si>
    <t>Pinnacle Innovations</t>
  </si>
  <si>
    <t>Apex Travel Services</t>
  </si>
  <si>
    <t>Golden Era Realty</t>
  </si>
  <si>
    <t>november</t>
  </si>
  <si>
    <t>Radiance Solutions Co.</t>
  </si>
  <si>
    <t>Male dress</t>
  </si>
  <si>
    <t>Radiant Jewelry</t>
  </si>
  <si>
    <t>Infinity Ventures</t>
  </si>
  <si>
    <t>Horizon Creative Solutions</t>
  </si>
  <si>
    <t>Royal Taste Foods</t>
  </si>
  <si>
    <t>Harmony Homes</t>
  </si>
  <si>
    <t>Urban Edge Consulting</t>
  </si>
  <si>
    <t>Prime Tech Innovations</t>
  </si>
  <si>
    <t>Urban Spectrum Solutions</t>
  </si>
  <si>
    <t>Legacy Designs</t>
  </si>
  <si>
    <t>Virtue Enterprises</t>
  </si>
  <si>
    <t>Radiant Health Club</t>
  </si>
  <si>
    <t>Legacy Wellness Solutions</t>
  </si>
  <si>
    <t>Bright Horizon Ventures</t>
  </si>
  <si>
    <t>Horizon Media Solutions</t>
  </si>
  <si>
    <t>Modern Lifestyle Products</t>
  </si>
  <si>
    <t>Nexus Trading Co.</t>
  </si>
  <si>
    <t>Radiance Health and Wellness</t>
  </si>
  <si>
    <t>Legacy Auto Works</t>
  </si>
  <si>
    <t>Prime Essence Creations</t>
  </si>
  <si>
    <t>Quantum Ventures</t>
  </si>
  <si>
    <t>Urban Legends Apparel</t>
  </si>
  <si>
    <t>Pure Bliss Beverages</t>
  </si>
  <si>
    <t>Noble Heights Builders</t>
  </si>
  <si>
    <t>Urban Vision Solutions</t>
  </si>
  <si>
    <t>Radiant Foods</t>
  </si>
  <si>
    <t>Zenith Financial Services</t>
  </si>
  <si>
    <t>december</t>
  </si>
  <si>
    <t>Pinnacle Travel Solutions</t>
  </si>
  <si>
    <t>Apex Travel Ventures</t>
  </si>
  <si>
    <t>Future Vision Realty</t>
  </si>
  <si>
    <t>Urban Pulse Media</t>
  </si>
  <si>
    <t>True Essence Health</t>
  </si>
  <si>
    <t>Harmony Health Solutions</t>
  </si>
  <si>
    <t>Radiant Vision Realty</t>
  </si>
  <si>
    <t>Modern Vision Solutions</t>
  </si>
  <si>
    <t>Zenith Tech Ventures</t>
  </si>
  <si>
    <t>Pure Path Foods</t>
  </si>
  <si>
    <t>Bright Horizon Realty</t>
  </si>
  <si>
    <t>Radiant Educational Solutions</t>
  </si>
  <si>
    <t>Crystal Clear Consulting</t>
  </si>
  <si>
    <t>Zenith Innovations</t>
  </si>
  <si>
    <t>True Essence Innovations</t>
  </si>
  <si>
    <t>Zenith Creative Solutions</t>
  </si>
  <si>
    <t>Pinnacle Media Group</t>
  </si>
  <si>
    <t>Pure Vision Solutions</t>
  </si>
  <si>
    <t>Legacy Design Co.</t>
  </si>
  <si>
    <t>Apex Health Products</t>
  </si>
  <si>
    <t>Zenith Travel Ventures</t>
  </si>
  <si>
    <t>Pure Path Consulting</t>
  </si>
  <si>
    <t>Harmony Edge Solutions</t>
  </si>
  <si>
    <t>Harmony Educational Group</t>
  </si>
  <si>
    <t>Radiant Design Studio</t>
  </si>
  <si>
    <t>Zenith Health Innovations</t>
  </si>
  <si>
    <t>Apex Realty Ventures</t>
  </si>
  <si>
    <t>True Value Ventures</t>
  </si>
  <si>
    <t>Crystal Clear Designs</t>
  </si>
  <si>
    <t>Pinnacle Media Solutions</t>
  </si>
  <si>
    <t>Pinnacle Innovations Co.</t>
  </si>
  <si>
    <t>Radiant Tech Solutions</t>
  </si>
  <si>
    <t>Modern Pathways</t>
  </si>
  <si>
    <t>Elite Creative Solutions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</si>
  <si>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</si>
  <si>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</si>
  <si>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</si>
  <si>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</si>
  <si>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</si>
  <si>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</si>
  <si>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Pinnacle Design Solutions</t>
  </si>
  <si>
    <t>Pure Harmony Innovations</t>
  </si>
  <si>
    <t>Legacy Media Group</t>
  </si>
  <si>
    <t>Horizon Tech Innovations</t>
  </si>
  <si>
    <t>Crystal Spectrum Consulting</t>
  </si>
  <si>
    <t>Stellar Creative Co.</t>
  </si>
  <si>
    <t>Radiance Media Ventures</t>
  </si>
  <si>
    <t>Zenith Edge Services</t>
  </si>
  <si>
    <t>february</t>
  </si>
  <si>
    <t>Stellar Consulting Services</t>
  </si>
  <si>
    <t>Radiant Ventures</t>
  </si>
  <si>
    <t>Harmony Tech Co.</t>
  </si>
  <si>
    <t>Zenith Path Solutions</t>
  </si>
  <si>
    <t>Zenith Creative Ventures</t>
  </si>
  <si>
    <t>Apex Health Services</t>
  </si>
  <si>
    <t>Pure Vision Media</t>
  </si>
  <si>
    <t>Legacy Media Solutions</t>
  </si>
  <si>
    <t>Legacy Innovations Group</t>
  </si>
  <si>
    <t>Pinnacle Consulting Co.</t>
  </si>
  <si>
    <t>Stellar Finance Group</t>
  </si>
  <si>
    <t>Harmony Ventures Group</t>
  </si>
  <si>
    <t>Radiant Solutions Co.</t>
  </si>
  <si>
    <t>Modern Travel Solutions</t>
  </si>
  <si>
    <t>Zenith Tech Solutions</t>
  </si>
  <si>
    <t>Golden Horizon Ventures</t>
  </si>
  <si>
    <t>Eternal Traditions</t>
  </si>
  <si>
    <t>Harmony Foods</t>
  </si>
  <si>
    <t>Sacred Roots Apparel</t>
  </si>
  <si>
    <t>Quantum Finance Services</t>
  </si>
  <si>
    <t>Brilliant Minds Academy</t>
  </si>
  <si>
    <t>Visionary Holdings</t>
  </si>
  <si>
    <t>Stellar Design Studio</t>
  </si>
  <si>
    <t>Classic Cuisines</t>
  </si>
  <si>
    <t>Bold Ventures</t>
  </si>
  <si>
    <t>Radiance Spa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</si>
  <si>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</si>
  <si>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</si>
  <si>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</si>
  <si>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</si>
  <si>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</si>
  <si>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</si>
  <si>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</si>
  <si>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</si>
  <si>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Classic Heritage Crafts</t>
  </si>
  <si>
    <t>Prime Focus Media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</si>
  <si>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</si>
  <si>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</si>
  <si>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</si>
  <si>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</si>
  <si>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</si>
  <si>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</si>
  <si>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</si>
  <si>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</si>
  <si>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</si>
  <si>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</si>
  <si>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Elite Essence Products</t>
  </si>
  <si>
    <t>Dynamic Creations</t>
  </si>
  <si>
    <t>Quantum Design Studio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</si>
  <si>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</si>
  <si>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</si>
  <si>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</si>
  <si>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</si>
  <si>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</si>
  <si>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</si>
  <si>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</si>
  <si>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</si>
  <si>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</si>
  <si>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</si>
  <si>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</si>
  <si>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</si>
  <si>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</si>
  <si>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</si>
  <si>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</si>
  <si>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</si>
  <si>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</si>
  <si>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</si>
  <si>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</si>
  <si>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Royal Crest Foods</t>
  </si>
  <si>
    <t>Zenith Travels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</si>
  <si>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</si>
  <si>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</si>
  <si>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</si>
  <si>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</si>
  <si>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</si>
  <si>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</si>
  <si>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</si>
  <si>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Pinnacle Health Innovations</t>
  </si>
  <si>
    <t>Horizon Fashion</t>
  </si>
  <si>
    <t>Crystal Essence Beverages</t>
  </si>
  <si>
    <t>Dynamic Pathways</t>
  </si>
  <si>
    <t>Radiance Apparel</t>
  </si>
  <si>
    <t>Zenith Design Group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</si>
  <si>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</si>
  <si>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</si>
  <si>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</si>
  <si>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</si>
  <si>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</si>
  <si>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</si>
  <si>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</si>
  <si>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Visionary Innovations</t>
  </si>
  <si>
    <t>Horizon Design Studio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</si>
  <si>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</si>
  <si>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</si>
  <si>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</si>
  <si>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</si>
  <si>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</si>
  <si>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</si>
  <si>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Zenith Health Products</t>
  </si>
  <si>
    <t>Stellar Wellness Products</t>
  </si>
  <si>
    <t>Radiant Consulting Group</t>
  </si>
  <si>
    <t>Harmony Ventures Co.</t>
  </si>
  <si>
    <t>Urban Path Technologies</t>
  </si>
  <si>
    <t>Modern Vision Ventures</t>
  </si>
  <si>
    <t>Elite Travel Services</t>
  </si>
  <si>
    <t>Crystal Innovations Group</t>
  </si>
  <si>
    <t>Pinnacle Fitness Studio</t>
  </si>
  <si>
    <t>Stellar Travel Agency</t>
  </si>
  <si>
    <t>True Path Consulting</t>
  </si>
  <si>
    <t>Legacy Finance Group</t>
  </si>
  <si>
    <t>Pinnacle Design Ventures</t>
  </si>
  <si>
    <t>Stellar Innovations Co.</t>
  </si>
  <si>
    <t>Harmony Marketing Co.</t>
  </si>
  <si>
    <t>Urban Tech Innovations</t>
  </si>
  <si>
    <t>Crystal Wellness Group</t>
  </si>
  <si>
    <t>Apex Media Co.</t>
  </si>
  <si>
    <t>Legacy Health Ventures</t>
  </si>
  <si>
    <t>Pinnacle Spectrum Co.</t>
  </si>
  <si>
    <t>Stellar Travel Products</t>
  </si>
  <si>
    <t>Radiance Finance Services</t>
  </si>
  <si>
    <t>Modern Travel Agency</t>
  </si>
  <si>
    <t>Crystal Path Consulting</t>
  </si>
  <si>
    <t>Zenith Educational Services</t>
  </si>
  <si>
    <t>Apex Innovations Co.</t>
  </si>
  <si>
    <t>Pure Harmony Health</t>
  </si>
  <si>
    <t>Apex Travel Innovations</t>
  </si>
  <si>
    <t>Modern Health Products</t>
  </si>
  <si>
    <t>Harmony Finance Group</t>
  </si>
  <si>
    <t>Pure Vision Consulting</t>
  </si>
  <si>
    <t>Legacy Spectrum Co.</t>
  </si>
  <si>
    <t>Stellar Media Services</t>
  </si>
  <si>
    <t>Radiant Innovations Group</t>
  </si>
  <si>
    <t>Horizon Path Ventures</t>
  </si>
  <si>
    <t>Zenith Tech Co.</t>
  </si>
  <si>
    <t>Apex Finance Ventures</t>
  </si>
  <si>
    <t>Zenith Wellness Co.</t>
  </si>
  <si>
    <t>Apex Design Services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</si>
  <si>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</si>
  <si>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</si>
  <si>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</si>
  <si>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</si>
  <si>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</si>
  <si>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</si>
  <si>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Apex Finance Group</t>
  </si>
  <si>
    <t>Pure Harmony Media</t>
  </si>
  <si>
    <t>Legacy Health Co.</t>
  </si>
  <si>
    <t>ACCOUNTS EXPERT</t>
  </si>
  <si>
    <t>CHAIR</t>
  </si>
  <si>
    <t>Party Name</t>
  </si>
  <si>
    <t>City</t>
  </si>
  <si>
    <t>Amount</t>
  </si>
  <si>
    <t>Reliance Enterprises</t>
  </si>
  <si>
    <t>Computer</t>
  </si>
  <si>
    <t>Tata Solutions</t>
  </si>
  <si>
    <t>Mumbai</t>
  </si>
  <si>
    <t>Infosys Technologies</t>
  </si>
  <si>
    <t>Wipro Digital</t>
  </si>
  <si>
    <t>Adani Industries</t>
  </si>
  <si>
    <t>Mahindra Innovations</t>
  </si>
  <si>
    <t>Speakers</t>
  </si>
  <si>
    <t>Chennai</t>
  </si>
  <si>
    <t>HDFC Finance</t>
  </si>
  <si>
    <t>Flipkart Retail</t>
  </si>
  <si>
    <t>Byju’s EdTech</t>
  </si>
  <si>
    <t>Zomato Services</t>
  </si>
  <si>
    <t>Banglore</t>
  </si>
  <si>
    <t>Grand Total</t>
  </si>
  <si>
    <t>Sum of Amount</t>
  </si>
  <si>
    <t>Short</t>
  </si>
  <si>
    <t>Accounts Expert</t>
  </si>
  <si>
    <t>Haryana</t>
  </si>
  <si>
    <t>Pts Cad Expert</t>
  </si>
  <si>
    <t>Sum of Sale Price</t>
  </si>
  <si>
    <t>(blank)</t>
  </si>
  <si>
    <t>profit</t>
  </si>
  <si>
    <t>loss</t>
  </si>
  <si>
    <t>Details for Sum of Sale Price - Product Name: Women dress, Category: Fashion , Name: Absolute Solutions, State: Andhra Pradesh (+)</t>
  </si>
  <si>
    <t>Cushion</t>
  </si>
  <si>
    <t>Sum of Profit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</si>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</sst>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1">
    <border>
      <left/>
      <right/>
      <top/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10" fontId="0" fillId="0" borderId="0" xfId="0" applyNumberFormat="1"/>
    <xf numFmtId="0" fontId="2" fillId="5" borderId="17" xfId="0" applyFont="1" applyFill="1" applyBorder="1"/>
    <xf numFmtId="0" fontId="2" fillId="0" borderId="17" xfId="0" applyFont="1" applyBorder="1"/>
    <xf numFmtId="0" fontId="2" fillId="5" borderId="18" xfId="0" applyFont="1" applyFill="1" applyBorder="1"/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pivot Final'!$A$36:$A$56</c:f>
              <c:strCache>
                <c:ptCount val="21"/>
                <c:pt idx="0">
                  <c:v>State</c:v>
                </c:pt>
                <c:pt idx="1">
                  <c:v>Andhra Pradesh</c:v>
                </c:pt>
                <c:pt idx="2">
                  <c:v>Assam</c:v>
                </c:pt>
                <c:pt idx="3">
                  <c:v>Bihar</c:v>
                </c:pt>
                <c:pt idx="4">
                  <c:v>Chandigarh</c:v>
                </c:pt>
                <c:pt idx="5">
                  <c:v>Chhattisgarh</c:v>
                </c:pt>
                <c:pt idx="6">
                  <c:v>Delhi</c:v>
                </c:pt>
                <c:pt idx="7">
                  <c:v>Gujarat</c:v>
                </c:pt>
                <c:pt idx="8">
                  <c:v>Himachal Pradesh</c:v>
                </c:pt>
                <c:pt idx="9">
                  <c:v>Jharkhand</c:v>
                </c:pt>
                <c:pt idx="10">
                  <c:v>Karnataka</c:v>
                </c:pt>
                <c:pt idx="11">
                  <c:v>Kerala</c:v>
                </c:pt>
                <c:pt idx="12">
                  <c:v>Madhya Pradesh</c:v>
                </c:pt>
                <c:pt idx="13">
                  <c:v>Maharashtra</c:v>
                </c:pt>
                <c:pt idx="14">
                  <c:v>Punjab</c:v>
                </c:pt>
                <c:pt idx="15">
                  <c:v>Rajasthan</c:v>
                </c:pt>
                <c:pt idx="16">
                  <c:v>Tamil Nadu</c:v>
                </c:pt>
                <c:pt idx="17">
                  <c:v>Telangana</c:v>
                </c:pt>
                <c:pt idx="18">
                  <c:v>Uttar Pradesh</c:v>
                </c:pt>
                <c:pt idx="19">
                  <c:v>Uttarakhand</c:v>
                </c:pt>
                <c:pt idx="20">
                  <c:v>West Bengal</c:v>
                </c:pt>
              </c:strCache>
            </c:strRef>
          </c:cat>
          <c:val>
            <c:numRef>
              <c:f>'Main pivot Final'!$B$36:$B$56</c:f>
              <c:numCache>
                <c:formatCode>General</c:formatCode>
                <c:ptCount val="21"/>
                <c:pt idx="1">
                  <c:v>301266</c:v>
                </c:pt>
                <c:pt idx="2">
                  <c:v>548403</c:v>
                </c:pt>
                <c:pt idx="3">
                  <c:v>399259</c:v>
                </c:pt>
                <c:pt idx="4">
                  <c:v>373255</c:v>
                </c:pt>
                <c:pt idx="5">
                  <c:v>596183</c:v>
                </c:pt>
                <c:pt idx="6">
                  <c:v>393650</c:v>
                </c:pt>
                <c:pt idx="7">
                  <c:v>1008276</c:v>
                </c:pt>
                <c:pt idx="8">
                  <c:v>816663</c:v>
                </c:pt>
                <c:pt idx="9">
                  <c:v>1133104</c:v>
                </c:pt>
                <c:pt idx="10">
                  <c:v>864313</c:v>
                </c:pt>
                <c:pt idx="11">
                  <c:v>540922</c:v>
                </c:pt>
                <c:pt idx="12">
                  <c:v>836610</c:v>
                </c:pt>
                <c:pt idx="13">
                  <c:v>1792706</c:v>
                </c:pt>
                <c:pt idx="14">
                  <c:v>782804</c:v>
                </c:pt>
                <c:pt idx="15">
                  <c:v>913872</c:v>
                </c:pt>
                <c:pt idx="16">
                  <c:v>1256292</c:v>
                </c:pt>
                <c:pt idx="17">
                  <c:v>388578</c:v>
                </c:pt>
                <c:pt idx="18">
                  <c:v>1837718</c:v>
                </c:pt>
                <c:pt idx="19">
                  <c:v>701022</c:v>
                </c:pt>
                <c:pt idx="20">
                  <c:v>1877109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7-46B3-9497-652E5D756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79167"/>
        <c:axId val="243877247"/>
      </c:radarChart>
      <c:catAx>
        <c:axId val="24387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77247"/>
        <c:crosses val="autoZero"/>
        <c:auto val="1"/>
        <c:lblAlgn val="ctr"/>
        <c:lblOffset val="100"/>
        <c:noMultiLvlLbl val="0"/>
      </c:catAx>
      <c:valAx>
        <c:axId val="24387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7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726C2A01-A45C-4D41-AFDD-EDF580B50BBD}">
          <cx:tx>
            <cx:txData>
              <cx:f>_xlchart.v1.1</cx:f>
              <cx:v>Sum of Profit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title pos="t" align="ctr" overlay="0"/>
    <cx:plotArea>
      <cx:plotAreaRegion>
        <cx:series layoutId="regionMap" uniqueId="{0B5DD257-9FDF-4942-AF66-4938630786A2}">
          <cx:dataLabels>
            <cx:visibility seriesName="0" categoryName="1" value="0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1HtZc9y21u1fcfnp3qpLhSDmUyen6pDsSbNkeYhfWG1JBkiCAElw/vV3y5YTq6M4Tn3+HqxKVSyx
0RgW9rTW5r9vp3/dmvt9+2KqjPX/up1+fam7rv7XL7/4W31f7f1Rld+2zruP3dGtq35xHz/mt/e/
3LX7MbfqlyhE5JdbvW+7++nlf/4N36bu3am73Xe5s1f9fTtf3/vedP4bz5599GJ/V+U2zX3X5rcd
+vXlf+2dbvcvLtv93b3XL1/c2y7v5pu5vv/15ZPPvnzxy+E3/mn2FwYW2PV3MBbRI04pRUKG8vPP
yxfGWfX4mMsjyShBVJLPT/GXqc/3FQz//mV9WtT+7q699x529+n/fx7/ZCvw+PLli1vX2+7hIBWc
6a8vd/Yu3798kXuXfH6QuId97M4/bfyXpxD8598Hf4CjOPjLVygdntvfPfoTSJu+2Lf77ssR/c/R
iaIjJiMmEX8ERz5FBx1RyUMs4CNfwPt8MT6j8x3reR6W3wce4LE5/qnw+K/3++oHosGOMCVYSLCW
L8f9la3I6EhEnIIh4c9PD23l71bzPBaPmzhA4r+vfiokEr0Hu1X79ge6Lhwe8UgCIoKFn37QU+Ng
R1yEFHH6aDzky034bBzft6TnMfl67AEwyfanAibOIXp9OZgf4LDoEeNSUETxc5gIeBxKxoiMvsz5
GYy/XcbzODwOO4Agvv6pIEi03ndd7n+sdUToKGJMEEmjZ5GIjkKCwF2FB0h872qeB+Tp6ANckpuf
Cpf03uj8yzX9AaYhjhjBWIbseXfFjxCihIPtfI4e7MvUny3kb1fzPCCPww6QSE9/KiS2ebWHLNv8
+PQXoyMZYQqG8qyVcH4UYRYhzMRnIzoA5Z8s7Hl8/vwNB1Btf64U+BjCSfkQ7L/c3h9gOPiIUYYi
KR7zKvEkzkNMoYwgHLHHrOwgzn/Xip4H56uhB6gc/1xR/mTf2n23L6Fw+mGFIzniKCQRIc9bDjtC
kAlAHvB8MvxdK3oela+GHqBy8t+fyq2d3Ld78yMhCY8IlOkIfp6rTzg7IiGUigQ9BqCDyP/3y/kL
PB63cQjGzxVjzvZ3ev5fIFgifESxgCqEPoaQgypFHEVCSIbxI2YHReP3L+t5cA7HH4B09nNFl7M9
hJe91137I81GHhFIkgWG0v3TzwFC4MlCIXH0yIBJ+sWJfk7MvnNNfwXPVxs6xObnijGXvS32H76c
zf887EN5L0gEzGPEn8R7To/Ag4lQho91/YHF/P06nofiy7gDFC7jnyqmXO+Lve8gAftxQETsiAqC
Iyy+sJBP8cBHgoYoAh/32XwO7OO7VvQ8JF8NPUDl+uciIm/2VW5enO/v+h8HC0JHIWIoDMXTfJgL
CPM8jEIKdvM1G/x9i3geia/HHkBxA8z7T8TR39ybvVV7+yMDCD+C2M4o8MJPLUMehaF8oGAeQwc8
fgLI9yzlL/D4Y+ghHJufCo7XXQfq2w+XtcBnfarrEdjHMzFdhFAzMkyjLyXlQQz57lU9j87B8AOE
Xv9cOdenzex/cE0PwR0q9hAYykfl6k+WA/4LQ8n/WMgcxJTvXNM30PmyoUNsTn4q63l777sX8T34
M/PFtfzPEy+oWMSD5Bvyp4mX4EeSg9JIHiv6w0T4OxfzPChPBh+A8vbnSsH+zweIMOX//TtAfqAO
/Xz4/ZrpefKJf9giACI0eEoaCvoF+MMohxlmHGSfz672gCN9FOz/ejXPX4jHYU8W/r+s/v81Ir93
UKTAoq0+tV581Rzw7aeftgdtIQdDv0XEfT6r3d2vLyNEwAh/7+h4+I4nKcQThfuPAfdQA/z6UjLI
EB+caIgJAzKOQffACB7j15dCQteHhO9mhACH9+mJdW2nYUawcsZBhOAMBiOBAU7v+k+PyBGwsFQK
9kBnYI7Q7z0vl87MytnfT+Lx9xe2ry5dbjv/60tgcF++qD9/7mGlkBdBdgQzIRlJDgQuAidf3+6v
obEGPo7+n9N8DHXg8TbTixvjcAo0WvUow8UmdH1vE+EWcynyTOtESixsMqi543HWFXWV6I4PPm7B
jbXp4jq0tiJcaIwr2rvtFPRZvnEzCbZCtsMqQojcz6jDYxxYnh8TanoTq16YhMgh3zGrVgW1/pLk
NrqSHrFzFc0sqaLAnk6RzHdeZdNZH5FXgtQ+gROcN2GN2tS5qDsrPF97UacFGYsVZfiYV1XC675P
l3ZcEjYPNo66OkuWVrg1n8slJWUfrTDt58Q18ixTATofAq82ZNHvLcrzkzkyIi2CgSVL6OXaUXxX
y4gm4+BvbVWKTVnnIu48XeJ+yuZdUbvuapFyPC7zUN/Jhg2JmZE/tqjb8ykQW6ga2nXR1yQdJcwp
cnafDRydd810t/Q9XYfTbGJSBOes4bErlg+y0btA4bSrsrdTg0+6xpwSXqTd3B9XBG1yHVod8ya4
JU6M62zCd8bUG09cEZds3vZmdkk04hsl9RC7vFhWtMyztFLOxQ0q3hpNp1XH+TtWhKdFi0QseDr6
sU3yfmpWUjUiFX0wnKDRt3HUoOOqcvNmzslmClgeQ+/VZdnWrYqXyVcroqpoO9bkwzwGJq1aFl4t
oO9czD2NEtOS/n3lo2qOHRvUbZSxLNbFBN/Q42Bj0Uhu27YPNqZvxEVVKX6CJzZ/bGU3xD3JcRM7
Py0nZV2Np60uL0JU5x9JO7qknGscIxWouPIuiGluuru67MskEME1auRx2XdVghQqTbwELb6IsjHb
zkZclo7LdGTLtdDuquThJlAjv1yqfNzRweQnedMxF4dlFl3KwTVpTudbQ4tpLQLzvsL9cOY52wWR
WcJ4iHx5zXlPV7xuipMpFEPcMLHGRT2u7ISXxBE7n3Qlv0ABoded8h6dcp4VMgm1RU1q5yDHSUXK
ql93lenzJDCjClZcGtbExQCbTU1NwO4K1ssxYX1emRVZsirclHnBYMNBEV23wHiauMCVH9Ihx7ZM
DVvCMOmHJiziOpxatfJczCpdFp2zhCOX8TQz2divVIFIG/eB1VNsVTuo04DkVbftkay7REelr+Ki
JHn9NiiLNs/BnkW3pGUlqIl56EQSDcIO51QX3bwVtmznk6zRZlyLiRoUK9u24lUVNdTtSmoC97Eu
80XCvIUEC/DayERFQcHiOcssiftMCrWapXJVooaQuo3GbI5iR5uRrboozPU6qwLh71w06Cpx0Dw0
pMjNTse2kfR9GKn5rR3BYmRXZJetasWcFhnKm5jNk3bbLBpNGEdDUNmEFVNfxdQZRVNeGjgsXgZx
O5BVD8t4XRYhWEgnwBTyRcdlYatXvlDd/Zg1jqS5HscmKYsclZfMFVWxXnpixarqBq/OdWkBfTLX
eqOGKepWUVa2JgmZWHA6q6AuNlWvOdqxpu3MbdMGfb6WvGzKJKpE5mMyoGVvJc+TZur1tbRLuKKG
wYR9XaYdqgbYaK15v5uzqaVxM0yxccsxC6LofclyfWYl6fajdT2JjZ6as9753sZaLMWumtiyFzRI
qPYkDpm/KTp+o7vpnbDFlHrbzL8JOjbrpdTmChcI3F6u2FpZ270inLv1MHjxm4qaVse4I8t7FC53
I+uztA17+yYL2rSWNg18McRVO3QnDL63jVkXgogFLnQcqtOuHUq8kUEGJzrMbZUwNQYuNiJoLubW
oFWgp6zfqLHuotTxsh1XkbVmPAGv/WboyMTXTDfdq6LiBl9nphmyteFcpFPv2YmPLCniue3C6Zqa
XC5bQxqVDqEp9SvDkb4LmEE0HvPK61S0JL9pne2G98otXXu8oIkvaz3knsWN0jHKy3lbjtOHSReZ
iBncZRQLxWQSqXpZo8wXSTv54bLr5vyCBFYlA56mM4H7q7nsyS7TrLiC5qp+7c1iXwdLyE8Daabf
/ETrqzoIZR4Ps5Q3fjHz1Zy1lbkcpHMfLKZ025fLuMuGigfx2Itqz7IcXQVetjGPOnkxddXQxB0q
xAcVif6tycuiSVtLcxa3uM/KJOuw+CjM0pzWcz9+zPQw9kkuHTc3Pmh44nkwtwno81qvuAsL8zEX
rFVJEejwvBwGdu0cYm+rMSg2+ZBHfC3JzMwpss0EXmHWq8DK9sapplaJL0d7H3HhPg48GN+NTdTX
aUO0TBmtWhejoivzOJ+W5iJwOT5TxgfVmSlrchMUuKlObT2JclsiR9hK5cFQrGSoxTvuFBZJ4eW0
KerMRccMleTOBe1wxcpI3ITOmlObdzk6abuMvzYtou+XHiJIPoNXjXk1q3dsCMKraELKxmY205mb
8ZBCryHbZqPEK6QoOtEq6nYDicohVkTZlPZjGICPcG25Fm1bNckSzCSKA7n415NGwXlm22qJJ+Wb
PmbKLO1ZFeSujxdV2RG8ZGPmuA2lTfpwmc1Km84d+27qo/WCsadXbTGYd5VXcOmcUnhYVcOQ4TTK
JC+OpW3xshNZ32W7II+CdhuSEOJfowSzVwONgvmCskxHV0E4+zmeXNEN6yDDVsQe87lOaw1bT8fR
qDKugnLEcS5QOW5UK6k6zW3A5mSw43CFoixXx6ReaHg6FsVSrUIZ1CKpvbuWbqp5vBTB3F9nTU7r
N1lFk6miNilMUcfQPxiubAkmL7WWyYjYcFZyJDZj18ibbKrYVQGZi0qqDPw+m5p8G5AFbyUVU1pH
ebSFeFZd4MVUW8G92AxE61jOgzNpUPjl1GdEdLH1ODjJsQcUatPUI1yIob2dBGtsPM0O0gccnvt5
zNO8za5DMPik9Xm26lhoYm/q4Z1AfXNSFbl6XfimS0o/BmEc1kzdEKq0WkF2YwFhN+2WWTT1aeuc
KDeYkEJu2SQFwFp3FCdZoUl3GUUmvBCe4zMTaPyajN3UbEwejFniWAluueoYK9O6KKpdIDL8ekZD
DjDPM1crOff9qwkXY71DsyiPdbSoOwhz4CyzdqRTPIwaq63Jw2yFoP7Y16iSJzMJzeVC3GXD0bTx
eY9iI2sTt3ahp66tRWp7etIsFK9s1N0olpcozm12MgZ02UPAKF4pHpm7uq+HTVM2qFmPOCh3qGsz
G0Mp09wpZSEFczTbKROOWzNUEKDqSXMbk7wt0Cr0mKwbzMM+zjEEgs04Qdp+RnUnN96NkYzHaVou
SuLbpOlmd1v7+bZrghInHcormbgwos26x0ZmKTJVUQAz8Xtx9kzNA60o36x4oLb6uuLBU29D57pp
R5xpuhhT3x5bExTQOPdPpwHFRjISQV0OpfvTaYalsi7LgnHHp3a0caFUkTRzQ/jfbAdIuoPtPOCL
oKsthIoQ6rmn8yAZRJ2QtN8tve33xUOEZ90CFYGahdHJFJT5vRkWXcWkqyLxN7NHD6f1tH5EiGPM
iRTAPrDDbeajKoO6xd2OtHm91g+JQCQqtiYPycEwenMlGtysS0fm38rZTamCbGII5c0C2QX5lGYg
lZqHxMMyyPuX6XLizu0Ybqb6OAxVV8fF0vE6DsbcXPi2BVfl+JLFdaFdG1MJLRDfwu3PG4JKOORQ
socIGjXow3l/VRAvmGhuXF/vltz7Im7KXNXx4PIxXPVskBDjlRF4908nxSGDXlAkIDNlPDy4k22W
KTKU0sOkajnFHEMu3f0Wtuo453MDMsq3dvhQ0j+FDCZD8KoJcAscvNMDJfDVDhXI7NaIqtuNSx6s
aBvdTWWwrsKp+5td/dnSMFxLaLqgHEgOaBJ/OlFUeVS7Jre7vK+i7oKgOoPAaRHtt9/eEfozaNA4
QB66BIGwBtHtADRV5qSgCzW7DmTrE91DSpH1k1anwH7gPi0jHPmNXHKo82o9+oty7DG5FIgmEIj0
Xf8p+6vRoNKu7bNlO33KD9tPueK3l/qnM0EogqslgdiBY4GulKdnogKiutaJfFdqHfJdLfrucnIT
FEv/eB54SQLeKpIPTBKWB2fPGu0bpXq9sxkUA2nLI5unKjMGRF24TI803OXXlNKtq+c2V/rxTarf
f/3Pjavgv09j/vjjw4tYf/x29uUNrm9+anPvHvo5/OGHHlbz+3f98frQAxP3+1IPqL3P73z9Be/3
zYffRwoi+sDk/W52fyYFn31X7IFz+zzyMzsooIEPNEvgASm4cAgXcB0+s4PQKAbkH8UMAakGHCGF
K//IDiIJbX1M8BA8LxIczPuRG0TwplL0wA/D10HYCeU/oQbRQ+D4w01wYCsFR/DakwSuEUyYHTCD
zJtgQH3Rrdtejf6V7oW4WXhg65Q6yS4I18KnAXLN2oaTW5OwK1amg5r5q2N7vF9fU5RRxEEIfLIS
WAYHEYpjChwq9HEdhLiQDiwPZhmtHPL+TSnmPs2YzHYDME03fZnL04mxeGE2rjI3JbXrt8LIYIWK
iW7hT/k6QKXbuFJX76muw9jqfG5iw/IcWLCMXobdnO2WyEcpVFr9uS5yCJdFQ8sVaYLoSvs2iPMm
sjuhqzYJmmDpkkmZbBW05ZhiyueVVZDE67Af36GI8GjdMWpXhZjlCetLOscyGkqomtpyhkptQrs2
Y9PeBTZK+oKcVzkGkpQVQJ8svsP7kIbmjGKTtTHQfT1UEGFzMrEuyYGu+IBxt9yhsqU3Ei4BMKx4
OO7K0V/mpgTSr9Bl7mI1ug8dF34HUau9gIQUHYcORSnTol+DwNRdKoazlNhoXoUFPjau3k55UMRV
z9TrmUgDZBOZfQKRnL1DQMFA2hpGr/UogzVwDXhXWJzFy4Cj00arYA0fCTcTz1jqRt1uPQnlqQrw
uBug3T5tZ7O2s5qh3mv6k7kL8vM+J2pVj0294n0TlUnfWLye+UhXWUfmlaKsu6FNWKcydzjlqoEC
3Y70HV9Etmpn365wG4bb2uMFttZcLuU8xxULxjNVlcVNP07BW+BihnVB22wLTbRh3LooXzWuLhK8
tMNdUxVixarSXpFK4DzOWNCfjXXVHucKkxSxaO2n8YzoBkis4EQ0GrgO4DzXQ8gvOC70DKygQkAO
55uoslD40RaIv9LKTYnnLvae1SnRs9kyHaQ2W8rEF9XKM38JvB4D/iVrYt57m45Vm28xFDZp3bXN
eV2W3bscSKWN9Z1LFqW6ZLZB8IEvzbQSg53PKwoUlxzhPuVwrdak9+Wqhurn4V/sTrWQbo9Trd4u
URDZOEDDfKYIJKJGO3QVThhd9tUwXYR1sCRNPUzpuNR5XEl7kRvTxrrql02tuu7KGMo2xpDlinRZ
sWqWIE8qzFwysCW/LOfcXmAUqRWOcrqyfcF2uokIUEhAq7Q2jJKBd/XWjXX9xliMAU3exBbolpWV
1Uc8QmGFRlndZISPMZ9bnsJ3uKTXDdsOk1xOJz2RnaOd2FirgK+3s3SxqzgUjIGUq1aFIpmmrE5b
hfNt2wViVao5nDacutDHpWgplBN0gBoV3oo6r3zJ0qCeOI5tNVfbojf4eNY8gwJxYhe5D/D1MI1J
aP35VC/LBjhfeiYggd0Uxg4pGRg6U0JfSHAyq0iQi7CvEqPHKVGh7U8GhPPb2bX6Y6WmPpGmswmS
S3Y6ozG8WDhu3inw+lvcG3bcDkN9ZkfS7RY70HUAidSFh2UnTU+za2UJ3ke1yI9Z0dFtN/b9bUtM
cw2eWewMd+37qOmLBPEiS6RilU7qHESbmBLFyp0gUIbD5W/ijPf9vKFLU42pVgWw775u+nWmy3FN
vRT1uR3C0aZ9q4qzfqxVqtugWBdqwIl2wtsYMlSdINvyLo2aEJtE9APuYoRHBvRy9gaTILsgVe6W
JKLSRXGtDeAs86ijv1VI9FdB5JiJo9C3b3xTL0mJMnXBurY6huA3nGVYz2vwafPGz709HudK/1Yj
OwyJUC3YtR6CLp6wLNdLPQKNFiE54VNdl/SYE5KRFa7l/VyyUu1qa5vV2Hf2WBhP35FcdtulcBWJ
hwfxyQrONpbwaYmh96H+mDuQDlbZ0nYfgV3wcTYs3bsKyX5bM3dhdfC2mUa/tUGIYokYjYXNgdSp
DZJVPDPZgf0v5DfDSyZjppV7R6rW7GQxwwThyHfZmItkriq706A5AGkRZZNPuiYzl0iPA9pU2Uim
HSvmQZ7WVYbKexZQ31+joiKvVO3wtO7qoN57MIV9lkX2jTM6OGsUgzovcxCgV6iF2Sq5jK/rgrQB
BKmMvFHD8K6sZHAyCzplJyEBLo+xcWEJ7fIwCXM8YtAP4P4rqOGu7SQqkLus9cmUz+wjmiN6DaHQ
i93Igcq56rx3u46j/FXfNpASoH5iKUZNRM+HSjYfVeWB6tE5Z2+B/8O38yjmXVfXFMSigZ2ABCfu
ZcURibMoLLYBJOCnWUEmHQfN2LyKNGVndoJTLUvDNwNqSEyAhmTXZcaa3yrCmmsC3vrVXDXNtrDB
sFZeRXRdl1qwWBIxneElw1tCc7XiHnKXkWQ87oaRv/E6NOLCowyIs6G8DuQgToqoAEadlGoVli6r
k0KGTfjWyTb/baRFH8VtnS8+rozq8ApoO/qehbqxF8XSFG7V5XYpgDkS4cqgoPXxEkl0hSx24G4D
daVHOr4zbY1e42DEr0AerY4l8nQd4cldZCZQry2TegdZTVnHwD+2HnKtsUixbQcoifNx04CweYI4
EaC9iuCKzpHboKb3iR0Xd8/zKVqLIQhmYJuz4XU7IVukQPHaIWa2nM7nEuqu1bLMEY4XPQArpyo3
bQs09umo1C7zbvqggYtNXTvrtwoqtjOOVZUEWqPEVgQnIFpEyTJA/KyKJgnkJHa6Av6m7wxL20b6
OsFhFUAuJjbTVBgQXKqy8j4pM+BYTurMBqSKzdhHWw7C3XjsXaGPIZ1x6RyhQt9A2sBuiO/1lIga
4vtGFhxdlo1Z4nFmcBUWx3xStLi9hlFrWsz5pgWlYE6AYEyZCfnJqPy80m5WVWp969/VGVvirKDz
DhVRtwaFRUE4wnJtGxrEDnGzydyiLoZlpuuOwB0luhWnLGh0nKsWKGgS1+Reh7upte+Am99nlIOU
Vh5H/F07jBh0zCHrYzIF/gPkl27dIVpPqZ3m4W2g5+bStHmxwmVmQHUjTJw7kJCXzRz2rEh9KTcC
dLNUldJsioySLZBDbEPDXKTIsqE5d1CFJYICfYf6ql5NWYjmSz+FkTt2bqFnTFbDpaY6aOMBm+Ik
L2V5M/SZjoFzDDd08GZXeFpcDlpjvwJVer4fosrwRLmxeCs6oNZsQIs8laCa46QIMauBmMWuWrlK
RNNqsj4sspgOQMu7gXK9E37KkyKvR59kWaW2dBrJbgFScQ1SlT21vA/Pi5E3EeS35ZvJaRwdD2oI
0mJEPNvKLGvMthCFPRUgRdQxWugWtgz65YCC7YAH9KH3Cl+SMfKQV/s5fAXeRlO4uD3IBHoCyRrY
eyDAs+G4VPK0LUFVBX1uBUlPvVGZVacjpT6OehPslzHr/GZgXXAsimLf4EBeACmpg3heInPfW64u
SvCKEP27SsXtRKB66OdsTksS2jNucsjegiF8U4e5vIQA15y4cCQnUgbdGro5+jWZIrgTk8s+gvxm
ViVwLRcTzSNIoDlotm7kCLxoHbwJ2AI+ZJ6ybEpkbUGkrSu/4oY218vISBZPXYTP2yyUILws054W
JruawYtvIgX8c9VRSMuQNUlv/H1LoOuCqbBJOUU1RE6VQdK5oJSi8TxrISnIR3yCAaFVMZd8NbDQ
va4jTlYMAk1sQJNeVXnGz2Zt9BvUt+dNxLq1L53fGBf5CXa9dKctVeUJK1sOjiQy/dZBjZFKpaNd
SOh8RUDFTYixJ8aZ1yyq7oNMXHSDcHGJdAnKZBmuc21HUCUERKbCJ45zHzPULRemaapb0PX6CwfZ
F4hTmTrVoCdumVDjMUcfyrGMu64j6xKXSaimeYsDoqGWWsZ01nO1RhCQVAxtKLpIcqW2LIcGDhBw
Y6d3U06P9cxOW6tOyiVnZ4ordGJF3oJQi8cyWWpapwYNAaSM1Z0YG4ViP4w3NRjTmljlEibmOgmB
90u1GMorNUNGm7WKnIiuJ1cEVeJ4COth9f+Z+7LmuHFlzT80nCBBAiBfuRRr0y7Lkl8YXkkA3FcA
v34+9T33tF1z3I5bERMx0U9tSSguyETmt2SBVotS7oQiLxDtp8Vw3cZ+N3ooQVtwyUtNEw4uLHP0
WKcd1fuiZixXoziGas7daku9sMpd/k7qmGRrKdQSXiSOReOBNCRSn0bAyqlhOJti23XLweONt5Pg
wkA/0XFMGjUGoO/1PhDDfnBRQ9hgDRNK2BSXTNaHwjbIf+uKV130nZOA7nGybqocUFlD9OrSPsin
wngfxxAlezSU9bHXdkk9xytBW9Ago1u07u0qyafQD/2PjNv+ERWwPMyFWF9UW3QHv+0hsFgX+qjs
oJAraVjFQTtW53GW1U3VDDZzUbR9hWcOLbTX+xJYdPfNrwYaO8F81hBKTE1BU+MWX1yNs8834FkU
TRbhPA9ycU7ErCzut2jaO6bmB02W6GZjW/QUFnJO23KQIP1RwK689bMJkqqU8v78LqhIPNGlzIXK
BGBlyt3mUa5aoU5ox88ea4O0cfwiARvhHCaf7LWyztH1RZNBizLfztE8HXmkHmlXJTRsWUyC8bYj
HwcXSiTlZtYPd2Rmb6ra7trN9faq0k9hJHel0zyaZtwXyns/llgZF163JigNP45l9No0UUpW8XkE
sAFVjBrSMmyrx3fpwT6aGRL75rfnQG0E+3jsDlGoTiGtmmOpA3tiYwVBCA3r/bsIKTAK8hdZ1fvC
bcVhm+sy99flyfVbEYemXRNSo8GzqwMZAUUZfnApmitwAuqrT2R3VguXNhFby1K5IEcS19lXnfRT
OtduXkZNsesUL066pk3mROW0j8CDF9BWSH4WJSniUPPUTuF6GGtV54IfvKU6eRACWb8Zst4T9EPf
8/nsBtz/IGTQI+euc5RRCLxsrpqmYbEqTLgkoYQIyk6if3G2qE5DHy2KZQ6qMBv1p6pz16eeN/eK
urE0FL+/sqwi8jg3w/dWUxCsyjhNXIZumyHBH12wXsPoNTtATP1BhqpIBl+rlECUcmOJt6aME/er
j/uLy25Rc8JbHbwuTjgcVhmG9+CL6K5wVy9teRRPZd1n66DdHVvnZPELFzmve/WZ4z6uhZzQ4ejI
PDQAqUkcOmzczTQkOSZZdfG2uXj0iquEr1uUbY5TlnE/0nPTBkHKeraduSnC8+p3N6VwY2297wH4
iHiy/BhFT9pVkJf490bUh2YWX7Zy+W7KkfkgKTsU4mTQdUxZOewnb+x2ODadZKO1TiVx3Kxzmu12
UauHLtsRe5xcYNLp3uNTugVrurmhitGH78OwQ0DxJsNp+51t5NZpKag7bvfU8U40XG2MWms3rOvb
QrZyTLTvq8OA4+Bp9Fxz6xfV2+ITm4yd8+KLiN410Hd9dqjf7/HzuFUoWzgaiIM/oBtDieI86ci/
6fwBZKh2E9717DyQsYglJa9I4GXM3IG++H7jpU7FTBoa76XhLEolC0fo+aodauhk7FViuvn74k4k
XnE0xxGHKE0tkOqYhv1QnBxYJQ6N0km1Nc8DEygv6ZaIYQVpjgN81xQ9pFd+XrfmFfR2gOhxVCa2
whVxHdTzE5rsaVcH4kYWq8gjb77fxhqlni+q+2ryP8guMgnXkA54tYt60QNixD2yxP4kdmC2RRII
UgPK84JbrdmUhvXapmqURUpblpHJzRho5TGh3noMFKQg7qnfhEA4tk+LbOJlbY9FNEV7MS23zEZ6
TKdlidKl85rncuj0a9TOR2knFddoOOKm13s21Dqfe0HarAYTfhDztOwcxbyD41VkryZvvR/sWn4q
lTcmiNDPaPmffeiStnvSx4s3fOPAuZ43DAQ7eCh9DxWQIajZ1jPEMmioGbPQLfJwH5BaojdZ7soG
cMuydP2L70m7V9IsZSycEEKKvpcxBDVjOvSmPxMOxAxtQ7FbuWVPttpEUrgW+gsbaGCZhA0HxiQY
DEeLtI302eFNG0eb1HhRbpn3UCZknHATxUPviw8r1cEt9llGFnM2rJjOsggslJQuUK+DlSTM8LfT
6zQFzoGgU8w63zUpPpN/7W0x7ddoe4oKCXlaV+W8k30+Rr16cVog3wMd7xe/xXUJV2RqYEXqFA4E
czjnUSevDsDXIEAV3j8yd12hB1gzY3lQxq4ztAfbqz4Ztu2NduD/DbL4gYkyuKldotJyrRxAxJC7
DDHgG1TLm/bDMy972sXAhXqeUonfg3xjTau2AkI10G8cUFc8KUPuW+jWHuRUDl6q3vFweDc3IKl6
pwgpPypL1XkKu/bY+kz32SRkAd1eMbUqLoyW+aYq9WmU25zPyqe7DpUmCiq1pE2AE1lYd5TxyHvi
IC+Y2ruJKIcucGXm1FLpvBSkt7Hs0Xpkk+N5z6CmPBOTUKkJ+rNGnvWEkowXvbdfN889aV622J1t
AwmdNozfcp+JUwGhzB5/4mcuEfMZvTx5EVFNoUBgw4+p6lE6FsF03kY0TK3jQ7HT0vLOYZ2fD9Uo
82FqUQB5bPAgEFpw8q59Q8/uOqcjij/4v8kYS6AU52ik5Am0ZHmsDSHPSPzt3cL8Kl/LYW5jdxyG
nMgG1LV2G0JjKEo0BJpDj6OP28QEA+TEdIBMIekMqT6HDPkiFnRTH4gX3iwRbQFmbu29HDqWeDr4
XkSu/8X1va5KYYkqvhW1aJ5RhrxB86jAM48PZJmeSaSg13wHvBa77Wdr+p1C7XzS2sV2pQC+oO1Z
oa227eeeCr4P+0AmfVm42drN2EWAB9MS4uZ7d1l1Ah5hrmPDQ8BmiswIrQAAHSSjcdPxHcTA/W2o
/CXpB83zuZo/rKaCtoeMH4U3DMkomjZXhLJbO5fi0TjT8CkoQ6eK3YJvOaTTwZAsgV/FPUVjUxbP
UPhEB3DcKHeWLmbhctJCQgfLtDwawn8IlP+xL5s5VYCgkAkgc0vWJYyeofXAYTJZpdNl9tozs8X9
wu09g5ruoeKhTry17nfdTL62VYjNSCER0w1q41Fa/zRJ43xeWVlmRRd9imYv3LMegmdUSUFi1hpF
WOT3DiiiWh70Srw9Tl20xuQoUDV9kBD93RIP26/lTnlcdOjs0dhtGYr3h1kwJ9YgpnZ8mM8eCvUp
nNfct0Als5XY6aCm1rldjY4AYgTPVc/wcaoBvTIqGVcOW9OFSED4I26+7qF08e8cO7hn+HltHBZU
Hr0QOgNPqQjIEFOnudWPHhkRnGPLY75t3hGiryej5+AElcWTiyCKXbrtxpVHmZ7r566Wt2a2blKx
Pog1gQI1tsrjPKGLdfesHecdQYWDXAhoNMjmaEVO3qBeO0WdP1dAAcYAm3krgVczJGQvGvsPJnLY
t45yoJYdxFsoLKA4i+h06LANUxP2kNgaq/pdj7R4M1cT1LXW2qOZWXgTRnOdqF5+oCV7YJOMdksQ
fWbSO9W6PIdAu/OATigFjf8QoS46iWpJxgEKrWZ8MYt8pWsHoHXqq2ToeOyoh2Jaq9SCYHkaqd8k
xOnqR9/txtMwdXO6lqx6oUSyPVShKGn01IHQD9PSejwdqj7IeNg7eTNHsB08aHBNN+VWyaNErH1u
dCGKpOY9ym6oALx4oYiAsqVnb4EWOR6Cxs3Cfj6WawAxqTce4JDvIHuiVuShASW4CFQLseQGx0lT
F23i0sAF5MjaHOrFCK8xbMiLO1QQV/Olp4dQ1+0XD1gD4mch3RmLymMbmg9zCIiqdsiuQ367iUwt
eeKs2vlqFQoznIfbg9jseij7VkEKB7XCKxWj84y+3z9bbOUX3dZrooGxV6laqukOeWEacNdB/QlS
tfVrxWf0dQANohWkkFLUniboQhXQ22B5ofMk7lZHI4yNwksAx7RVt4XdpIntLFBm1r0fPdcemw6V
7izS1eiub5vL6Yel8qo2rzlwqrakXQskMwg6VIOkvitp6LSJX2soVCGB3CweiQj6JCBcfFjqbTyA
jkIZ1y5E7NBRB3u+NMLGrOsJfpc0axKpbX2VvP1aNb6TzGb+irbcgchedDJ1B/K1RsEHws0CsIod
CUhkWtzwtJJZIFN0+C9d+na6MayrUFK69LWVCrGEH7vTjeOz6YtfEwHpKym6Xb+s9JtEQb6za8Cg
tSzZDVhWfbuMHTTiKzjhkW3zrhc1fVhYgIxW8RIbZeB4e0vF/L3jFCP4p8okMgTtA6QLauvJX+Eo
pMuunTWB9l6KPRT5j0wHoCHrwoN0MoAOWxayvpkdpp+ArFW7Afp3a9fITSCGbua4UAz+C2MlhCuc
6SrlXkG/dN0wr1lQu8NxcurmA5TAXkqAyu65rv27enPUlPAi3EBFEz/xB4aqMvAS1y85Dj4tdmAU
82HDBi5t+Lmt3HIXDoW8x8YfMutEy6EjHblz1+pzNAHRiwVq2njZ1regn5dkCsohU4G9X6q1Tknf
RDHUrUsMIapJ2NzYdDCvvUjV5A6xT7pbMIId/n7wPpT9kK5GjXkkQvvSrpWb6rIbs0UuW6q1B99R
PR79lqLr4HbcowusdtB9Fo9L7yLXL+yTLubKZLINB0hU1/FGhgC/NCCwx0AVsH7IlgbPIJug4oZk
+2FrN7GbtaPfitn7XluADioqgjs4FJqXVuDs6FToxpjKIB4WCIHzlbK6SUa4ckQMFoXZRNoiOgnA
kug6lJTP1eLOj5yA8MlII8o1aWBQONHIoCQow8BLSx9nMlU8Kayvn7RR3l7QZc0DHaFB695ZNXEw
QQfq1F959n5SczQecIBAf9pDEBD33uC+6KUfY4jaDdCUtX4nZr1Uim3NOto/ozNDlTIHYx52vX8j
N7nuGlOL1CjyCfxbcUIhIs81qsmkGdDQGNGwE+2Ralcp68yA+7upZUU/csdmTeluOyl8s5/mme9V
34+n3npip5bJfaw2suYgGQBzzv3WA7sx/ZDP7VY8VauGiwthiVVBCvKhDaDBjrx7PNUA9QGcEDde
sdAE7Fqr485Cp5RUfWjPrdX8hzFtU+dgX9ADgnXTx22MRBIGFrsHWOpzaYPlzl/6e6e0aQs072bQ
MzsENZcR/Au0O5VtCTBucKnFL4zrspO9p5LIdj9gHfHaeGOgVHjnL99qSAd2s1MXe7+s8Xnd1JPc
Q6FwCly9rxuD2V7QVHtZtDobj0vaihe830+GDDLXABFwdIFXj8vGQ9umi5TJ6dUNZJVXgYCuffMq
OsYBYDqAO+Dv3DQIfAeaYX9h2aYYKMXRW0/GapaEQ7u8zcY399LgfOwHLuO5QmMw+t2Jt3Sa4p5R
HDbgzFH/D6YSj/MQDoCL5eTf+SUy9Ny59+AadmLD/m2o+eDVVH2zTiOeYRDg38DARWe6eEexSB8q
7bEgQIvINrbIhV4N24LTvTogZO86b4DQsm097ArPSV3l95+2CNaeWBerIrEWDFAwaoavwEDReZDB
vyuJC5Gxq2WHF9fcgfjXh65qoz6edOCeykYgtOUMgsmhA9yezlsx6vFTVKHeSFi3uiegzzhtVknl
1wJgJdqEYGO5v3lyD81OhBe0DB8BDL2Jyn7ZdFTjGGfjB59U9UEM1KoYx6l49dB/fpyNC1pncV2z
3yCDjtFrTOimIPxWIXqWtIzEmiml24fQNDYp2pDdzU3DM9LX2962arUJkL55501lF+xaqMttucWy
2NCJzk5iaj/5q8FRgCV2lo8PYLy8eBSdBxSjnPQ+dKB8tpUT5s6gyUMXuOuZO2BeZ+SjR4g8nMQC
6U9RtOv7mpbBnsxz+VrNrf9hULOC1gGqFbA9LsQcTrDm0/KOjztq9G4lgc4WmbsJQXjNU7KNKu0E
ffdilTgJRGsAtK9CNbG3QeHoeOTsLnWbzC2ByKe1jPRpF8JSyAbWZpDY/5CemNO5K+BamCTkDKOq
bUZ875kD20+E60U5QzbNwO82Z6cm93Rt7W5iHY0JtfzWjEOHfl/rL2vtD2s8hVv4EID8HtEi2ejW
FV7zCJI2eiJOoO9BYLMvJKzak2MYeLXWXY9y5MYmZVkvid9V4VNgwDIaf36dgEOreFxGe+MLrXZQ
0ow5jlLoXYRZ7hbSPEKCp84aNddeRpOfBlv4MjRjlU5yECglQy0/DNDr3G+rhpTeXQL5ogcLjsAJ
LcRNYu2T3rc3IzZE0qpi9ePG8MNUqbxqtupIGwE4sgjDo6T0ti9Uky5+E+7bzrQHYBlrYkXfICL0
dvR6CGesHIFvjpw3SREa9xWuEKg+fN//6DD/MRyLD5Hut/tqhKeEF+ji1DiVabPRKm20fKjAEwqo
ofZBCB30FEXmZGQP5LXW7a3q1jFpR3XwUc4+wFcL3ABN1DkyjVEQKzP/pudRtwfu9zWc+ufANaey
BGEUOvTYDg1IGzcsl70stPtajQNMtHUT5TQImg/ewpG4ZnDSh1a2R69jywmYADQhAdWp8MjwUis8
qHAq5hht8hDGI4hqF+TD9J7SnSEZ2FbvyqGUe+IIyDq6BbIdd+h3m5oBAOjFEDfuS/CyFcwLD0jT
K+yvgdIZTo5uB07SPS1k/d6PHrCeqaT7QmyA9mpQkbfIWxQWFN8coScIwE6X+nmdS30btsW2j5bQ
PkJiWWdWFICkIq99HFBcPG6zIVlZNf2bqVdZxdWi15Nu3CmpMF7mB9N+8bJOSseVRVMKRLoYFCIf
tiTQS9HHVtQm7UUH1KDqnFS1RGW0pdVBbvAzNhUnD55g4tZvJwDltqrHJNr8+R7YQPW13sAnx6Jv
g8QHEAm5AwTLhk3BK3w3GvnMTkANNT0t1kRjYpSuodsS4BOg/f86FFFwRKFSfgVIiBpCvkNR/iAf
BJrwBo3AQo/h/PoOBX10C6iy4qhz5zdbMPICdEO8QZ9m74Bt+FkZFU5mx0h+r5zAezSagTkouvq5
kEWVgRZAe986Jvajnj9h9pSbV8tAExKy6nGFGa5M+mCpj3Ml1Y/O89enFscriBlT3A3RQCm0E/Dr
NLMMMkcWxXFpfH83TDhr0Dy37n1dmw0K94HdgLKqs7ALF4UtH0x3YAyCp2ZBA+50Rj2pzvkipzHc
sRHn51IXx6rUE+gcOt6Vg/Y+03YFrKgQM3HbzS7OROFAGATn4DxYcpiUdGLAM+ujtaCLY7ItY1q3
vN/ZEUBGL+Ghhanb+0FkWJyg0OnbuHcWOBhNsVT3DMXBDmRccWw6xOE2Dg22LVp9tM5AC8BGkcet
m4pHGUVdVkII8NwW4gmnK2oeil4ax6+/HxvOwaVV6jSpWn9gW2X35t2MHjj45oqYoKxNUSOrj5Hs
DcBop6he14ADc4tquQF2AL4N+Tp4IUc4ascxbQBWxnfTRC9YHlZg76a58ZMILWcSyQHHFbi+J6Bh
855S/q7ue8fee3eZfkBcY2DrL+mTHTx7WM1SJ3hvU4ymKzr2CpbaFRR9glCFeTBoNsAnEweuYJjj
xZDlCWxLMNiNvl3F/NBYb4YyDs6yJSrCHdRkqDnhzstbUDdP0wobR7lOFN60gaCrCr2Noqk04Q/r
MIqTAq5HBc05asHJ34madYdu3YrbUS7jXVBM8D55uP7SQigYKx6EeOTedyQc52YtzDRn8FyGsHvX
NXLQ/4JWTEpJagOP5ka9pA6773ToikzTon6rZ1OCQoFk+AOrwX9QqK/u17aQn+C9WG+pD9IFOC3E
sGp1amQk2T78P5HL//8nhP/68zeA/PdYlb/k7B7k2r/Xwf8yeeTfv/+v2RgcUwQp3BChT6gXUR9D
H/9L/c7C/43/93BUUPwUpSJ+8i/1u8//twu0m8JBwSK4S96dDRMQK4zN+EsyD8tVCLgfPo8IA+7/
2wDwL6H5P83G+NWp4UCPzwNOMZzjV4dGRCBVm2rNs5lCIxFDPWU+VoTp/5FB4+/l38XuP7lvJHeU
2XTLM5y1I84imPLL51KjIfnpMf8H3fyvlpi/179w90SNVcikBcsiQif70HtN5CJZSurFcIc2JA78
YS52//xhv3tWeE0/38yEdySBF7JMv1dlMTJdOcadYeGnf14f81Z+cgD8fTMXyn8eQf4tI8OyBXXU
jYfpEM3T5kqXnU0IhDR3wBmNKM6G/vGfP/A3N+TD4/HzDfUhlB38/QPXOuL62FVLsUAcsFQi++cP
eF/ob3fFv+/o0v8TCru5M9TI6Pgmvh2Z8QuS9Goi1ZmqSpIbb3mfWTFMQ2uAxtQBPJiY77GOf7JM
/Wrv+PsC3h/1T/sP3Pmk6GRotpTlOiQQY+Xc9zCAwR8gvBnKbQXJaLhz7jaMysgAS3YhWo4yJM0f
nHa/e8bvO/enK6hL06w1hcx/CzFKxR+7H5xu4g/397vFL1wrHSIVTclMM2Mm/upiBAT0vIu8++e3
97vV3//950sPpWCTD8ZS+UJ8d/GdVefWEWpJrlv+Ijd0zkb7oaIUPhq+vngb9K+6QDt13eoXmWGs
N9n3mLmRodm0kORoByQs67uOX3n5F9mA6NILAVUjG3QBVOmGAc6MhwGhlP7zHfwmt72Pevz58TfA
qiHLLXneAMwuHjHgZ1he/MFG7nF2qog/YD6Sz/5HLsa/A+Ui9xDwSS0wINQxneHsfhIYifzSzLPz
459v5jd7iVykmil0F3fTNMwtqPvMlAFkEVoo2KL/ef33Hf8fMg25eFhRp4J6QTmed+hqm902eiCj
6814IkUXHERXfsxFPvGDDkhy74A9nBcy71vWtVBFtV6ts17Mm74urv/yIf8UeUO3DoWvmxB8v7LP
0O5Udy0UIM/XPauLrLEpkHsbapGcQGWQ1dPI/XMZmG74qGgIucg/f8rv3vj7v/90DxUYPoUOPszH
OjAHp7HuXVR6Yx1ft7z/6/JdIQx0BJblC1S4gDWkDt6Y7fo/nFy/u/qL9LGsvMN3PUHBuNZ4A9CY
YdTT4gCQuO7qL5LHghFFpjYSarZpVXgHJtROPLkG7M91H3ARzyoC0AiYJYRqp4EWo/dou2Wj5Ha7
v+oDvIuABuLvTx44szyaKvHCw2m616IczHXX710EGpxR+F4byMry3g9mAWmAr6O4Us3mXhdif5ms
f9qesHwMbCYjz9VU9sFhajDEKZYLjP1/+ID3zPMfMtLlrDlTytJtNrzioTD9mMrS5/y+cezKjuVc
NCrTmPfWvtbw4n1a2nJr/5DJLyyt/07l3kXggWwueAdJeN7VYd0fMe+u4KjsVYSyLpw3GWB6yCzt
mghw581OaVvylAWb3z2t7sz+ZFf/TQS9N04/x7+BvRBCDKfIMa9nSX2x8TzEjKI/7A9MAPzPj5f8
ujxdZw2T6hDlvgvFaGa9Yp0zWlhb7/sI417uyqnBpC0n2Jp9YMOW3kK5R9obTOQJ5WsImQf9w6X8
7kYvYhnDomjfbZgP1/NigsPIRt97rTEW67pAu4jkeoRrGpIlno9Oj1k1sxdgjKAflt+uWh426l9e
0+KNDJ6BMshLjBt6ozjdbifXaa5Lo+57cPwUZYNfttJxOBDWGp1MsnghiB9A2Ga6LsrcizwxicFQ
oscwn81WEJgAx9H9onsPEVeRyu3iVix9ExPL+vJr39iJXPdaLodY+BumSigyspyFRbOAtCIYE2dA
zl+Zwd2LU9oGVg2geHgGINLL4CbD7DoGBPa61/6+mX96MQz6rFYO2oJZge/WtqDc2NjLP+Sg34SE
exH7mMdROWAkbC6JgG4F5oG0MB25clNdhD66ni6Ezt3mBH1j7Fbex7YM/lRI/u7SL6LZYwCrdV3a
vORmvllMC+ljPVQwKVz34C/CuYIFp/dhX8ydookOBOp8aBzDIL9mdYzD+PW1+v1K+1lh9bkASLr5
8KFMjSeuunaMZf119bAlNlw5XqszkyqBkg6GGYCUV+VRzIn4dXXpOqO7FZPNB0/UQFbfp8fRwP4B
vHkPm//7OAag9uvqbUEraz1nyzH96TvaTrXugln1bT5vnF15BxchC/nCCnlNAS4BgfsYzZ3MvKBT
V7Xjf0GBP4fs3KIUgpt1y7uAQpyDKUipNO116YZGFyHrYfhmgamIGDU41cFJ1A2/6XV95aVfRCwO
6kLBMzbD4ok5lAnUqNDkVFpVV2UzzBn+9eVSKGmVA39j1r/LJtRczuelKOorg+oiZC9ng/gwD9R3
dAQ3dN2+CS+iVnliHcr13YhYLrCK9/TNRKb9w8b/zwmNvn93x8/bBnJlFYRhsWZDXXlQ5sPoO2Du
x5WXfhG0Ppx7pJDhiifvvI0E9R1U68V1rzW8iFnVg7NyJvavSw8I7JaYjnLtpV9GK8UswbDy1iza
ABqT99XBNl+7+vvr+OmAVe7aFzW8BpmWUZUsocJIRAa/5FV5PryIVjDSISbHuVg9IN8HEYB1FuV1
yBYMOxeXjm+uD0WJxSOMjYS2EfLFSjF9VW1Aw4tY1bPPi9qoNaMzBCUamqMYo7Lm646o8CJWm6on
LSwOS9auFnqnSnxfpPWue+r8Ik4nDE2AAhgjgxtVBaDw6Juzwn1z1Su9nOrlFnT0TeXMGR/cNoX/
+PO0QGN23eIXYTpgWqhEJbxkEh78mEkBBeIIS+91q1/EKWbDOKBAI1x6tHg3E+iR+4LDXXnd6hdx
qpcAk8mwcm7h88LcAciVaOpg8Ml03Z7hF6EKI1nULH255iZoWnDO0Fnk/Ubmr9dd/0WseqIgY6cb
nKzFVB/hQffgipcmu2518muwLiNMXCWsgfkc+Z8wAeBhCvyH65a+jNTJYHaKcWYMXXdukR7fYGm4
Dr6j/CJOIyEwGaPl4NK3KkyXij53mKFw3Qt9n132c+5t1eSMGFC65A7G4CaQk585xrhct9nZxXkK
+nbrJxgmsrbW34TxPhLa4Dte/k0a3/9XNfrzFLDfHNXsIkpDzJfEnALH5Fh2mjFhY6owFHzyy+tS
L7uI0xW6sUoF45xjqpr7GszIA/EkrHddpcEuAnUZauLWRbfkTTfatNP8SyX64srHfhGkRSgGvopx
yakZMQ2jwfimSf2Jef3dg78I0ahlGO/uNHOOb6yIIPAqPfjBi/7jda/1IkTJTOZxHgW2Y4WhFX6z
vcIHcOUrvYhRjL+NoGBSSz5SCPe8UL/VQ3h/3XVfxGiAMT2b8LE25g4/B4u5ocF0c9XS9CJCuw0T
lqBznjO3cDC+RxZneO6uwwdgwP81/D2YLrl14N1jbnQHLeNbiHls16WW92+8+zm1OBXq9LH7P5yd
2ZKcOBpGn4gIkISAWyCTytrLVV5vCNvdRiDEIpAEPP18OVdt2m5HcNsxQ2El2r//HLRJK7qXvupB
4hfHRvIrA/Gfj2aDW+mCM/VTv9kbjVJ4Fh6bQcNdxxzWEEqHAXs7rlCI1C9Fp8tD16zhnnpat/MC
YgleelDvN2uyJvpw7AvZdck2afSAIj7vxIT8ppfkJd74sXEq3PVHM1q5rI7PxTo1wdu2zqRoDJ3y
Yy++65G0K5euAYSrmDxECUgnQYNJPh179q5HyraewijwwbGtsbr1fP6VATd+bIRluz6JD3scARia
CwgyljRExXAOTKU91nHYrlPGE8B4LLTeaeSvus9jnGIfapOrveif3UZUApBFsc6FiRHmcHRCYeHI
3449fNcnHe7fUZVRTqdADDeuxd3+SIHgOPbwXbfUxvgSFRjTKW7DZ2qG7zWQZQdb5TrT/WP7mbBw
9cc4mU5a0ecQz16MPfrsXdcMXA1G9oIc5Eaof2/iqrkdGdhox1pl1zsBybYt1rP4UMINnFO/ed9y
cWyBxXZ9c0kMczJBz18ArGwyn5W8zyE2QW3PsZffddDBKQauPPpQxYavnrMfcfnw/tCj92Eti+o9
wC/QLsYAOzsi1pnSmETH1hH7pJYWNsJ59IIXR0WG6f3bxaLy6tib73oo1CQAoQDNVaD4+qFF4BBV
F4DGHnv4roeaSiMbaSwQQ0P7gnwx4Gni2CKF7vtnCKVHBaVQQQhkTk4BFxGw5sex99510BU3ChOw
5MB2tfwzambAPg9fjz161z8XoExkDEFGsQbgVbR9BGixao4lI0K665996LrEIr5T4AoJVWZbD5gB
qvKOvfqug5oBQikROF2AAqkgqjDauwOYbH137PG77uk8ilERyNiC2PWvCSu4ZYq/HXr0PuA0Y+JB
ITzAYpJX75ZhuPhKHfsO99kmW8YSeCsUN252FCfrKpJ7bff92HvvOme9IXWuFwlgvBgyyYDaBUbo
vx997Se/uHLZp5ich/NgO0QadUQ2NKgI4s3DyAfUEjTAlWT//Ueu/eVXf2TXSUPZLZ3sQw3ZCP3S
CvbRG+TbsUfvuuiCxGPLo1Kj/1uQUiYNQqFlB6/qyK6XVuB/1poSvDgLPirrobbeGz4ce/NdH4Xo
apDaF1MRkpq5E4ouVwYSbCtkfuwP7PopE1UVo/Acn+TivdQAk9fjwb042fXRtg5HbJjx6HJNXma/
fiopP3YNtc8stfFaqhE0voKWihReTOaXoHL1oaRvuM9rkgiuNlvjSwRdZ4V0aywoOxgYC/d5KOAa
vHmZhC46C6S7b6PzCBDosVF3n4WaNTNAVaDJMTze2ZXcteFyrA/tU1CJQ0ljM1a6iMoKjJhtvQNv
9uC92T7pBN4GapCBNivAmnumwXiv/fnge+96p65xO8GdNxYTj0GHQYmrHI9t4v4vKf3H0rxcQPWt
hkYXHC2TAkPoUNKs4mPj4f/zUv94+kyb0QOXC/KlSABpQ+SL8ZJjS9B/qQkA81i70B+LqqaqSR0O
Kk7G9/ixhtlHkaBDRCqtWdFvUM4J5Dbn76B82o79ovsoEkqreYms3VhsiSZZMLFHzKQHb8/3MSQD
JSSYlz0+lz5hvsRYi6IxkULMKP8wmbJfz3P7vBHiuT4KPju0fSVclHU4PCvKko0H7xH2cSPo+UCO
AxEOtN5Jjpl1g/phkgg1zIdmDP/67/rHdwk6os8gUwBfTKwTRBQcvtZJhMd2AfvAURQtS+wDVFqY
lpMMLkedQRhzcHz0d9Mp4M8BTuG7q2YWNeaA+RL5Va5LVx1sm91sutSaa7egbQCpAH1mVu+XNjg2
5/n76ZT0Tnng7xS6i4ebdfKns2t7cXPkV2X7vBGIHXQFNGC4kp23j35fVjcM1CF5qGFg3fr5o6EY
J8HMxM+adOU4nSMTU5aGZQ817LH3361+cRkn+26waHk6uQs8re/F2B47m2f7yFEEHjkyxnooIja/
1tX0girw12PvvVv1VuXqaNtWYxF1yZeud6hUBV/jYKPsuuqII/PYA4q7oLqJv8DKs0C9qezBT2Y3
s86+t6wbDfsCPRUGAURfUm/1otOxhiE/fzF69XBH3+LpISp90ys1WnZ/SjH9/3Ly33sNto8ZjfWC
eF0MhIqFeKFMcVuMsmcfYHoJ1HxSyRs1rA6cPQDJKTg9HIw5UH/fUOIWjc8MHDH9mkQKvC7cS/Y3
jewYTwHfxmF8tYyx79KNNaN+70bimcxfx05+7QEMHTOOhSXJgxBn7SdIvhdzhTqjrhnAUqj9zOjF
TUGiRcCw2jeAxQc+ThM+eUj2rueAgnqe0wiC8syBvrUBUJCICdV2ZDNnRciy5ZNVtPuyXNUSzzPj
XvNtCsADK2JA/m2hF/x7oWrZwK70bRhnXUSAleFQN5qbKuiBJ+fQHuOVUYEOIV4CzinhoFvVk94g
Vk/i9exUaxlQf6wKTzZyDEfYQEewDIBZBSaDBeYhi3VNI6D6ah3cOdQpJ5eWBjMrNrS2y0Iq7WUD
0eVRtthbF0iANmCSl7rcXtug6aNDq5B/KQbVwgyHnrsveCh6nPoAEFzR5FjX2ie9KCtXLCQhLBdc
/V0y+VpG9bH33ue8LG5ilpbgvUNTFhMAMWUYHDocBHfj504FLj5dA5wgFSRJlrT0EolC/aA/2Ca7
EzztV5RLXNoVFYH+cpHjD97oQ4s+Fu/GyQblrbaDo7swqxkeUaBV3/R0VseGsng3UApew/MM/DgM
spLdQ4zaIPlv5s+HhrJ9xksrCE3sYPtCgljyQccAi2sF9fjBZt+NlCMUwSgTSfoCzkAQBUgDMH11
rPiL7UNePrpwyIBLLNZ+KFUOmwCoUSOcD4d2OWwf8wq6Otg8WOYLXqlwAUm4A+kx8kKQxQ81/j7q
Bb62Kz0x9wUuqn64gd2GoIEee/l90mswTttxjeB19xPkyOYJpLqMJg05dLQME/nP3dWG4wYgOhmK
dky2OI16CCEynHaAXH6scXY91g1dG/hLhQWCH8BXH7nmVNf1wQXCVfn3z53CELmy2cBSxGnEDJiM
CXg2eM4vjr37rs86H6XSIfjkKHSFHpJTG84pnB78WL4f+Oif335qugpBph7DcGeiW9FR/wv2tOuh
o2Co9X5+erRAL6AmrFdxlLVcSgY1fOTP0cGPfrcPIbQ1SX2dnZpaQWDuxio1AIMd/Gp2O5FAB4tZ
sE8uvLWjfwukzf/elFHHkp9sH/oKCZCswPMMRcgj611kAhuCXzoX/uHu8Dd1dRDZ/Nz2KDctS97G
XQHkKNVvg6xtn5VRB56Ym3rvDQVnjx5s9k2OVZxMsirBZvQsvDDsj/36+3wY6nSBU2qw/nTrKOLM
Uw0AFEp0Q3toGw0p5s//RO4D8kvG68gE7FJ5B54j6s7WcZ39Y0PfPiK2+Uaj4pUAEUuDGsw61ziW
NpLZgwssvuvefNqU7gj+wGoAvxab+Qiz5/dDQwffde12BhUxMVtXDPoqDavoD0Dsjr74rmdX4wbd
J3i3hfXZuSWg6ZPp0BEA47turTzPrxwIIsXMLFRVHsNVg9veHWuUXa+eAfyqAme7ojQ6PhkBCpcK
64NT5T4n5qK67zr8okUNQOM31Tj6XXuYbg69+z4oNjWs61kXqAJrrcfIbnftWH059ujdHFzB3sXg
NuiKaSHiNmh1nFZ1745NYvuoGPiZNWw9VBVUAm2VQtwx3orIdOJYN90Hxliy9JR3viqisIPIPYlv
JAPg/ljT7LqoHrqqKpO6KxIm3P2kFcuiubEv//306yrhF3v0cNdJr45QIPcxv7cbG7Hk96cqObV+
0Pcnjl1dd2yNxXaLFNA/yhLy0rbYdPQNG/UHFYmP//0vuLbDL/4FeyQTsz6uBlGOhQrBvgSJezL2
b0fHY+gBnAr9PMbXWCt3ouzaIhniEqc78B0qHppjXWqvW+9JY5ZN4+Vh0MQeP4BRA0iJg8PBPr+T
8C1aQ0CYC9iKgjXvalz+ZlA4NvbYTncfDYyh0Ig5rfrCN3QeUvwO0HlJz0/6Y0us8F9jcT2NNqkx
5FyNDLP/rgrKY00f7kZiMEPm2Nd4dxyahnmtcUOzGUB/j32Vyc+fTYcxxpMIe56CSJfv7OoNr50I
jxWpsX06sK27wPhkaq9Ta/wyKBoWcx3Gxxp9HxEccGjkl+r6yQscNvVj/AIxfX2wYXZrJrPO3Wog
KULwA2SuDDWl4+etTXp78Pm7nzUGHnDAyrYtYNeBDKjy/ece9XzvDv2s+1TZymuccLnRy6ugWvrb
BujLR0KG0PyhQ/0/LPWL0WwfLOOMElCSDUYzbkL1NMKKZm5qaUd9xkbMkDMKXWEGGmFu6u89CKG2
+yFqRvWZBJSdDSfbJWLeGqaQChvQFSAdkE+qCwGShxd1rYEmFuX2rS/XGnz5AXNuZsJm+U4VY3d2
aObbtRb2TEsDevEGBgZsHqpm25sIUN/yIq+cijegz4cpx4YN7hxfaQe3OZKfjw08eVuO//VUP1AA
8u33Y42+Wxwg1wi9OgqST1UZNI82kck9qQnQ1scev/sie7jkrsRlWZDF/5uT8SUJqudjj95Ne9hr
AkzMnYQNBDnblrAL6ac/gTSu7/erT2W3MDDGU9U2LbKAfYbSi5621uXJitRDDmdXUl14wltx7HSN
7qbBYExAQ7ShLLzB4yeo59rzNrTV+2PtRH4eLQVgqtgjUlnYHpZzrwSUu4FX578ffm3sX7XTbg4J
fMh+pDay4KBBvyJVzZ5iUGK/LuCV/+Fk83d/Yjfo+GUSVWQY5WlaKATiYh4hKkmtxmH7pXaoaPvD
pvo3P/k+NYd4QmUsbyv4i2YpzyZcAqTDvPYE53RMoLs7eu20D9FVAmcnJXx9Be+Ih6Ab/4iB6OCa
iuw6tAfgCA4COlkEuI6Ddfs80+APA/Rvfol9iC6iyHJuqMHNZTVG8yWB4/vcxwnu/XllW/9QuoCR
61//x+18iGfzuo48YDoAEjQNYOzJCKfff3+wv1nRkl3HntYELrgVwqooCmHo5H0MPUZwcLOyD9LZ
GkeR1ASiqFnMzoNdVR4n9bF9HNl1ZJ8PQdtGbZkHtr71S5qynh9s8103XqnfQuODR28bO5XJeFY1
ObY/3GfoVoDQ6imRZS5rcheF3t0It/Sh33KfoUOs8AqshZ54aNx420zTXEB2+Hrs4bsjNoinhV1h
L85lUE0neDdYuiYtOx97+q6X+onUZeh7dRHV03CH1OvHsVqPwWEB5P25B1U8qjxLTF3AsNYCDj13
N/7YHouigiP889O9dcF9itJ1Ab0YxJEihhhQT6dj7bLrnkvjQ7JO+ySfFauXMyHu/aDBzT7Y7LuZ
VvQJJC6sS/IOsm/Z9kWj+2OT+D5Kt4plqVSFhVQ7Q/LWmc7Ptjb8w8j7m1Frn6SzSOdvqPBDJ5rg
hEJqLIPo7OCQuI/SbYD0TBaWSlQtqTXrqqEfr/Kz5Fggje2zdIlaUXMhwwSFVv0GN2tb6rt+kfWx
Oki2T9MZ3pVdNNIEEPsNd7YvSAH8YYD5f3rzF8ubfZaO8S0AnKoSRbB61N75tYIwDinJNYDJCNcH
sBJsFHIdq8ITx+may8YZ2i4QMgcOU6tJfHibhqAiX1UUwtVTxrSODp3A02TXD9tkpjCjhNOpjhZ9
DssZTGFPHrtXo1fY9z9nYQpB1dbKeTpRpwRSFvMbSiqXP7Trbz7nfYBw8cYAyJD5utPTc3WpqR+b
k5jg8ssPDSP7BGFX17DgBSLKFy04xta1MbAbhTygx7ZN+wihnqXZbDmYk+nFcFIxc/mQsGOH5PsE
IVabUPZSZU7BFVnmwhFF5iw6FA1n+wDhEFkGhj8ebg2w0+3ExrRvybF4IvN3CwkmDAr5TWdOpAmG
jMqgSXG+9+3Yr7rbCcBcFfs+LWdYEoSC49lD7RmcRofmBrrPD1aIyfrMo/OpRygo7aWuHtuIzh+O
vDtQ+T/3J+aGgcKOOsPijQsbJrfqVK/hoYahe1xZrV3Q4w55PgGvCR+tWuQ3Dq3uoRUc3WcHN8ga
xtnAL9t1vM0A3QbMhpXHgC10D/sybgQyK1qn0xoFWyp9qbNIHlurUHgJfhrFQmm4Bw3SdNoUcC3Q
z/zwtThWS0j3ETz4EtVYthQSYlTP5IkTIsOgduzyHoTZn199QxlEWVssrKKBfJsUfVUCwp5DH+M+
+iUUzh57WGROta9hO4fJ+VSWiNH999OvE9C/J026T3+1gRyJ7Cm8MWUb2mcBkaQ6r5y0+sz0gFnw
v//MrycRuk+CQQ5VsqDBPyIksZdbElZZt0B9e+zpuzX0IMponjmeXlVdnceIgWVJv/517OG7qVs2
6FPIM+rTsEDaV6uxySdVHpo9wGv8+cNJBubPKgz1yUoD9aCICeR1yXZo+oBb4uenr4rCOa6dPs1i
a+Fmku+3oAkP/qS77gpzDtt6nPWchlhEmWqXJkMk9Vjsn+6DYF20RnMUl8PJU56GPBK6ITqsx8hN
dB8DKxlrddDw4VTPo8i2ULVZDHL9oQUN3WfATLDiyFlX8blpuu1t84flQ+N3f0LJ/6Yr7VNgJXUu
MAgrn0IdoB7lOmsPJPjTGeHvnr7b67IgwHH1miRn5uHo3Hrf+7Z7O9SRol0vlQEJSvgzojM4X2Wb
2g3pxFlAMn/s8bt+GrQ97eFfT87hoDoEcJuFi3setF18rK/ucV/DFEO+2g/JOZmCtEnIbesfXM7s
w18AcY2wreHRimH6u+YhumOBRLpPfsHPUJciGpPzdkUfSRewjInYHRt5o90SEm5IAft6z3JQuG7g
63v2+TGaIN2TvvwQoSKqFMs54g9N592zrn459Kn8K/IFjJDQtGM5HO8qKNjQou5aOGXeH3v+bv3Y
DcHYtAZCWtYHCxDqbGK311K9P/EEr53xF5P2Ps8Ft9nAYlfysxq86WYurVWPcI9dre5qjMpLpeAB
e5i38s+ba7iJfvNHd903WknZ2WZssfdbXAfPfFu3ZIAPFL2uPYtygTUO6mXoatKOjpjbl2aFlf3S
twMX6oyNdQO3JtzBdr2IcvXKr5Q6xO46H5FWCdv9ujmXYpEzjPeSB/HwYKfSBfyyeCwa4bLc2sqr
U58mNYUMfY4GLIR6jp8uDROINL8OWigTpExGtbrQTQL3nK/Y0EdVvo7W6UyutFlegZBzFlZiCcUP
MN9rDSVpGiTG4yxNVqDh5U0wSA70PWzdmJ1T1BW0Bi84RX33fiAKu4EmauIfalD4z9qMzOYccV+a
GrSQzKx1pIbp1yywLkmfTt3XHoe2kUkXHfiBS8OYV+JzVzOZfFeVgegHhZxbD+s9aF/N+uka0rsZ
NgV7XgdoFFSlrp4CmUconCxPG65syMkj5TLBk4kvLcksd2uocmK30L8LYsvhs4XOXqEubOzXG1gC
uizig+UPjW/qOPdr6qCnjPiIVVis4jxWAOCmy1jxsUN+s+kFDKgJNs1RhhMSyKXxZmOnI5hveYS6
EVsXJYuwbMRYwpW5xa/Vw/SsY6zs0iSATzs3qiNfxlnx3EHWG3039bbS86D7UD5uGoLEDwKmu+iR
ziWFjb0UsanydkONCjsn0MKCiLDxyLQPqNCI8XsNdT3g5Sp/Sypz9kE1xmpM+f0mb1ZOF/dtjFXd
V1lvcRh8gRMwTt6CJVqmNWs7BpNYFXtXDGQLp6vzUMWyIbQFgk5krDmt+C37/kJCHKSRC5ddLFLJ
oQXmUnRZzxenNI4kVm+CWr2H6O/ONxPErhpj1CPvK9O8LQupOpg9TU+gT6bhtGR9JRgBJVasbY59
jYg/xzPt+rtk2XAIJELfLDp1w4zD/DSJw4hgBTXPEJ5msMDR5iWQseZnAFbkctcRF+BU25/BVttw
zTzbCrVb/jrxGUlODsia35pvBJa/9axtxIbXKFRBnItyCptv2PvELTqNYr2F3zXsp0dp/Iq/IZ41
qnOzRigTggSzD2+30CPyPhBObn/VXdsbljPt9exxRKcVp24QK7kMKmjGj8JTsU8wvMmKh2mkWDI8
+vMsg28MLst4TcsqUVXhnLXhLdTCrP/UOL6GGZj3/gD/qaNQ5I59yNvv5ewqCXXhKONvIeXj8BHV
5ZvIcLuEuQt1Hv36gFTfFOP/3Hvse99ou10UGdb1TW5+EGSDQE/63jB85jeVJNvjnEDJ7kO32jzF
2kT85Mf1IN6NUizbs0OBB/FwEw1uQJxfScT8Mrm5635I3NyIu4aPdC36vmnLYiRJoO/MmEQEwnnK
yOeYE5b8FThZPqKE3LvFNdL2HaUtKoXdtMorAIK8fKm32N3CIWG3G8CD6Kc2qVmSDy0qHV+iVbTd
Y1CVdXBxfW3WkzeKZrlJVu3zIuKL9D/6vJTlOzEmFUy76+yBidj4yYQiGsUne2u3KdQPk7/N/oUO
fGjfQ9xR9k8GiHRx9oXso3xeGoux04WxFmfkpwP9MCaWf2/BBOiyEudu7kksvsZQIvrFnSADn3WV
+7itsneyAeD4XFZmQHmNF9nqTcRTwi5qGAaezqWn+Tch4OLMqm6ScwOHdVD6cA8xaKzhx51gR3bE
9/J56kiQdu3mhs90TvAGeehXAXCGC96i9qpJp83iTd2puyJ5UgDtNvk4OhSmncJBuy/EXx2HXq3q
wOWECoI/YLlU/V2iC0cZXMJEZRwi4P7jOtIwBOBIKSDPUiq3Db7WGVWybyv8dLqEmHOOFoz32+D6
Pm1mTNMOLlRpp+8ygEv6nRVbcgcPh8asIIGsSd61eNT11xxmo08AxOO689Q5osIUBaBdWLRJkMiT
tRVt17QK5ni7c8tU4ehigV4qufHLFQtFlLMJcZmgWvPSTde198pDqUkuGDdePvk2SHK4nLfmg/Y3
2tzYeXNJYVTvlfnoSLneUxi8nv1gaupXHCWTVaZ1287JGej4ar5NJLYxjysOl+IzkzUmvbkswxFh
byaWe6jpG5n1mw7mjA068lC8oCdIglFCt03Bu9mXChUZHZvn53rxI3LT4964eeyBu6vH1K4MFh3A
xdMRbvngEtBkmp/CafS6r6Re4vaet3TCh9YJ1Yq/aBtv+BwUuG3Tqa/i2p7xL1uaU6gkm95zaUV5
O1V1Qy+opOXtg9EE4q0TxqSW5/Al0fLvDbxkgM0n0YQ3U19XFQLOKMPChxIDpnQrIFYfboZGUQSH
CYLE/mkaoD5M7bx25LXzkvjWqjb5EBOJU1Ng0sPyjQWi9X4gav96Db3eAKVC1vO86ugV8c/lRz+N
vssDDxNgZptO/hhQXPNBoQwjvOEYnoPUJqNcbwLXfZSaNTlwyPU77GrASNp8D0LCVm8qypKF4NNX
PoQNj3ZYLOTLWKw9S4Jrw3M1eyR3TZ0TUD1feNRZ99BuZGV5XTdT+KqSMfbOUCYPmVh6ksIm4eMz
UK7NfBNu0xfdEGzL4gYglWzGXvChmVH3+SwYaIo5Yk7lncN/eNiqtsprrJ1wtkAkXfKG6fWT1Lqa
M4XStvUeSED6VWi9pKzhD0JJ/2KnyaMF6mwHehmRwLpJopi9boECDEYk6PVvfoC+mCbEs/geWpiO
CeZ9P2nqLseoM42Pm2fik42TLjN+eT80nnoPZq99igyG+DxsFc3rsf+++WJMV1XWX+BWae6ZW0E7
dxPuFW4k1yvDimNe+jX3dUjnj2NQoXwUC60tBL5wBnEQrD6J7yDtncfeCFwxJK/dEHTfY0sx3nuo
3bsbmgmR9Qah4eouofNifyBfM9dpglvWLfc9YsO7OJq35a+oU+5c2RnR5VQA0P8UjzOHA33xxPAi
WgyGX2ivylRP3kBFpuRqQFQpK9b2qdTRUN1uJJh1jszRbAo3cfXgFBaDP7o5eqbzpoK8a4JKoakE
SurbxBvLZzIM5XJGVrfr3iGzNjevgCfwe+HXpS3UuK7rYwR6w5DrBRfzFwZUjk2VIY6kdBlH8cl0
uvK/1ILap4aS8XnQehOpA4J9sjjJ3xb+vQ/qMXidIWT0PlFchXkfGcdICmzTPMOBjH8AD9csqrUl
WTXAQHsr6k1n42giHBpzY8os2kJ7jmfTNAU2J9vw4JCJeU4w2UY6tU4halWFjyRRXbZGMCbqErE8
jN8m9RpTIqcqTEb0Fp0WntSXVdVZ6brPCkaxNFpqd3HI0TV99xFpvDVbac8yIpjkgJs46BI0dNKY
vlDQBcG4D0ibWfOqZQNW9tMAFaBNgvu6m701F1r4N6FDUHMtcSnKOj6fAtT9Zm2rx7SmIcARmnfv
ser9wmX4ZIL5jOEQXZTBMZ0KRRasP/mnqk4eLE2yfgzQM4Kr0lu2tsu2psEVjOez10C58QLHmNRp
0LS0kGxIMoMS1+fJb+Nbr4k6nflV/4h9xmwL0kKga/Gb+Wp8HMQoUL4eAAV7HpKm7R+oGhw0ygsI
C3cJr2je9OO8nMOgZvYp6HwNoDMu7pM3FndOnG0L9dLzSAT9FE/QBuUTK3G2FNfezB/Xbiijs68b
R55woUm7d9PMt6eQtW1QDG3fe0s6XY8vOoYRFxUXyEDGhQ0G7E22rkruSgyZw5LFjFXPK5JVXgbj
ubLvps2NKLhHXTVxGTCZpcyiJKiHJznhDBONV7Xjia6o227PKIEMTnFJuy7XfkmGLKhFGzwwM1xN
wXy6Lq5jpMlFlSWxDUmuzOgHBg9BzXin5ujUxC3QXOmmUBr7NqCCkn6oJt7f685gWZ+JqvGyoAF6
EJ9uvNg0chyDBDFga9xU3A1YVEaLj71gNeMmF5wA7eBYosybLzVexn8xPTpmRkI+5nIVpivkgvnk
c+hrZ88E/vMADhwNuF7Aahrna9SK7wk85elEg+1sYrN86rpSEGx5wrKZHg3SehjxNJb09S2tB4e7
/3J9itereHfTG72b4lj6pxjmpAXLNyx1c70xGn5wrfWqi+RdOL/B2h7Yd502QYYLrpF8WdvS2Sxc
ai8fpHifLMakdvD+XiWquHrc+qZ6acSNmAeAXRjq+rHYo9m2zcmQRtiQj4j9ytdZ++SGSOKKpTfJ
yamI3klcqX1ssaDKlrX5VgFk/RTgSOtZBIRX0BTMr6Gzt32PmeE2dtX6VzA0wYexC2NxQ2qBHPrW
TFvyMHpEP/sO/GHg78MHkEMNLPIrKCrG3wosW8YPFY6c9LP1BtQ8zEuUGQ+Ri9ILP8RxN6VrHz/g
Lg+MATh3qU4nv7rDEGcvq47Je4zu1UmShstUqWVG9gayExI6L6scDBC5RNdB+xiHMaOsb2oTVSd8
GBCG8Wq93Xj8VxxX8wsjjN1yX+KDo63Oap+/tKFW74OtXZ5iPjQvlT9MCFKZVsoxXfw6cVNaYf+2
nlf4ENcbbkn1gQewtM/NGid50408U5vZlnOnm/B2RSCXvXdeHL1WraMQDZC5i7ybUkXWtWmJvhID
/LAK/696Ltf5fRhyvqa2VkuMcHJg3ZrXV8LFpV2XDSCgWAfrAFf0OE74ypaa9k1ecRt4tzZg4Aug
UNr5t1oEZfI4ecs0ny3IFf6HjbeEZ8nK7Hxn2BBWX7AXUyOkGcQjN0M91Oy+WWwLfXHVWQytwaDj
D9S0g/80UkOHE8AjawfIxsTFpfds0n720DMhYQvXOqxzf2rEnJqwxuYqmU1UZ7rFqtulJfUobdM1
XE39fYlDOt7bpbfbN2jWHBb4Yo5DzN4tOnI4pA1K4JoTuFAlKXTc1s3LEuA069R3jKrzHGHgy7FH
r6LLeA2UnsZIEfqEMrEmvEMinAZ5kCxhcglQCLj8qDGLqiczzfHgZ2tSWXE7jRP1eQpEToz133a1
3b/gsCciONdBCHm7m6Z2wkgkughrqEGh679KHL+4zzKUyYXB9I4jH+Wiz8FEpfdF4d4dBz9LH0Lr
iWsVkeHrwMo/LY2VMMBos+RWVTr+yEGpmD/ETvjxp2kaE9LkYTR6WKyUXejZV+625n/UfdmSpUa2
5a+06fmidnB8artVD3Dmc2Ke4wXLzIhgBgd3cODre51UVbUy6irVV9YvbZLJLBUZZwDcfe+11zCl
kRcEgqLKSfo6VgmtgkuzyGn+CGFgUb31OfSZa1kgG/N2rrJJwUKDtf01UstZOa2bEX7FW5V7QXvN
sT6xBxPanwsExCMJwN9ZA6H+rqAkcztaZiWpV+HST30bVZzzFMEGLTpqtC9FF88oUlFYo+6x7qaw
KBHdVpVp2T9WxmvHTVt4Vu2NUQPDHVuU61ddUE3ja6kY1HU8K5V5ta7sxo1OSe3Fqhz8Y96lCY87
8CPsaS6KMMUtETnkrQZzo7jXY4cOq+MwSHocFlj4QPLfJac2DbqtSyZ529FgtiaybFn01VxVVdQj
gDaCzDEdKBLzZNFuZidRvqTI7B32CzWAHDI1iMhYh/o5soN15kb4TmQfI8J65HopCclW3MHOq41S
g9SUXYLG8ZTDbA5PHfVrekgKhAAfdTq3TwrbZ7+i1oZ+FZEcTJhHUy2Fh5ZrJt52WvBcb0XAfHGw
OG+KL87RfIum1lcvLcp7kcVMpSS/RbxahjKo8GueDxEeMkZjiX16Bj7hQQq6iMzPL2XhyBL3WPAP
pc/qdZXkvMFSS4ZDS4DJXQCBo+xaNhMvD27s1Vdgi89IfbEBR0gQh6ihRepRcNsEafIKhxZ0GWmN
bTIv+vLCWqKgeoBljttXQmaxXmZE6EDRQna56Gl10Vlqqos+Gcxx0LotviDy3L57XWnMaho83MZw
Eo/lcG4pylI2t9UUukeOisau0qVD4wmmnp2iyol6A/m94lGhXYriBMP3EfGNcsIEAjuhAWJpi0sH
gQ0yReUZu4SVQf9YukVEAYOmYo/hkDIn2snOu6YCtFTQ3ESTjvuRp6mtcFOGmRh4FCRFvp4IlcW5
bOD5Tdrliq99CHe6jwmdzxh7GbDYV7iPIHK5Z9KE6wZ9X4BHMw/u+hzN9XZuChMFBTZQHY1Dj1zG
NBiyb5LVJnikbsjGeK6Nj9ZdhNU4RcUoK+8lz/3kqzwXQzs5wTfhYeb63ZaVDfcEKIefxl0dlsNO
IeVGxor39XvLsGQjiRCaGEE3JFxXKpTf4eySLrgIs1zDsTUJ0ZdLQjdTIJx41qmnoKjPVQKs21M1
vL6MhunGChVQ7Q6Mt+23qppgZAgsLiuaR3gPqgJFd+borrDh/AYwKF2OfRUk73VWLYoh0X4eg1Od
ubB78BLC2buPEBj2BrAkA9ZXpOyk2r7E3kGyOQ5Sv3PXvUqEhngO09Iw5Sm5zj3OMZ9BUUOOzMEi
d6PGngeryS6Erkc+og+p6mG6g8u3Hz7pXo03nheaJ5kI/wGUILts2wT6p53XAuqZqnoa1zyUsKhe
ilE/4ZqXx8YvQdTkBSLl4doTtvs2U6qLmUbPFmkvKZ+hPZ+ijkG3pnXo+LGftHctuJsuuFoyuWkT
mImsKzZP2w5BKVtfV2QfIvgbe15DzWOGBma+0mkLPfw4wsEqYh261Ts3wLT4FZY4QBrM7MLsGcMO
OA3xccZ1CFxRYFtQ1KctahA0Q0BD7UM2cVSkFOAYiqucFMyD4TFiJVY9hB1szWQKJNANQYvkHdEv
+TbQRD8iUKAobwPZwtZgQqbIbY4PEtH8XJrH2LZn66IeaC+9QiEowphqfJyHtk1cuym6pMjiIBTa
fT2zt/dtU9X1cRJiqfAepWdu0Sq76oqmwh1RWeZ0I6X22h1IwcLdYLjSrLFNNM2mZ6wwqyAbKx8E
UEQdr1tHsInA8eWAewGALdGs1cCOHGj44zzbW+NlxRg3bPCrg+eN9bKFod7y5jEEgUUVwk6P6dJO
WD6JxOUoHVmXKhzQYVp3oK2PEjbLm+OsM3YLPn4HzQscS4HcwXqEhiJ59hYIJDYSmq/5AcjpNOIg
MsR/s7JPA4FUp3IB1mWqQTf7BjO3/DVbOlPHuFOwcJBlhjYAO2Y11nHWJRqO/LDjUhcw/ZNAahzX
w35qw05uBYLmEfabjFzmkcdg5Llxip4XoVeMaYrOvUPfhs2nXBWLUW5vITNSUdBOtsIyxgT3fcDZ
mex1b0m6GuERT8AtroPQf2xDVGir0ak+i0U4cqjXLJ/Lx5zDeGlFgGfkzxXQuTCqmyHLHsi0YPdI
PY/7By78msW1Cqpg1QLfHeO2GQHWRhmfp3RVQFdJrkLd9fIGETf5GM3wNdfrYU4YWuFgCVHBKO3b
b16PnJCIQbykbpDONIptNmsnvnF8KfdkUKDyEzN+JeKwEmVwXaWOwAZco83IclPXtzMsKcpNUBhS
zxGDfcQISD5rljQKKwvDGDzUE4rCdhZJh/R2ZZKLrCX5svdDMjUXSmPyEHFNHRIAdNa/E0bz7DJY
kgZ0tYSUzQ5RDF5wDcmo4FhTPV0cJprNrDdIJHX9BgRIXceYE7Lha+Nq4yHyc7Fy71XABp9JVZ/v
EEdLtfJ7pQs09Wj06ssBiHgZQzFkzRDBXcgPjoQHDO0ss16zy8EcGr+6YFZmlXCe2K3Dfu1WPdO6
XFeUym4VIGPJllHX13O2QYdRoVUOYSgIOnF1DrxD/l+7KrJcTYfEEiFjKJ9SxVbwFiFYUHlSg6GB
4X6bHvg40QU1i9Xhbm7CFvyTDrVdhMmCX0bQyi7FqsNjUG3CafC7d5GzsvLQO/ihpUhwhi3Phy7r
CgrFEjNfi8O0Rp0Yxl7Vqy0PdDBP+9KXVD4OPbKJTg4Aw6TxxfOwCFGDTLS9YiKvpicP30Z5UQYU
pB02Z392NL6jXMbwcjj37MfEa8sJxRcY4EtUzEmaXs21b9Cs9APlWOBhCQBWxJgeMmcjYmrVfMtn
9POgfM6iJu+9Hb0OxYBgaJhaCwH5iPyltj8Y1Q7yimHzSFEqymJ5KzPM116LwrXlJkzDxgNA1Gna
IF2c9/lNiHIfazlQImQbjdKoe890yJyMrK/gP+5EOMh7H2BzjkAjTLTsVwWD4vJRe0PrXbcpRpg3
oyo6Aw+OWVZBLMYOTt0Qguq+2mc1Jrl4SEJNN71A48PXSAYduiM0rSlz8YKpaFvDd7AXuVgRxq08
Oo3Z6AnVteQnlEWhuWuqouwPIqWu3XtDldavlBDgVvxcs22GtvaGqBKB804tgd/ajTeYIcceh6TN
WKEybtbzUMv+MjcW0q2aETHeLxWYrrEkBmPLnFYNTJP61LPfJDc6uacATeOgQWJHMS4Hb0EgPUpW
OHVWe6dTOqOeQmh77IvJDru5bRTd9ZgbuW1V8oU8+pll7JCXmG3HmtSgtKwhpSY9QI8GoysMtMzE
vE3XB8EQU14XXoQ1d8G1OWO0DYPhy4b4EAt0m9zzMcHkDYaWc1QhNFBGczdptuozwcKdnQa17HQ4
eaSBSWHgBhWVNEX6H1AJvzgxvzfmkRnkBLyLNBzqEwrbXGwqlg3qzjkMG1dVCtwbeltQLK/zpqn4
MUmrprxzEhfmOAeyNAcyICQKCB40F9vSzAu7LgZRp4ep6FX5gEYP8CqgdFTLHaA2WWMGE8J1MCfx
gMWsvRhuNnzWK0y2hVSbEgTXsym3eIEnJzF+rBQsXet1jeGmGfYowHpcWCsK3V/jnG4wRQG9DMNh
1G5qvqO47JALKpaVywPmgUB8R6zkjVoWcUITzb1j4CWA1iNO4McYnAfTMtiSgnO9LQvRsdNStRCd
+8Hc2heXDwqYdjnADGdjUz3NWeQ7DCcwtQ9AIySdkSNsH/vavNZjKIPrFkYiJticzYt9YBoTGyXA
hUWNRaxq58rVXPfnjERr+CXrk7DZw5B0cbuu0QNdpeOsm1Ng4LwUTUlJ/H24aEZPnvF9b4N5u81X
lUwVGk7dGY3aiNY5/TKJYgiPyZIW0y0mLaHFCClL+uWNNoymX3XZkmpPKGS7e5K7ubuAVUJv7yvY
q6OqaVg4nfzQM/PH3LFCn/JxqMV6GZgEKKhQiEQYXg+YE+bGgLja2fBiILVxsZ0Rgrvv8RGK1bAE
QRlD58HB/wjDM996lBsFqvtlNSLl+oG4MjUXvV385iAQ4bic77NIoNtRdh7j3Iiw+Ao00QMky6Sn
DWBzdDKxafCc12vU1CWORmyh5wbf9dpdKa8faTx7nt9jmciuh/RHs/O1Uxr4FWqInqkrI8bKg8dC
LvK34XwyvokBADSsOli671o1+xiooJy6o30f2AG1NkZafTRUIcxJHEXmmcCMgKxowDwwxWjaJZdB
JqzbYP+EredYNfn4botJT6d2ETV76qeBh+haumI4zADppycpaj1ene1I6c7UQxLV8G3qIpSh6bRq
KIZWOGwxi7+W86zEwWQQzVxi3FfDTgRF8QJMqysBVzFksIbMfhkGr5MRNHKBA86vSyB5fZfdgvHj
oxQakS9+W4CkiwMRcTGwIVWjTNSj0ERBedAQjGYB/SZ919ooh3Q1jFoJSgyNQePoh3cgSClwYiA1
xH4BTLHkXsQt6tYiYthe7RKlVQvhUoS8BTScmwlKZ+RcNVPIsxeYBWBaEw0OeUzdth4ty4vYdbDC
RwFK+MT8VU8zsJJW/2F6C6dpj8kt5q3UxgTkNgCb0nZJDM9v+kDx295xdFmq9yr7jjCj754wjWhg
gXrVBqZfAyZYBpDuvcTb/0cyTGSaTVjt4Dk/TSvCi3aIljljVxi7NsOKJ/Ax+GtkvM8mWXwOm7pt
TLUm6rkI7/m4+Wt0tjNX9Pci34qOE4ruak3zWwm0Imd/TQ1GPztjtTAeVUkuxAbnIwF6pEZyYbBN
m93PP/kfeK9R/omkDAwssCBXYibiYfl1WZvbY+28FnaeBkQzINRjgYQLobrgejLAbNFZFR6JMSjB
ffr5h/gj4twnjmQ6AfbOvV5sWgTzVqscIqcL8GC7GIUahugYgMs/Mc34I17gJxlC3xk8apTyDbwt
OnFn5zYZVjpFgQsjBHM22oW5ToVydJqbP7nCf8AX/my0VYDqiGMkYBsuES9j4aC07gAy/8kX+qNX
/0Sk1AinNCJTDCSo+mvZ+49O6uRPlA9/9NqfmM6oz7tapwnbYPKMTqGf9/lQ0b/44p/Iktb3bdMO
nG0APq/BQcbEwwfk+PMH6o8++SemczJhrMhUzjcp8QwO8zGJ/AzH/l979fO7/m61B6WmILrhugRL
DZtpqxCYurR3P3/xP3hCP7ts8R6zUz0VeFwyoYI3AzDJxYTPASKyZFDrSA8QFuwgemP6LyVNUvZp
C8hk6gQcsdgGyb7sKex6c1n4wFV//oW+K6n/Cy7uZ2MmUcwUeFAabmqpMkDPqpkdpir45332LX8M
UXLj/zSh3/Btrov7YsnvfTxpbJeYfMjQpKTZGkGjb9NIMx1EVqAW++3T/c9v0/9K39vr3z6H+ft/
4s/fWo0uP83spz/+/b6t8e9/nn/nX3/nx9/4+/a9vfxSv5vPf+mH38Hr/uN9V1/slx/+sEZBbueb
4b2fb9/NUNnvr49PeP6b/7c//B/v31/lftbvf/vly1sN5gi6nT7/Zn/5x4/2b3/7BfIw3Mh/hSOf
3+AfPz1/g7/9EuXZl/7ff+H9i7F/+0XKXwHcMHRPAQl8uDvgGXfv339Cf0Uengg4gBdGmX92yGsQ
3pv97ZdA/MoCIrjyfRXwgJ81vKYdvv8o/BW/AVAVzRyjwodq+p/f/Id783/u1e9TnGEM9gPFWoQB
kZL6vh8iF1XhJfFNf78EOzibmEbVdKsTP7wv0nBZDXPWHADpmdVYTMN2hNFRVtZTNAVSvuSirk9B
yIYO45KhC7eN8sHoacPyqciy/BKZ9vzCVw2o4TiMMhUZYMOYQ/ScPwWLQ+Hr0EudkjJrQZKwXQMX
1JlvUzAXnxTl7cfSCvuUAWiDAyQN7BUX3nRNZAr40xAvDju07I7I4DCBSHI7GNcdQ9O0B8RRI8lI
NXaPRkJMKz/w6JPHlyA8amuKY1EpaqJchs19mScL2Zd56B1JgTeKWViAdZHxkYN5WycPU1ugfGMe
O3KYZL3ilAFttvAAFsedmPNHzIzIQ8JmpzaoifHatJ1ITKsCe2QKhtWbShMMkcBFbw8Y7acbhvL3
cgkKoG4FuvATqQsgqyCcGHjJixo8A077G0+DwxfVQz7fgL5ZbMZaNBeNDMsxIiVisVFzsnq4Qo0+
fIAS791ilJdgBpIn7ovGFAcsXS8Zy8h4c3eZTSUDh46Ab71JYE/FMUQcyxuzzPOeg7+4GWZAYlHT
AQEvXQm+9CDaE8jEbF/4fgpPqRCAZC0KtQsG1sMIlX5kthIdvhYCwEGxDPtd4ZXdELWKDDKeLMHd
RQMdlBG6+fwVfLpyj0JRrMEr0xsjfHHHWiI2yIns32Zb5TmuRjJsB6+g33Tpuxffjvzg6SI9ssy0
N1zOwYMLm/4Ck8iCxdlMhAfRDSm8NcJCmzoqwyI1sSg4OwwpwP2qnNQV+OMa0Zxlk8ZwmaoPM/zV
IekoML/AZOpmYVocaeG5tc8H9loDgr6HW5e9CwncHnfwByQ3ObhlsAUMGEjHBZvUJeEqu9KcgIIm
SmkvWC/piXUi2BPfC8A/Rqj4fjBLUEeNwyUFMlHWO99TxU2eDo5GpRqnU+LMXU2W5FX1TXnwyjB8
EX3Nj8KbK3AE+wCXqfXVZT/gQkVMNNKA+dmxNm7QD6IrVIUHXktrxLLxQdhoImkWujejgTMX5SaA
eHjsb72WL8CxizVx4HMw3b1qXSdAHNt61QEle+zCfop71R4Ihm3ILEnaFZvDK1uG0SQYtEHKZvB6
CJ+SLF+DB2Y2bSt6RJ2K7ASjBfcG/POb7/XdZc37u67XHyo3SZxQgJgK3bLWJrZL6K7qLl0JpkNw
aM68pIBv2hxCmKuE1XjqOUJx+MaheW6AQxoZ5eE0R7Y1y3aCVMOCLTiwQw/tgCPUYUOoM7pSi61P
UoR8jWU4PjQAKS48Agosph7oWkOAIDeWI7wbAObZ0xR0ycxFqTfJV1B6yiaymImNeFzT7FvZYE9c
YTcB16MFu1kd5DJl2ZYOuDiRYJUH0oV0+JD4JUaiFpFGCVaCG7yTA1MMPEIpyrecNgOAR0xrIQhl
eCzstAWSHm7JGJJ1mHagsfZiQWIRIds6DUHOS5ckeRC4tPFgAZM4Dbgb4Ebdr8oMmg5gM2m3bgo7
bDDQXi7QSZI7WfTLqwQlikYBaHRHjF3bPbrc8joJZLLB3Db/0LlLLKBdFlTRYglSLWbM8HPquSla
AihNGviuv+iwIrsOzLcU2rgy381JDuQUPFwwaY0ILnpodTAYUfkO2V/9cxj0DI/DjGF8gp631q1d
wy5lvCOV3z97kKwcBFiEwK4LIbZm6CzWQ2quC2hARrQ54fAVuVBo6gK1g2360S/L+QQecPXcB6k5
pinSW5bSuxv0WO6LRpa3QMzSKw7C+VXglfVWNg297pqTzu2+Hsf5mtgctFZBxwel6LhBK96AMD+J
br+U2rskpiH6SPE0XTkgrqciww4flwD/DphOvSRK2RcBl77HLh/aC1zm8qYul/DVsgYxIl1PJh13
gG6uUjD9TzD8AaMigPHbqhgsXcOoWMWGyQBM1qVZVi4Z8nWohmM1L2GcLXC3jzxY9fbeiPmOQkDY
3eLgVVMt9XKXLBYVaAJe1pNUE13PGp1ZnYX0ICqwzYG9LDo2vCjeoB4Y9j7sGECew5DorgIbYTOc
31vkOb22aDg3Kfihu8DX/JvvsnnLkWCn17IO5pg2VQMA2J8wJQ8pNG3CpGeuYlptR4fjXvcdpgs+
B126dLeZMqCcWQ/WnBL0sb1a5hS6G+Rt5klSPXnILniwwPhOCyXY333RBQcdJt0QNxn19ymhb2Ym
5Qqao/IrRMywZVvaQj+AOQUxSIjSA6TdrhenScviIpBmluBfBRjt1F/ALMjxGJfFJXjD6RXVBlPq
ZElSIF5Ola9ADgGjlBmh3npOm/ZGIMzB7l2XL/dtgOItmloIg4jp+SOApPEBJnNvEMe0yzZPDObo
aUWvhDLpO8CvdNPwzDaYVk1gdpgwDGE0raY1SOXBY9ELdy+w1XxJJtg6xw1adgiRSgKoVRRMP4i5
qN4rWpUxfHqrVZ3lGAQDz3rJiiDgu77o6JXtNIApbKJTCsxMtnCGAY45Pqsk/QrcfYelJY9grxXr
GiqqCJy8XQPiLFlwn+eidYcZIBurkB9FgKIhY84t+6bQcwDOEBbJDv737Ij8dn43NrB18cyAbPhG
2b3MChQdbCnNV5DVLyEEw41Cu7MPgDNtuwKHKaZKXrECBapaNSxwN2mCZxrsBhytNVUQziXuAbIB
CLgXmFRCY9FfVyKcHkrQJ1YQKbGorBpkHZgqXIuWefdyAtk2nEFOJIG8cQa6gN6lqPdoXjz5M/Q7
IygO635s9BvYa+XWwcxlnaLc2oE7pJ6B4c5Xic/bt9EE08aB/InQPvBL7nqQkHdweUNhEpgdmCPZ
KWuHeQNCf/cKr4zlOPkt/8C4G3qchF3poM+PtYfjvgk6/+vczHBEygsZJPE0GppF8+jlxwpYOrR3
BhT8JCHutMxFmq8mGEZezrzHRuKm9ms99sHaeQbzZAyIt+Ad59ccuq0NNDRqI6xfbpZC6IshUd4W
Br917Cchhwvy9FbzxVxDPXaJGDC780H1W80+pITSwkpezLw8dbYB+Du4E4rOfFWoJryqxqDaJRrb
eks82MPBkxGJTafZomMDo0L76kqkqdnUrT0rSNJc3LbQxdC408TfZJ13xJ4IIklQFdl93WFfjVpE
v+UxcUOBMkJ1y1GAcLVBWoV3K8lMyQsIMVIcxsRMUABpiLBBuA4/UGSBLMBo7T/ikOq2k7P+u2Au
7Q4L5J4diFulehsH6fubBRTwVxOO7k5VTIDyNSwXxHgXUImzWxST8wFhM1lEiSnhoJ0rVHNgPkWy
LvIZejXfJJED4/6+Kv10BwGPQUmpkpWzxZEyzS+xI9g169L6xNNgBOUhpfkzYBp6CmoP8nzUmctl
b2HPEmmCmUmFyvquBdf4hPXKBtRe4Dz13TzelF4H9cksuLwIPd+SSPNmCTDuDckKJDe/X01+U0F7
wANYDGCU9dKUWX2iBmqvGKmA7JK2qFDA14QABMUqHLaylLdQWVjGY1ObhEeYJeVLXHZ9uqzThYC+
UyY6eyKIij72WkOiksFF5pAKlBhId963ZVVfjpjtVZAs1RfByMUNjHMRkDYJeEHFRd3Ub+BP+F9T
PUiwS0rxMmT+sJdSYbDHeV62MTjVZRYnDaBfDNIlrK4axFesvBZQ2TpZnLw3cw8KZV/283qSQgBj
OWt2OgbSnaogd4aJ2srLlB/PSKnaYtf6AsDHQnSBGXMmw2xbnccQU263cM2/Djr20fljukua1ttP
RQLj6drbE53tQpZfLi1ICiPX9aoqUntHXA/1EsR424TBQrCENWFchXAzPbcYQtQ7XIglBqukaVEb
4pMcOGs+yIxLkqfeLuATiXAj8ggt8lmApDzoBrMn1UOfAlj8Hk4Tc+TDD9VD2RGhHXSbvrBXaOeh
o3QSdrimgzTG29EcJHc0I1+9hJ5KVoBXBInHAkpjhKn2q22DY0rQmiH8DLgi5HsrUNDnqGwzu0dC
3rKunT9GyOZcVkkOUQltRgt7zgGfc4RpD1cOHgBwMQFvE0TS6Us9diszZDsQs7IV3PuvlkGU147W
8HfPyHKBtRduNU3UCkcPzETd3EPQqwJ6KBqT3iZaltsQ7Jc47SAY7cgA7W+Yg97t6YZCXG9KFKXe
PG7huJfcgHzhJzFo7DONPTXIDnlttj/xeSjyeKhwfWVfCdDOPVBYaDjuQk8kj4MfDM9IgtFFnGUV
GpbC8vw4mTPdaAnG8aYiRQ0uVKrVYxXW0xdL0+RoMK5juz7REQoa9pw6PaRrC1phEfuY800HgsyM
W67TqV5zSjGDxUwiwsFBnqDbq+7AVtEOHPmQk61XVuYghLCoQSXIjZg/6ycMz+7ojEeRWHkPfSc7
YoMBIzvXcjdV3ZdFY+LeQVeyhtwQ2lWj1ton43swg6+L6pTIS1A25Q49VmOx5HT1MkvJMZubOyh4
+mR8xcrK45xp0PzqOtvWfOKQIeGoZjlauAAMrUOxBNPOSqAEkQTBcp0HvT5CVA6AAeo295iCJvHS
QmO5zbkdwGgSRjxIFC5hlHLYk0RJQcvfcOn/17jaRf4N0uL2w34G1n7A4v4/Qt+EIjSgPwXgtqC7
9l9+wOz+9Vu/oXAi/DUUHG51HGrmAA8hXu83FI7LX33FCKpWPwhJQM/43D9RuPBX4QcMxlYikGd8
Dr/0TxSO/Or7AmYufhgEAOlgDPjfQOHwFjhN57RtzvCiCAneQSoCy0DlB0BBPs1SVJCP3FSopCw7
y1YWQDRPGba/P0GlfxwKnd9G8jAA4KgED/C9Pr2NQeFZuLThoD2W4+tIPLkB8TOFssqW4zbFlHb7
Oxj0H2jj79HF73HiP34xyUEICGG/RkBOlJ9GEwpzbpyvCV8Lf1I1KmV4eECUkYFN2QjarGpe53dy
EAWMJeTt4AgYQpjxLK/NTP0t6VRxgDSAHvxuDNaIgiwOaq7cBWb5y8mfSv0njomfgPXfrhBuObBQ
poggn21XCrSEs5sAWCEeq35z41zGQK3wXyQ1QYjhJWjUU7A9ASO2bz0Ag7dhku5xTpHyxiDM+Uix
VT80oOkdMIprP35+OYN/f04kF2fM2MdkDc/kJ6wWk0OiC6Cl6wGT8It88csJG1lLV8K47Dij/QVN
xtftsbJ0WhOPpDubAtnAZ5a7bArFUzCn9dU8ZUdkGe5J5t1MKXDDKEFFB1ipG8sXilCp7ZhARlO1
Qft1SP1yWyM04Pbn3yVU//bMS46Cg8qAUqQ1fvbcl/mCAftA2VoPVXaaAafF7uxrsEKDmB1cn0Pi
WlPC1l5r3FvDXZuA39so6H5ry3YQ+Hk3wzTZFx6O1Itg2X+qS489TyjOjWEXoofNQCPyMRbQHl01
dBj3Fkml6z4tXjTrsihP2LNiEOVZKIKa5iyhQj6cnnm9L/uKX/p1050wWl90FGQOcpIAHOxNVjeg
muPYAutRggUAlsRFr0n2JjlKv8iHrOXIeAfEBnrhNMqwGx37mrg5KgJP2VULbfLzz6/l94X7aZmh
KWUhxgFgAGM68COGDzUT+LJmZms/ofVVC3YjdBSOnGQAqin1P7zCTVfIf4CLBzRAmHkNfeU+eFf1
X0HmtBcwLh3rKOgCAX+AqloJr4Nws2mEH6Ni0tdt1prdCIxxOqa6nt/U4HxgNQnsJarJe/aRgXzS
C8jycaVzEs0pmU6yHIqNHTj5kwfnk+Xq9zWKlXk+EiREa1gKn76sJHoE24mvEQE+XqZ1AEYJLm24
19jWrz0wUjed7wcYglbLDWQq6ZFqBnIpaG9654P99gCIe35Hl0q+/fw+/Bf7qzxvsuf5DCfyMyei
SuGuUjHHgA8FLKZ9+wHgaB/aclqBS/zfcuT+fhlkCGwD+CQcy7Cl/3gZWpwPTs6WrZEVKJ4Jmvbz
Ki7+xH/qPN799GT98C6fhuKVhJrXnLnkJc3zd4LC4zQPDfQuIRJFNj+/fP/FjiAB1qnziSrhbPFp
1Py/uTuz5caRLNv+0EUa5uEVIDiIIjVQUkh6gUkhhWMeHLN//V3MzLKuyurusjLr+3D7IYeITElB
0uHu55y912ZJ5m1LhRGj2zKPllapL0Io3FtbWvqjufRsu6RI05ZlMlbfk7YtN//9H+A/2V4D27Px
mbP/2/zrX95SbaZTnjoOpGZvejHmjmZ4orx/cQqb/ziPRjHqG1wcHMdnC2f69leOFbFMhr+WuRtP
jnxse1OAllmJM5weFqaqQXa31FYEZeZrISV5hCJwp4ySprNq/E1uoYcNxpHuemozH6HvufMEBZuz
PPZmi6gU21/cZkzL9DE9oIBkNAHkT8JA7r5pdfyLwf1f14fj+861eefZRnC9V12ni383wFe2Yv7j
Si/uOHYi2qB+6K6T2Ci30f7Fp/NPb1sAz4uDjyKcuSjyu3/8UalKTAA6WhB7pStukpVOmKer6Shk
XW4txkh73urgX/xQroLXQ/XvHwEXdzVTWue6s+Lg/evHNVPjm5UxJ/FUzk8OVXdsCV/ugmSZX7F2
oVswlv4R280BL9ubF9T51ptX8yMXQBwGPT1y96H34HsYNdz7vm2vajqrIy0Ocz5ooRA0xlti9m/N
ZOwyfW5C+q99CPeRbl05MIWYl4NTTHYovV6/D1AJ4vVhGpqtKc4+RhSArFYdf3ninPwmWTZC6ret
qZVbb5nTMEhgz1ht9TB2TGPrTrQ8QI+rV0Rs+ofC9i9IKsc75X7YrfqqddXf1apy6A864rVvtPFO
63JzO+e92CQqN8IK+hF0Ai/flXjGdH5d5m8rbTiMWxnxbsHST19mGcidndoBA4XBst+WzEQQqVdP
bTvdS3838jqzXBg/kwwpqYPyPoTNUr17IFVUOGCZ3TpdUcR1FrQUfk6FgklWZ7vLi3tjcROaXTnQ
XJywnLlyNL8xTvqnikJsmxnCoE4v5iQKjAmI1ex61SbhlHqn9zjHWU8iFwrzqC3dC2Vgsxk65KFh
PY42Cm18okdEevZDkk4dnXYaJ5YeB82yb/Af4LC38PE9YcQM18XewIYJfhF0f1vM4xPV+nfO7fIl
MxlSWwrpLq7zH1Xa3fTV0m97Rj2nhO7kS5fn1sNUYBEL17ap+F4lo2Oyf/D4dA9VoF4WQddnKjzE
zK3E0ToKjPuFv7gRfa3pTmLu3uEpdu6ZHlVftEP7u1H66BKTVPzypyHYMWHq4fv77UNf+sZr3bXl
jzmzdkw7mmGb5Yt/j8q8faAOR7O40GDF+mF2K9CmCf+LUMODlawjGDKwXx2Ojidshi1gBq04a20n
9pCltMeCi9Z5zEFb5rqpb0A8efxktz0nTFDjYl70eKRd/6Elhjw0+HHP1NLdJuXT26u8Gh7SsfyE
IrV+5tdXOOuYmKjS73VBqHoDAwTcEvj5uy5ZT4nm9btcz+dDYxTNT9C06RNuRSPETZxxAfdxEoHq
uNG8Um2GoRs2KlD0QhfhPHjdnJ6LrgHG0a5G1MCL+4XOfdlqMBluqlZWdzjOv9POeavReaJbgL8I
hQMB2w+q+4YONJp4FKoldzpGB2OfqoM/55gmpfgh2/5HC0osRxRhyM+yMYYX4RfuHsRKRXr12sRt
woSKyqe/lZVEqB5Id59LbGBS80XskF4eGbpbv9iy1k4Zf6oN3Xj+56J+ZIdd9h2sgwPuCdhSbi12
pjffJv30bTniiGeCBmQeoDSqdWuJ8izlf9BEepkWnKjTMmnbAh7vXdLjMsFa6F+scf3sfad5LOXs
3mE7aEOeQbWx8YEdysq5V61uPYxpxWdCL7DepP083tj4MXiohnSbBvMMh8KisdK0t14+ATGzXMaa
K454J1Hp82ClAEusVh11HfqZ03R9tBLVuHXsfuWA6LC+GWn+0UMFv52wPZwzlZT4ipqZaadWxRrm
pk1a5jvHzt66tOq3ws3rja2VSE905qQTbKeFgNkzzVlmOdpi/rTmHD2sDze3QzO7yQAL3ZtahaUx
obRzt1Zlv1hJhykc2YaM07TeGF5xpw36+CiS9WhUE5MdLKFF/pQURc0rbosHS1+MqFwz80tXS4nD
Nuem78808fLe9ACxqTqHKO/eSRP5I9gyte8W62IkS+TUthmCNsEs7Y27WkGGRx3/iXn1mBrOhnbo
J3A+vOP1ZO9AsuBQ1/RLU7SbPl2mU+1MyS3ewLxDfdz2r7/jXdpurpN3QXkGGAfXPxPiFXZgq+Rx
MAYRmZUFzKgQ51HBMBvM2YhwZypMKHhrQq2TY4TBsyZQva/trRvYeHnn5IZrR7NrII8cG0ub7jVw
LttMr2vGLk2L87NvHm23e0gLUjbpfWkfmS2bDyV1IoUSD1EMShW6cnZ2myXy6jskzrLHQo4kiOS5
YPHVLnXb9ANmH1kJvj6GnsvJKenM8Vy0wX7CxxHRKaccLFd/w7iyOrSWk7H1O8AzZKGfShqO26Fj
884z+SCNXzgUrTp0mQc8+YMHUNBI23tzLtdHVxT+kdnvevSUlx/prK8x3rHkR62C9RX6QssEoTQe
MQJ2O2wAnIWo63e2HLJ3hnYqam0wDVPne5hidf2Qpcglcktw3KbMn6H1bRY8Jfd0dgZ0FmNzizfe
OQ5T79wmFvb1NJn0JxPByEOZDdZB9rN/awMURDKdixNGKv6tD6Zz5+VfmJbzJ6RHepRdPdIs0Zi8
k0+/ctItQeaYzT153V3gemHcKlvu/cpz1wMS3NjS5E073jk6So3ere/mks4mdg1/iJgLJzGQJO9k
dW7zOKjM+SL4tnr1zNqJsMe+rFjLNk2qc/whDNlB4pBBOEDU2ul2AP/Idquboehc9jAbTLeHQQGj
KYobtB8XzUHewMW0DKat1zrpobO8dqvjgGDu3DUbZVcs/GSQWrtZatc+5AKQXu3rP3wbWJHP14fj
omkPNXSak8q6LxQsRgzqHS4h2o36AqDkDJJl7/X2L8w+NwI+/j3MBHezrFOxEXOaHyaL91lgXYvA
6EG89OxTL9p4EgloE5lsZVLNLQ0CiIKTxihtBsB5Nwy9eKbEdK+suMzYIiJx09DrJ3m2rSB58aRn
PFbVoJ/MYW5vLCQKp2VZ+i+C2TGcTV2aPs3YEe+B9Djf8HaCn36GbK6ArBWbKV9nJNDHgQBJI8y4
9G0TJ7eAby7W+mEGvXdbTf2qIVFp6lgGXv3Y1l59SLt8+i7Rm4xhbmntUaC13fVNawFZMTJ8zAl3
khwIgr9pHM7rifZPE1YuKDySBGyOyrGDPdYaIx8+rsiwn6EirpDqSu6ZnduiSzdVmPVm+dI4wfKK
KgV2l+yZGIRtmiZJnI9WyiyzyYMzbjMQNYU2byyKIVygoFTeRMcRBBC1fHPN0dsFjqYxKsGxxhyj
Ck5B2UH4yXUGu9xncqzZrdaBwuw0dbdgXuPKJPv2rl3T/pRP+SMD00/by3+MlT1uU4CPN1IkYj+O
6hVXDQ80c8doTQu5Hy3VxGZ11Txdjxvd9FCzBFJ11xYRTpIKwk5b+uOtaUmmosmYbj0cLDeVhpkf
HiVh9FM6bxMGODnoIfRTPVYnhjJViOcoP2pg917qRR3H5Asn66M/m0/Snz6MLj34q3h3iv41he6y
r4RWPXSYeve9XuNg1Svvtpz8YtiUTVZtGt0AQdIoFZwrvZXIn/CiVaUGascrTe5JvoNB1ZHDReuL
YgNED12i3ZrjuagzhtO96zgfYG998IOzOd53iSMeymC5JEtl7Rkn1W+Y4FUTSkRRe1pL8/eUYyFX
ldft1qVh5ta23r7WVuGHDsfeF/Y45muVkYTCdhPQIFa740n2u2iQDVPHfN5PusHUsxmMUBpA1eCM
gt0VwY1VF+2DW9BwgVuLi23qs/ZA4vL8wlyPQ8eHgQbxSjht5DaKmlVHtYstzc1+8TV1XMpKtZtu
1VwOVlemdqRUr90Us4+1EOnenccUJY1tWq2xBOx1O9mk0YeZC9GYaba3ywN9YMu1GysyMhMcRh/4
F23xKBg8mobPzACbNwp2Hc5Q1uwg+QQ83GOw04SG8CRRD2BboglkGDbuTG0Xa9A/eIbNeLXmZF+M
vrrXJn2MFy/ApL+MEkkV07WTnlokG+sLOIsSN/ed5PIRY61jtgj/ezcmfrbJLNs4VsJ/xhR8Y1Z9
86lGke2wb6cXe9Kai3Lwlo8tQuYMuypFXeA+BIGpv6dOGTyOhWmeTE9PQr6l+HndCt8r0aSXca46
h98smB3njhniEwme0WoPT17B4HYzDtlPNpbynE7z8jzra5ZvMq9otgagk3fcRx2vIS32qSCqtBwy
cTaUwJEqiU9FlWMdWjEO58y4Js1qpviRtWOCgELUPED0XmZs6ceKC9uPCgCyAjQblDvuPC2qysnW
0Bctwb6bPPCZdBmyOzqD00th0xlctLW6aYKpDxApAkTR+9SjnaLkuq+5rx3dcnC/Z6MDlKVyGNsW
S/UBR+5ap6E2m+bB8aiPwUZoxr6QNGXDOiP1Eu1KvU/rOf/R95V863JbN2JLZ3BAUq7SmaOKOX8e
DbKkTH81YhuQP8COqqKw8UWl33bplJ41V69jA6bAfkrkBETKgA20pvKeYzLf4gAHq8xBLJCZ+uuL
ZtT1s5Zp4PpLn0CZViUUh/VwLrzlwUtwtYXkm4/7lpegha3f1r/4pe1Gs11ytSxWn7QY4HvMOhbh
O49aitAEVjC3kAROZARqtX82BoOGqY7QB0VB1v0swfTFk5rMO2OqgKZpXHjOCTqyD9yv+RtMn1rG
ieEMV2e+PWePVpoOu7KzuOz+YSFuMH6HUqyPvFBa6K1cNIoq9N0c6utu8dxqX1iabr1USdL/msy8
pLSmc1jfmHblQnsYV2c+Biu4gFAlhrduyrWQQMZEp2l36BXwIhuM6K8SJ+d1rJYKfLRvPZbKCvaZ
ljE3r6ZmQHbpdnnD0+60fkydOaOLmju2AgV3OUyKLEi3VY2dbSAUmkNb+W0M0201b2nvXV3MmcOg
ym9yFTpzh9gAESxWpqB/ziYHU52GQHHuPOo0zV9+qTZQ+IdNe75RWlN9OmB6EAWWHJFg/tj+9Xmy
biuvUj/M2u5/4fNxT7pytC9eevc2JiiXQiIghhuOQraBv/dHg9FYz33j+uiBMVVd4Vf6Ld0wwX4+
VcS/TlaZMXpu2rtsCvQzbuv8/Q8LtTd3/mcOEYfuOhv3j87wwbf61nzMh9RHNDBrdRdeyRBvfUd+
d4mk7pWREs/VVGYUellzqafEv02kI4qt5lufpUkD6urDtgeb4Qn9zN3VjF0U0NsUkh7uM0oTjxkc
uadlXIatpbfiCNTPuENDrdH4kKP0QsTT/Xat1QAlsTPjVsvkgB6tkT8shLr7nOPrBXIcUlLfT908
BFzV30iVFx8N16V4npthz6MqELKNxj20Bc1FJzdApV7wGGvRsAxJHS3LmvQQqVJOyWVSJ4TlFAZU
w5+m0/kHuqviaE7Ld29M37LXnnVKgLDM4RRbmMg3fkO8sj2zhTZOPb7IVogbP2iDWwhP2Tc+LbzK
4HpWeNEBJ0PFxZr0JxP6eWcbV3N51kdqAWIHQgPJArO1X73pzP3P649ATezOQ/AI+DclpM2cIKGp
KaO0dxlnrjCuVjtsDUy2AJZdBFUJJbh6caSEu14o+CeoMSCw+8g3l8S7n3C3nwb2YIeXlWyQnPR0
dAprPE5Dpw5ytvGbduubzndxQ1BM9obChKzXYV1AMgp/2cgVee9IH07sguqqDPfnO5RN1iv+QV45
x3BIf3E4MONqYrpL1gunU2RraQcxIVmds2Ysc8RdBgldWfibq3s+ravuGCBtixKEiV9rudBuq0ZI
MS21rrZAVLa6eUC7Xa9e1OBb4i00nEPPlVaECMPMORwWjuShMJedK5W2a/Qe6aNEhR6K0WzPvanV
W92W8Pc9U+ghO51xaRHA/6SVkQcQaH3cEVq+HJTRP5Jwm97jag6rQOtLasDROiUJfNmcdbi6K1x1
34ckzyc+gEIwbYau/syKTYNjMwWvs2Z5L6ly3ZtilW1U+MqgNVstG4ez92bMXevkT6N7zVftXifD
zY8VWvOIy0Ebm8s0RxkohtAOgvm0zD6C90HX1jiwUqZ1NfXVg4fBdovqZDpKL8h+Ckk2YUs2YWQ5
jNGKTNTPFTzlJyFG9ahpwnthXg8534O8AXdv7KwYIVcTlW5uWBu7HvwXX8tKerCliU8SgKa5Zgh2
7KE9GApXeQv2I5KzzKOrerWObEzsYWAvVbabuUuiJG9Q8WWePkfoupN0E6S24Lq1QkXLArTWrubk
RIVAaVToZpFIM4X2VbT2XVtt+8wbHwfD1/cl1/uG3dTvZsouMxOgAmbtISvX/NzB97nxuwqdVyPL
zTw77u1i191+LgyQOB2gEPyR1EA91GSZ5C3o5uYeNoL1bCxJWEvzPWvcj6BEIuoAsQdr404dcifU
SptautGwlid3TJy9EKn+2DZQybra8m+qdS5PWV881WkAIqycUhRmpnHxpG0/jUWTHNA6q1jrpkti
ogSCHDM/osjU92MJ3n/hJK3h/8e9yMfHRFPi4qqq2vUDOHuzostMQ9c6zbWNrNFth+3YN3XIMORt
9KV+1EUJWy2pMLJLbzeic4KsMvwaqFa+VsR/Vqst0dXTHS0OvDDIkmGRtdVBN5sy7vBw7AAR0xvC
b96wwi0RK0ulT1gQtop5rIUR5QBv14zhKf20+0odBdy2O38cENTLwoYBprGT1vSfUHzp47aBT9mF
7WD6sencdZBMQpIj2ymSTg/rH3VWCscvr1rwC+UR0jrAVi0O8vo8Zdr4VgXO1+hrYjdqi3FYa1wc
g1+6D6MuI3htt6Ya9lpLfdcMwj5im7+j99swO7jmN+QPjebon2mrZrYmymFzrhba+dN6pAH2DEuJ
toLuRQweIjPDvCOmsT1YyG5FDe1lkEv5RcRCFmHJf1dK3AK0NXBhZA3ZIIYpKhLFfJPjQAOq4lAC
KSc7eOZKSnsTYJANh5pJFlcP7+hoSxFJRYHslquH7cIBUGhA3Uqu5YQDj/G99gMX3Wthb6zGpWgf
F3jXS7/RPVFMSJydz6aq7YvbCVIHRWqm5B9o+E/sNR/25briSaGqSG8cLSvcHYpX501OhiY+En6D
x1O2LnVvYDyBhkLePE9024p1igue2zailo6V76+kXwQtrQyJZyvR7OTStRbq5zFogp3nmwfSFTbC
RyzfOSYaVAjc87qfPJV9JFCPIypflpTMjCZ/0jKVM3I0rDT4EFnCRmxgAIz0DlPX0c2oTyJBWMn8
FgR58RAIz7EOjLPzMlpH5iMMaPNbctVUpIplieYOYMQKUR34JuehqzNCYD8NkJWDnnzM56m4jIPN
bsu+Ue+sXNHTnKFGogPJXO+trcvxY23AtP1OJZF2MFYhUCmQOtR1EfglwuixMkTAE4xhnzsc96XO
R00xOFEtIn7VHojBeKVRLOPcnAHiL4N347kOPXykiCj98JSo8uzqAKbQIdxZuXnoq/Yj1QGnMue6
czjfEVHdWZo49vmgXWwD8hsC6Fo8OFxITqy49C3p8o6KuAvnXui33or2H0zrRqxmuy+nLmO6tCL1
y4PdVAXvk5genW55tVE+DyEPLk+8sroDubOhAOC6w23WnAMLKrMrWehVRrMRIsRVZGOMj5zdNSdk
QZcsL9sqpgygUh00G8t/qabqG/NHGUnb6qNrNkiNOwKXbULNZE86KhOXqVQb9PMlAAv8LMaWZNrM
okldOt05R8Cgl8Wpt7QkJlAE8Kif0qTomyR5pV6o9BhVWrfxAPgdpsYa3jMjhz8GBGc54uTVRTTh
k+PimzEW7gYO3WoUbHkpBEgAXbkI9qtujBudUof0t6JqznpZO5cOGSoXLfqnmY6cHsvCWy80Y7de
tZf0VpdT1jhyQw6Mel09qrYqYpRFZwMWZHbnyup1ng3rQSgjEdt+sNb3Vs+K/cjt+GQHg0vMjEJB
2zHW40qknKjJ10A/LSCuUat6vA3owbR8V/UiubNoDf2kNqUKUXlyziZR06jg/eOd1FLPiNG7ls+U
cNmml3JXgFecK0M/2oHGvKCfiudq6PZybOetU80vQ18BG2nEMwPkXWv43r5klhSPiiAKfUUevXGk
Q4871+7Amwwx+0r2PDReiWKkpTKZWGiATHX5q1bZue28qxZ33Y2EvzBTuxmIeU1Ni6gTlDUgv8wW
LNlamdT0qF9IGHCyT3M0nRYRYzvvQbjIVwLa6KW6dndwcrP7QuMMxG0xWRBzJpMsrEituJSOYS5R
ZwxQ6hNIwb9TfLzUr57NxUUuix90CiIIpWpTzyjzp9oVD2lXnAdv5CYxtdkNkxJGDGZV7hcZkJMj
9fHqACIO+VEtWb1HaDZfEXy+ucfjgncEjgDjAwxnrzm74E9lSCOqEdNc3DaZ6AsvbXZ0lM2W5XjT
/VAwJptMgvPYJ7RjmZmghfyusQ/SnOwaNNBcnGfuLTcTOC9Avj22szBNgZSEf4CGBt0EFzHwFkea
Ob4UPUx531d+nLmT3M2+kXONIyTHazn25tTZwYxTPUrswTxRsTVhKpkiTpuuUw8YTIir0L6hiGmR
9DDoFdcb7qzM7BF9XnO2gmmMGmBm97lS7p5Hx7pHLq1e7NT0YlT1zgYTck195wyhqXozcgpognYO
SY7ZXXGLrsnmGjZxV066+cgOu0RYWf3tyK68c62COX8jr5OwLjF+wC9vbxKmPvC0gxTJueU+jmjO
8Uc0zk8j8LwkpIvHYVHki7UZbQc62qyRy5OO84aekbXR0fuHbaENrzJLnQvJR4xfWoOlJCDGzLBt
Hx2kWciarxxmx8KexqZKQ2qyDzo2ELonxUpIZeFUl6xqi91IhM+PLrkS53WLAf5co2QLV8iRJPto
V/RoWRtMkoRHwLPXpD9tdLNvDi62u/Uqpmd8qBHDQOxWQ+xQ5BNsE5lk+/BOlU2U19Z6TDWfI0bw
dNAQbjr/Q5u1N7ir32LyrJMTWPcsKLrzdI8Ichzy+1QzqnEz5vJaKdhptZwDxagaffzcj7uGzTKN
UtlPe5Z1x3XRokU6V34KjjkTz16nX1OX9GzSN+D71wUJvOchEVDBbT0Zyd7xKvnTFHNo0WNPPGu4
gyy0HmodPDjM+UkSbJEjl0mHLHkQNIcurK7sR0Gw2ivUczwS+OZiAWPyGp+g7lzydDGBj9STyTox
Zi4N/RWV5fBcKJNGlF9hiM6V4R9SaXYRMjHxHQjlb1qogzG4q/XSBV17W+Pv2HI6lLHryf4GJk1L
/QmekXGL8XtVPEaLVXdHLafaMkVZ3jirMA7gkXHKcGYAXy8JYOoJqjjTWBkOKi20j0II90UvKrnn
OAjuMgelCR/FBjxEXJrL+KWBnzlk0NKN0DNncnuhAd9iFVnuWYsll2dbvmHHyH9awTXFKRXq4nnm
hH2Gygb4EINitAob+sMhSkb+XtAPeVoxRo0RYwx/ifRp6C/GUvVnu2g656z79XQzrAZ6fEebx9ih
qtp3WcqsHEby/WqlPjWjWxn7wEjLuHUH1CgGZmcvyL0n4lzNc9qCjDMNj/ZMac48yTx0regZV/qq
fE5lhVhEQyyl+uakNdqzV2vfFiLOJzDf3SO5UslWa5bsen+FaWln2YsOPutuHYX3ZC3F9IiZAqZi
/gCOudyauI5fi8bt7x3DWl61JB3iHMnJ0Wpg65JWMb6yoby6RWmdVu16E5ir4mwVtnmsy17flSKt
7qGVFVHiTMXXhMlq282mHslqyihKdPYFpFR7qsAMbm9rDmmE0MMBldzzaUlfvVWikxihV2X+rCyN
m1ff6iRIcSM+5hmpT7Xt0oGFwbTpXXzFosVH3NlXEUSNE3+yYEZVrUuHxx120vLGm3ZO4Ka5hvHq
BAD7aF1OSRV2WWU80FbNjpPCaEd3Nue7esu2afXiICCH3Lde18dVEBjYhGr/SPgU8tf610xnxl04
LUq8RzsuzIG8ph5ATs5TPUowluw7l/6w64s3P02/0CN9+/RVI8G8OkuM7eIhRuvwue7arvkmAK0J
A/fqppNlWF0tXQUxNWk13QopbmeveVlGNpxFEd1OQkaoGavOhBiDCilNo2FvpswzDuXUXtbe2KMN
ijx9SvdrXpcRziy0Bsx/oLgtjKz8kcZO1RMKZmp7pXc3pWXjNFxv7Y4+92q4zH74lvveX/KtPQiU
x63KKBvHMX/3QKJsNU/kJ9/LigusAPfJqakNG5XR9K4aY/d/VKNzQ2RIH2NhEx9amtonil19q4B8
7+o+659/Vy7+T3tD/j9yfVAZwqS3sSj819yVzXeZZn/PXfmPL/rT9eFBWAmuzg0fkOL1n39zfXju
bz5awiBAEmiiQb9m/v7N9eH/5qNHJ1zrauvQ3asO9W+uD/+3q0UkQIkIMoXvaP47ro8rxOUflIVg
BTwzsG3DtWz0pv5f/BhZ7TCTC8yrFPDqZKM9PqArE/NrOqHwQgH6NGoorGprgEKYlml7JBpLhE5r
iAIKYF6+VYWcPiDZZYekCMYYsIpDE5hcDPitSLwogh8WV18e+fYpAqG5vRcQtb8BPn7O3AU2swq0
uMP9jhPQbu5RMCVPeBwp1zuj/0E+TvXR0HbcaBC8mR8Xxf3aOI9FU07H0rBIarPc+YWGsR7ruWK6
CBF/ExRDc2ma4BWWMdiHWeBJKLoldjVt3uk1MYSLaXJ174nUGdfuwmwijcn5RNfb0o5tF63YjOPQ
XeyKURNtnSoWcw/IXCL7z7gJ7wY9mHEyLIR1mUn5C1R5fcuWl376Lld98M3D5wg44ykfzWpHOiDm
Qhtv0IYKwsNxWy0aijE3Md6LHN64azsIMfBj3850T+GPK9CpdOKG5d3CqtqGtLTsjI7ypL81BgMH
PWnxKPvCIOBATs6JYQw3RASV1z5f2R/TDudAZPmqnSBINuOf+bf/0w/7/zoj2J9PNxLj/3pLiNKP
+isTHzL9T/YFvvLPfYGnn7RIFN4BTx2GFmTtf7jB2Bc84F+67vrsAJbHI/vntmDpv5EypAd82D6b
yu8cpz+3Bf4TVhYDd5XlAzvSDfff2Rb+2TSFYghFNQ4k3dVt2/wLw2+EBVvBBwLmMMvuueoa77Xz
DHHCyY6VNw/k8jZo+meCb/nbJ1r4nUeZZTyR+hDb/dzE3tTI2HO04FUaU3MzgZ6jkZCVX04pxh//
T06e/32LkRABH8MgKvX/bjWmH8OQ9f+0Hv/ji/9YkD72RF23deT01tUJeHUa/rEgff03EzMaBkGd
kRUnGP/lbweV/Zuhm9clqQdo1F2DP8ufK9LwfsN0x+J20eUD0fGsf2dFss7/clK5Pqopk7MI9cT1
+PuLDURP8qngr2Xr0TE1twsCl2jucxMAbYCTnp2bYL1YMiogNAUdJfNCD7reBvsB4+fBHexoDlzz
tp5RrzVj03KXIino1vG88lJks/aEhTk9CDJ87t2qTnFMYczeSoq3Xb8UaP4tqqO+7tOviY0Vjfla
+ulmSK10nyxu+aIEOQRRQgD7URg1IcnYY3wOn2R9cIGD0OtSF3zBa6S0PYEF4KJNKLPxmEl5JO+M
SaUP6Wm7NkxOomTBUYFWZ+XAIgu3O2fNSn4MYBb9kjhZ+Woti7ggv6w3rm7mnx3qoNNaXkX5K9iX
T9EEzjtjRY9O/Sg/ZnqfiGaLa7MHwCHpJ9DJc6OAV1MmNSjQvrxrEZzGtca7U5uYrPShjY0qNaPM
kubWgAUUcbnHmN24xqef+QuQqWbEIICkBaJE6hafsxsQ91WIMvgSjSaeTTe30Bp5AYBbUkRNYwNE
od4AMZoZdjH20q0MTC8uhZucDyBi1EIL382n49LIlzWrgRN75pIVG4VePirzmpGWWro6TjF94IHH
rXEa3Tn/yGq7+tbNRA92EoQzDs566hVc4bW/VQHNs9Yh6RGvtYJ7E0yDWAB30w4SGgiVEBuTOA3+
HNwsQd2+pX3SExo5lvR5mSLRrsJF40akAqevVVnZAvOCme6tnp9jrFZNLpecyWkjlrQD6uJIZv1N
IhkVptBeGXnp4xeQccLsLFrW+zHT6MuPHsHAJriw2Gw57EPciUUblyzr58G2zHtwM/Zt4o79/2Xv
TJYjV7Lt+iv6AZQB7min0TcMMtg3ExiTmUTfOgAH8PVaYJX0qq6k15hpIjMNy65lVjIYABzn7L3W
U1zG1WdkSl5W3a5sgnMX8VVce/5YfzWFM72rIK6sjQNfGVUuce4Pknd0OmaLDeE+Tcv2kRpxcOUQ
iFt1rjW766xSVyoBDUeVEgcaCxa/vfeh0r4o2yhaVhym8QcPrsM8yrKAL4Eg+EURCjLPCEB7BfJG
PymASAXOucIf8ZNzjjlo4E4GG6q4PHfoCFATYGEzupFhTKz1y9IbeXC6ama1Tr9oCrLmgJkHEJZd
A+RambSTN03kjM06hPDzK+LiWv5omKM5b/O8OZiJItdiDyBkBydxr7lBSnsl7Hyk3N9M5pvLV27i
KAV3JwgLfoF+T+B/LydQ2r5syJgqs9XMHSjlHWb8myusTYh1xfyuo5HyYrWWhZZfbHnJvplZ2v5y
vHExwFj2+D6iSd00fUwszVD6adR9fRP7kgiXY4tTyai5XDlsgNZEQdnNTaN6nZVnx5tIdfZW+KwC
07GrTpSGXKQf+HPW2B7KHdgEl4GKHx6mKd7z7563FWx2WF0je18ZM2ll0beCnRW+4Ncq1mUn4eXD
NHDXhtVzMp3QmEEoiwpqDXMJKcqeE9NaF3oE+CBCglEo45rkT4qV8BmCWnw2MyuLtk0ngXQZttBQ
+UFB7ljZtD3Tw4ZFnkxZWEVGx1k1SxDarubCQbs5JcW0Q00IPJFNGJRDo+5YMIBo5e3U7W8bpLHT
aioxjHeFUm/K9MJ1Qvgtwy3bs4nlPj3kwOzjADLJ1u8N4mVz0DybnUgv4OBhWQckz1/tMGpvZBjH
79bgpYyGHTgYPbEFwCsj0dY1YRqTN/hm9r7QLEKvK7ovs0nsGmwQpw4eJU62jtK8+W2zI1+gD30z
8+FpfSHnjRk2cMhLb5SVEic2FAXktU2K1F/xc7oelKM8BhFFRUhCDgnUH6TKFUPPcXnTxpwU2UNx
oEnRnMgalncFnxQ78tqZE6puedbthZIqPiC5ETs7Aad/ANUVqHUaSbZKFm9KLMJ6mUPIDkxbbfhq
InHSk38y4YFsLKVUvwIGx80pyAkiG1xuak4SxJ26acBgKobBdeD79/RzxMuEHYqLrsnEjRlX4plF
WfPmVal/YkEHyApm+pKQwZJwV3d+eefilnhueGng405dvj5Ej3O5m2orY6aTDBfod+5MasaOXgKr
R6k2Vp71zVTX8s/8C+HguWyaANH4k//ewaOseEAJdeG6dYpDSL2SG4N2GE4kXnvD5gsHVliJHWVS
RiihIBk1Gu08oxlNjHiNot7aGbxJ3qDe8F6nlMYstZLiLksDc50LWOxQTpIrpVxAmbNlXVPuSGur
ipuXPjKz5zqQ9caaQMuZnnzq6sG+ZvkkNn2WykPjFOZTAxTnj0gr4gIC5dWmlpU80ubxjHWc2OFT
YUbe1auSpwoK0jUkcIMws1w2G6BbrkYqUFXaddWvyTcyr+Z5N8fbpaDAoIyPLUYJm9p02XPSJnwT
cll/Jn4Z7qBrRwvVGSY1cGF9AOjhHbuIowONvvkrZwBKdq5JW4IEVXxXAUS9gYXgbWvtJh9J175z
gAZI2AfjPkz6ck2GjvVtz3yq8nX2QM6v3BuNMx+cIS53jaHhjfi+WMzdDW6LPpYML5US7cUjifKR
xwOlJJ/tjr9l28fAsWxN+5hHNTcXJX37SKaye2pmXRHibeNLkJnttoPMwjUXpdA6K6bwJtH/PTQj
Vhpkop8cHi33VGNktFYaV/xqEYWANNTqcyYAe/EVaVb6ASpmcRjGtxGT5kfT7uur1QfpsOoix7sx
o8F9lE5MIYNiirXXSoo94R3/lixE1J1LFaIZCmAtXtzUyz/rKQjf+ynLHjpej77bJsdYxXcAMlEV
o27YIk5GJmVNFADWTtSXOakRG/yVI/kVr1jxhQhCOuayLKIn8LAA35n71desLhEz2cpr8KsrS366
BOvcTZdG8Ytrq7jdYdirjNvRaeOzHaXzBvxSGO5lTC6Yakg/6SMCMVUduil1X0niiueySIYHbyl7
dJgC7jRCbtaKjoLniG/OPLilF+2Bt3Tv0ZRV9+2ECY25O5LVvjGbM+ZBrtU5KlJWzHK6ad2GxJ3B
cPaeA6xG+x0M8VtsobRf5XpYoHtZLJ/MdGxepSAvE6gUUQcBqlu/dyOyBI5tE1pqWn6jbZsQX5wK
73dlox1adbGYbo0hLE9BXZr7diaEQUKoM7ZU0dwvcn4dVbfWnj67uKuntSpKY2tP9fAL92RK0VIS
FtFZHBzSftYUDTsWST8/JdNd5Ct2M7wHA7PvtBMrDdLnlYtT2syDy/rqY21dxU3xzFLnIY8L8Gh5
pG4CGIVcsyGzkIxsM/ZcfINrY6o7JA6CXzyDluC1tihDsfzXUcZkRQC69IQvXxifNzeBVVUPQVW5
D0Ph1hdeXvIbuKX5m+FTjli7AEC/smmO91DuHBI31HFvR98dGD3lTGP8ZDKnUzXKYTpkNDuzU1wK
rGhwB6ZDB4L5K8yjdh+WpsvjyoBkwLjfq6uVaP3gluLrfCCq5P8xLOX+iaKw7bdDms3pqp9Nv924
Bb9r1r0yEXtBDft5CHCZGFWevs2GMT+YQRHK3TBVAc+2mH44W70HbxI5/aZ+vs6J7Ng5LA9f4lFq
xQdfcYaIwocpntSvsfLVBbtY/USS5Gw1rGmQEA/uJ5oAhmPa9mO5pXZIyEO4E+rdWRATyjy9MTWJ
KaxYU8PvOcdLtIJGmLFc79P5OA4N+39FDTld5WyZ38zIasYVAE4qCGbSYrY2zfrLNpruoKs2uVTE
fcii6+a1xVf3WzVOcMBqY70MljnN6xHN15E9KY5XCxJegr69i45GYM/GMSsb8yC8ZDzTz0Ec4kxx
98HumJ3u2Hb9DXLwAo+M6xP+zSxE67wSJAe31bhgR7PJVh22UfLXMefQaWBNigy5rjdUk2c6LaEz
W2vovvzqCBaeiiIFqjZAYWT5FVpEzXJjJvIllw9Y9pQCkcMeaFJgN9HIgB4ivpkHDWz9l1/N9Ih5
y4b/1MsiZ7UqjUezb/trkVvtazY20zGj+MFRlQf+2pEhZS9LOfyXweSIgej0rMypvqmCCBxPQpEx
XFc5ksqiylukxATq70RVLJverPZsrgdWR31QfLfUMyWXS7HXLXtmo00I2U15j4N0dhzaPOAwV7xX
mk/kZYieinTe2j4ZR9qFvZud0wbl9qoapDopEGViwzrOnrCHulgBu8Yk3lEmBq+mcbo8lJMCFlen
+NVwjDeLYDoPjm5PHU+kT0JNdIVLAJjkbhi1Q9ezvJyVChbYYYWoadzNoPbY30HYGVZt6sGiNDN3
Oxp2fFaC6W6bIdcrgE/s5nFEFsgxktyZ18ewWnI3S45UEdSfMcqqS9Rm3EkMtoD3DXyj58JZ3imw
8OYbkLvkhUzfau/s3iKE7XbhQZgAIGk3Kzx6U9zsorIYX1AjCfC4qYvPqhnCj671k2Y9u3N+AfLL
2hJJzRy9eqSaOQB6Wk2r/z/M+s8A7llzyH9303JIis+v+DP/b9f28/cf9a/D1b//4X9MVoO/mSa+
ZfYaAuqT7QL5+Mdk1fkbdhmfIZYpbcbky3/5H6NVucy4LGl6YLCEAJ/yPwdZjFal5y20e9dyvJ//
9F/gbAn5vyBaPKZYlukwFhMS0NNfZquCYngNvddHABTiAvAUyTAVGNWqBpn+ZXeSqJoZBy+6Qczj
GqjcCzvsNp5Ow6NwGwrAPN4O2aDwI8Km74ug2NtFl37kbYZ0hd67IOWWNV+ErzgxI4Ze53qKbg3S
Zg9IG4wdrmdu5xbHyt8gTGhkxMp7qMH76m1s1jbPsKrAEoNNaDcYBcKQ/sI0Ij8DnrE2vXa7YzNH
R/CP9oqVurlL6uAOE3xzqKmWvrlRE/zODDLV5GymkDJx2O9kCZCECU4+/o44aH/0i+WXgR1RTHfE
j6iq+MB+atpPwiyZtzWE50R+IYjp3wGY19uJUzv0A9OiyNUvtQsbjS+s86umBUv4dIyhQiAy2zOA
o68xh0n9PMxV9SdpEvdCvlrS9+2fZhIJHPKUf5UeAX1uQkPCp1qFuMeTihQoJURQImGMSY3DUDrs
/YlAB69j2ZsCUnuSZO1PZSa+qHQCUqBryUOHLXfi+eoxJyN0lMBwYBbNOA6jzEt+xd5ovIowArib
KPsm8lX4qx6HOlqNyjG+B/bjl2Lyh7cqFcWFXzg/J/ucVdiUhP5M+1Y7oSo3EGOqNVjcfAtg8Hu0
gYG6bsxxIR+G4tRkNfDxXH4RS4YjQSyj3yUS7ixfeJsPyijZZYkU/DPEx9jvzbchAkbYuAxVAofg
Qd1n1oUmjzrUgo6dJqm0R3HjraBoOquBgEW9irRMicWGLwjVNAMnq3iyzbxbDYqkRDfH8n2cak4F
eF3Xg+0Vd0mep9669WO9YhFPlIM078YL1VZnntgQ/Wi3tIv/gGIOQ+rntXNrWUN67HFr8UuHINKZ
xY2u5uC3U9vR8zhY5EhhWL5Mo8hPfgwEQ5ccCVbjGDQ3Pi7bta5Nca8aiXTPCAxsvZXdFkyPeqJZ
troL7NZYW6AGdky3xO0sp2KXandEVZD3xE4F39rEDPLnHF9Lsxndbt4ZBZ9ZkFrUm9qy/5jJO50N
SE4PfQHEfwYLiZjbbFdyhJdtq5XLaHpfTx7u6JqVYlZQMW6JjzrtlG60k8WkvZPymUZ1cBvz03Vr
NOkzJy9txXRj0+i2q8zoKmciBUzAFmwwYEuaAbo190pqMKChSdJkSmn/FE755YNbDphlGM2BQ6u9
o2/lb6llXFkjfilrPPlMzteGqTeCIuOuhW5QDLI++E1L9JbwAPjeDTNrAb8qdTMmRe5/RM6Rfx3f
g68RbJLAHjpWwE14IS/9E6Un9FJPV4rbATJHnPTkgQBb1jXhVL6OZX0zgnojQym2kLjf8jFnIVs1
LU3o2YK2GYVlf+7mQX+HRcwIKS7zc8C+tVjTx8ywqMvyjYlZu1MeeJGtK2O72HZdS62xgy3+EPxc
z9nPtS1jJe1jyXXhHrF5yJN2pn5aU85CR9nbRvbxT/uW698xPf9MIPTsv0KdLMmejycPqDDb5eHz
lzv+ZHQ2YYzI3FtOBKiYYW+RyUc6Yx/sY9KVVTEWcHgtvPHa3uN9ht/xzh9G8oZNSyWbM43TWltn
jnmdmOZw3GOuxtea5sMfuj3RE4G16eg1+mCPOf33uRnXom8/fE7QVdw2BHLUSeTCJ2yWfDXNyIxz
torrSP3gyG6noV6X9yfG5PFJNEVhr1VGbwLYgTyWQytd5qBmt+VzFOtQZ+lmcAdSPsFYXHtPBx8V
QoOPaTCHHVmu8pcoZH/LXK255VUISodegv2d9t4qA1uwW8jwOi3vwfxPb9fO+EDpqMQnajHzBiY+
1nqqLXtGq8iyXag2jE2nIyV0Krj0l0IS9iJ6JP/FxEDPiDf4Z+u1TLN4l9mBtV8GTruMh+w2l1nP
+Zt75LZVYfvSCdx3kQzql1QS9Gvy0v52aRjRk8qycw9diHKAk55rdpTumqmq82J0jrgLZt94lAgn
D5wtSajPDLr+UCwcX1wkFy8OLtFrHDbtlZDjcDJnUmTSsuObsDHbAynUY4FetBtif+Oh3sHDvqS+
vd4a74XW+n5ckluDLnv6l7mV7GObHQlncULhU9M+9mCM1qaYK1oxlgCWJ8OnKrSrgFXTc9ylWmK5
QFG46qipfxDs0pdZiu5mbruYFrAaz2WEr7Xw0av4bp7ceA4dR0BOPuJXi0nbKiLJuDbbAYYKEa07
ZWjq1h55Xti+vNY6BTBkwH8wAuA/bANkDddex9XFRa5D2BnDLVjs+sS7cnAfL3cRws0cV7yjQbSv
JTs/ifgRJQfpEt5KjGiiwUPMKuUVYZ3ymFhP3KrUcs+KXO5e4XIfk5EV3xe89H7Dnyi/huVeh+8X
SEgrVvaQdCtQvs5+/rkxMt3iJsmdwt70y52zXe6h9FK4zxAInrkRxLxT0coNbpFMlM/jcg9uhT2e
Sl1xz4X4Nr2Viy5T6Ik7ulU1D4PXVOeZoPqHo11ynbnnbTKDTVjx82BIl2eEtzwtrBwWDfABniFN
lCUQwZhfJ2t4Tov3NagBZAUGPvNNZjXe02RWzh2lUDtkmMpzjdiNpN9IzdrZK0YAJ2Oo8a8sz8m+
ZaYETZ8naFlH/i/NOoZHBd9p6oEiqc91XgzcQ7uiOWCV1/swBpUH7mF5pM8m71wRgkxSv04y7CzI
6e2KZURw7/2cGqblAGFwkpiXIwWINQ4XuDhSBpCes4mXcwdv7aswiBumIoutgKGmvw2NfjzzCltv
oK+Mx9DBf9OVlJ1qjj4bMFDpMe17QdDaZ1RjDQHVKIafIwaKLLs4QqVHCfrpkkaFeI0r177tkFg8
lJNFFLBlH7MTcRv8aeYaQWGunS9eRodroqbk2QDE/xiyMVSbyOyX8WlsoE9vjRHAtp3ckaXS2FsY
Ady6huwPrdFkdAb4o9w3MN4yBRLOtUC9fqopHt52/cDGotZe+wtu95vpMggIfIO+RSZNZ4fA3WLb
NcRPXsQPDsRfHJkhkuKNaac+RYHPu1+tmDCyyTSuzswk2XNH+7FIK/cK88hZs5Hj+1Ek1RMjYyb+
ldnmR2kkabcpAHWUq3jwUx68OO9hK6QKzXAZbd1BBwcOluavMZj7L6rDyzQOQwqv8VxoO61nh8Wk
GzGWjiDDv+J+dnDn8omv89FNqLfU2Vm3vnEKmoG4fzqOJybckJnspA02dUNIH7i5+W6B35pZVz3B
OQGwXhn5np1rcmK2rkY+NN+9B4aRfaTSZXFomo5cybbofkXOEH3UPfls07NzuGQZY083/MWwh84I
rPptB6H0LOpgocN5+OKrxkzujQZqUomrmbS4wylwpSfXvib8GGGWIsByEU1UNb2wdGaXaxgjFp6k
AuOSSGNTY5bZ+UnXbB0ggG+Vymwi/aq/IFXHrGN5/VaTYucPezOFrpggPPiKhqKzP25b3gHIULkn
1izf+Dx+gaiQ4ICKnBekEESyBwWNqx3s/qpMm+ghLuS0587DwRoL8Es6JizbquLFsmvxZjdWfxj6
vH7VjpO+hqxt/mARk5uAnPRh6EAHB+aLdHNmgAT33aNjVxd2zHdp4EkO/SPso3F0t5nPs4LLCsvU
1hxGQFZUtlxQrbVdH32347kbZs4pkODe5q5Ot1bLtpfKb015hqDvqA02GLEbfok2sfeR60OZ8Krl
WD+XIwflEbQ9GYDffR+He6YXxs7FxXGTtEVyxuURTWc4mtWDawziKeb9BZIv2OA/Q1ZzXJSZ8m9K
YAOSRZdMH0tWEXQmNH3ZtMiKHYuOet/SiuNojMiUK9FxgQuAFONvHZLPPBkAwXl1exLYKbh+FD/7
kIdH3fvpubR0t/b5QScQfEbOSjdq7jKXbVkJDmarg1xhg8PcK0IJbB2CyHGkB7xPHP7/RzP33gpO
ggmCgSm4gLWYdg67nJ20eu+DPae1FwNaFHaEWb8qwGDrVTuZsLfKOMUMValjmqv3IOwvs2d+L/OL
LUF967MbDO8uaGCuefWTIhAdwd3t1IOI2omBWpLMv1M5cxnE/kvRlRyqAd7Bqi+tjR5avffNRq0m
4Gx7s3fhYYy5+ULYoKG9MXErbtqh5ZY0dJuIks59jRyYBIYZ8P0mNtI9MZ6Yn9y6p9yXmX6/RiN/
g72BEB9ut/yal5W4YOtAuBJG7kXakbjvddLR8GFOVe6Z3BqPYEXllf26/obrFaqlmVOPlL2jOXbv
DKS5hzbJOBYZ5aXw2RObDWVaRQkNCFG6d5OexcsoeMcYlYGR/Tcs4jyl2MvWlBpWXpKioRRWwwSj
tDDfciA8d2K4dcz+zc8+qplZM/0duyPfWIr0O3Wi2ywr6O9CKL73nLB55/vFw8udujuNYu+cx2X9
Zg7MqfErMIWgYGy0+4Ar+n12lH52i0C+U1xwXt0UCxdScvuoDDM98SSIb9ycpj/WGYs0T16QX4EO
R6Lk2C07jcBLKG2PfXyfpLX7MJnh9MHsd8ZxHBXHdrbBaaQAJ7wyc/KD77fOzPPUG996bnnruqws
SUuFrEdkO8UxZ/69tS3s8rMBCgfoL8Rtg6TBhJ+GMHmVHuzK4UU25iQ75RS8hsQaD5whqfXbhFjB
Z0ozvDo5jVy7WcqieW9vM2HFz9Qvk/0gOgcjWt9gpWiDA30LDJuwBaA3Lb1c/g3oBSJ24AOEsrdm
mBZd0gjyGK3oQ1RyE6VkZsy7YXng+m7c7C0re87Zj5wymyILNhAOZFk876CW8M5P/esJCZzazn0N
V4x7BmuOKa8XC4En1l1uaHcN15krMCtNbtgzi4O123Nl8U+p1l1Q8CeGjrnsBNDnZSqBHRg22/g6
KuUhzrhDQINmsd25E5dKUhxKgb6kK/F7W36WQk1GIrNhdaXplTrsKbPwLCx89iVsBJrwvxwGM2lm
HqOKPxGHhLJCFIQZzir2pG9ET3Bdedrc5s48nZjwAQlsgwfey9cigA+SiQLcnGuExSXOBKEePXg0
rIx5m4wOMQ5BlWqFTyYngeV4fAShddRtZf2e+4EAmVDldxxiLYNznBx9ORnrBogk5L6QFEdZphmQ
0Sp7B59HZYDFe/hgG0OAL9HNr7yrdGc7cfojOhEmS9DrWEIZ9rDuoqR+L1xJJqPOqzM6PXiFXp0e
am36B0JR+d4e2uamlKU6qESv65Gj5Mi6k6hLMO9gyVl7rjD53PG6du0MFDfl4OHiLph9xIG5skz2
/d2C0RPOaVSHyefz7MsAxEe/BpTpP4hyCPap9tIX18ztY5Pl+Y2XKJ+yl+EcQ51eI4LV/5ETWvzv
XoVZKvoUZUwYQ8FfUnywKkUY2tLfG9Okto6dAmhg40u22aH0CEqL91+Zj9FT5JYsaduMjf8mjmvj
PtfZ9IuiSd2ifXPiLbyh2VpFy7ySmY4EJ4ABEn5lTDcQjuoy4TRRK4KyHRkQTrBTToDKbFi3vCEa
f2cQ/9/OQ/+/VH5w/x4uZU7zfw6XnuJPbhfEnf8l6fxvf/IfyVLvb4HD1J3Hz1+izr5c9LO2bcu/
JJ2F8zfhwyNmUkTYgD72v43jhfW3gJM6IWjPAWHtuv8l7YVHMPpfGxBuIH0ge77JX2c77s+4/p8G
U2Zhphi2pnlfWPbcrvPepGXDAJ8BlOqdnndvJ3Rf2RGbOV1fl5NCrTJ/WEdTG1kbIhX2smtuhkdt
6kACBOucHXfO4uKP/bLBjLuHirQIq6+KJxMJJvIFU54cYoimZ/5BxaawSYTogCDjZXIQPd64vCic
a1rnCVTUPuKyYKCVbJZXQWKpnodiM2UW9ADXw5kIZU0TG0SPt/7t2NDr3VdezBmlIlPJRR85zIj9
NOXGEoDyZHEQpg9D7zQHiGge7LexfHPQRQTrPrQIKqrMAmiiwmWpLfsnDxScXsPTAf+twbftAZR7
nHs0NgRO2IWEpeoO5GRl41U7jAp2RQ05TG6TziK/k8WNXWwir56Bk2UhNjhup122YiMXeofUYyNz
sMFwlVtMnyiniAi6HEPj0vggXBoEUD6n5KYKWXw2SGlvFENGc9VWlZecR0GObuPnExr7QqIGJYfZ
Kp6Y0IrQAlX9ey4yba/cvqv+iNnAHWt7hrE2gCdQN0yYQ2iwYSvk4qpZ9TAFJootY4a1S+irMRvD
fcr7zpcsYiqxFDWifDs12nhTjT0ZG/ALtP9s+mNXQzhhvRF4DYlnqGGO1mE15E+VzAcgPp3ZtWub
vUzF8ty3vt2a4QEJQit/n71OhrveaECWhN6c7pOkTeQ6rltQBamXzcApQyM4W+Abd1ZN1FS0aong
GfU1Htr2wMt08xCnvnnbjAnt3RSesd7kjuNvadzWn6bqxltzSGW/Znkv1lXt4XxtO7FFwAJ9dEQO
pxKf4f48ldO+Q228qxxr2sVRBnR4gnhsRmVwUJAHX8a6Sl5tjvtqJWdfr33T9zmHd/OjVY3jtYx4
QbA7YiIZr+J3KU/4bZ7BTgWskF16WJC7nr9r7+W8wocWiSWlOp/VeGkuAUl0dzPOuwkGxcXoqeyQ
oQ1PltVVB1HEwa6UbsnKPS5eWl7DwATJZ0pNpEZdMbJAAys5nAfBZbAKimQieEYuKhgAVCQxP6nu
TX+T+Ik6N2FrbsIumZ45pYAM7PvxJDvovbE3D+vGdHmvdydmTVZh8/nzUI+uDLXneykGolRlOt7x
XZd7mNR4qmKwUN8+g8l7joNik/aO9ThHen4hRusecm/Bc+i04Zghx7p84bArXm34dy8Z3fxv9tjp
iwfqiANGf7BpYd+lZsgTX2Wde51E0bw3MP3uy8K2PnUQMqXBkBE8iqSH5BDniYmkrXc46XJPQY/M
YHOr5TQz5nTFp55TQIi1oexnIXCZ2kOebTjCFb9GPFJ3PqPdjzQ21DYunDBirKuGB+l7pFBr8FcJ
SYPfngoDULuNKUCjGM50l3olybHATOtv9kTWy/JFeJKzN39zDtP1xtdm/jw3pnc/FeMSpTOG1Rh3
Rbv2HEvzc7JWhwfgW++SupQB72YseYXM8/AW30x/mrhHPIRjEv0peIev2BuN0yvqG9ZMilvzQboZ
J8hUhvI7ayuSMwpaOcWyTABED0qyzH2PBA8qefTQFlH5yUiRqx+4HIQXv86vJr1+Af+CI2hr+eON
I6KOVN+8cBkpf22o4y10BRh4wmepw+qfE2I7kQ+w2Z5Ac7TbE7s9esht3rrWprT6GZaL76DKneL+
6lsy1yvoyYTOXVpba78T6oFlJh27aoRHDV9MPaYpUBDXBfphwsw+MywIH6Lctt9DgD4nCPjhh6HV
o1kX400a9RoqoDml97xdY3SuFrkz+XbB9EBG/TEbWxQLloHpEsSsvHEXOXSOupWQ6aKMzhzk0YGg
XcD9YXFKo1mc73mdj/RBJB1TNTPJn2IA2B8iRUk9DJF3BvthQtlI9SmxA/cmp6xwSrK+YD/Rw5vI
Fsl1UU6QZKrRORGUNuhjgHQrVvlifCYs2Lm4iFm/OmuKAc2FS0E8u4tSm80j7fJucE+E94rPEe7c
J7HBft+Q62NaJ2X72+o6j9hkIp4GK2EnsCi8fQ6udHHb+gs8q/4M6hTZdySdjs3GjwScBVF7cDkZ
Quv80YRb5XeoqpZXBk4bB9JnpKcaaUwb4SAA7MKxukk1g/FqMZAPk0RG7i1e8m4xlMeLq9zwbLTl
7Y/CPBkznrd+HTS3AXn2jIaiUyA814P+NFhYQqcFuvEQL250+aNJt36U6ZVvo08n0lZewsWpXvaQ
etpiSpcDr2rvy8pDRK0WEzt8IaTs2eJnJ9IFisddrO1K4W/3FpN7zPwDKohMxW+P6KJawazQlJ2l
TM7BjwxeiMF8dr08eeGZjSy+/RHHewEOedCNzjnHprgPXCd4DmKYWBY7p5K5GzX6dSb6BaGxiOmT
QZVPVP/BwjadSs9zA2T4HOPEeqWX7Y4bYo/HRLnQfCF4U/BSujl3vDU+jKYvTnYQZzsGY+xafcAG
czXr61yq/s4KuOkuM8HuFSUodhpwF69IGl08FE15VLNPWmf2y4cgbGz2YRLrIm9P7msn2rhfdVpy
HHJ4HQ+PNB3cSxLHyW0eNtlrRS3uwoGtsfdszlmmNCrIb4Kp99+DmZrJmLhvpp3XewSo4wZZD1/n
yGblxLjtCWxWdoyZdDColjUKvdJT3nMKBqDc1otjL15se2Vk6hfxo+BLBTa+gBjvNu6YjK4AL4wH
AQroBC+xP06Ly090MKvD0Ngl4IyxMae4EKtEDx8TuPEU5gagTtKq2buPCOAnKOajNTT9W/l3kaBl
Dn9CB7tgj2aw5WC0NRfzoCXVZ8nS+cAgOFv1i5/QQlRoL8ZCDbTFWhyGrZ23+8FuWbp7A2uFOR0c
cz8aCnlrlUf5Y8LX5LUZMSMm4TAfqN8MxdZazIniR6JIKB+hYgUDJNqSrbTfAtVNv2rCMwmEkYRo
rM4D7uppEaqeJkUdxuso5qADzswjn09cGXNN74B/7uv8PWlczYcYEKScMI94+3DJUs9xn13Tn4B1
sGStq8kwri7x63zJYS9BkafkJ5xdLTnt3tb9xmLvRhd+yXHXS6K7W7Ld6ZLyTquo3UUmeF9Gj/JJ
28eQj3zHkGdp2jsXVZjmTWFqe6uLlllkAEPbK+PiWFhsajxSh1fld/XGcK1br0isW5ejMhtYU9+H
Syg9W+Lp2U9SnVdv4iH6J8HO3tXbDEusnSROemuNY3sTNYXOtixfiMEX1IIuEKI5G7W8zrw4P5H5
+Sc+L6bScM/kdDoC7K3rb+SStYepAE8BdttD7WmRbmTPKXFnNWVOKMQAErNyluQ+IvbgVlMYuYJK
IdjPynViVjuN88lfkv/KtdxnwGsTMzKPYgCudPdFuZVzz83OsiH8mPE7F7C5A1lecoT+qRcsRQNv
qRzUmUMRhH+nwHZf+0xxjfg7cIeCnR8yN2D4nDePJWkTIig/tQbbg/dxQEVNwl8txQfG67LcJSP2
4U2vCC2sIlL8xOlMcrxMQSK4lr3yki27SEf8d/bOZDdyJN3Sr9Lo9WXCOBnJC/TGJ8k1uWaFtCEU
UogzaRyMNPLp+6NudFVWobpwC+hVo3aRQEpyueg2nP+c7+BP9Kx3gPD9Q00nNGNNzuw7heHvtASl
fm0COcNuHef6WocBqAkk8i3QT444M8HoU9jL8pVSZW5oNK3n1amvU0FJRgvyaeenHlmJyIrpprFH
AwFL1PgAzo2yPU6aPMrn8ehEL3GgueiMQUxVYIGz1iUH1vbNhVViDNipemYmJhf7pe8tLzkbpAjh
1E4TfRdOkj3RalHNd1XTzah1OV18fefRZq7aqpsPsRgCILABgK9dSX4oPQ2ux5WjLBvyOmFqL2x6
ZTSxV833fGbAyKOd4T1Kwc11rP6XQzqed4AGLw3dVS8sS/69ZHqHgh5Hl/U4Dw9mLvqC09Tywmg8
sIjRIJKy/ObDtgNpxpC4lcAz/m1Z/O9YFimccoWDQwCPH/+gRPCfJnGv3j/fi7+xLf7Db/BbM8F0
CPkfyyHdF6s6gpD228To/OG7tLBgSPT4x4qG+D8exuAPEWAD+21uDIO/UiNcB6ElWJ2P5MaxoXvB
vxLGDf1VpvtrIRVJTZi+HF6dv8NF0F3REBsb0vNyCqqD5sVDYsFoHzHLqVruOERxLwOrplzJhSgk
BkTVBqs6ZnI5kP6hwp3JfTj72MBM2T1jJtM30NTnZ4In66yYtIw6AIWjPjyb2lXJzfu7oBCe2QZ5
BaTHDaDtQqdMEs6biqHNvkdTb0hpAY34OaLtKtIljXeNfcO9IE85vY/xXP9UaeH3+86jJRMmI5Yw
wI9kB8qxl+KcQaR86+aCS6fbRAYXIpd2QbEi7L4jkjojhnZmUdlpZQOAykOZ3RkV+Mk2X7r20Q90
9cCaZBgSatBcZu7kqzMXWGyMjWZsRqcgO5EvJWCfmajshoCLACE+F1xW6c7IthArgnvq0umLXzsa
PnLokxdRXnkXmNWSew5u9b4NM+fB8XP9ImAx31Z0mN7jJJIkLL3onKPNcjYKg5JiySC+GtG6dqAy
2r2bcF5zuHmFh1F3dLQnjk4/InSY9BxYRBpBZZIjc7JiWi6VJd2vKR7NA405y69sqip2nUS1r4tT
eKdodZ2ByqCpe1t5efLEAHjE7K+r4TZVkbgB3GZgjhu1+GhP83hWlFlCyDcZpyfEOeu5hbWPtjQF
4gnCTTojbrWA94Gci1tmFs7P3J5a4iZhu7WdocAlKRLCqjVemw2h7SrYV4rljgPbcJXX2JtoXurq
84ALVX/0wNZ1OP/r4a3yGCPhW9H9rwTuziMmx2na9Kjy9gYvUbiFoRReN6qT/RapjcrJgVrAs6LN
++hExKFs9wR3iB1zaPGw4FkUK1wzsAIrSxdp4+3zkUDeAY0g+FVzH8XWDuoOsiJ91ssen24JUC7C
DIC+RCZ38cr0h3CIgpDcMoQFfYMtkE8NIDpystUEbDigMYM3lvlw5lUZ79+oeZ0uP8jsMqIO95QV
tTQG9TL5URGm+mKqRcU9PKr4Fw23w3mYt9r+UDQBVBsO9/YIUzSGusjPGpoDp+m0uR1Lx77SUcoU
MeYucOQi039omZq91Sld70RW8d+901tXtpU1xX7UOnrzgHHnt2xAtIJ4JqY8fZqrpxaC6+dM3vEV
Bz6M5I7AkwIzR17WxuhyyIUFG9djGHlUacDdF+tEQDDOQtXdOXVbhlvREAzajhiH8RkTeNjAiQl/
RWMnnR2uRuKhQennpDCG4E7ouD9iPusJMFTaPFi0i/yMOr9/ySE+3XhmWQ4+uZFmV6VGhhvVRePd
eqB4mTof1q0/YelZbBp1ykCQMggZCm6yMR73lRNBKSXgTUoX6ijvRdVwruHUrF5mJmDMqwtmDgwg
mWLnuK+OZFLI5lJ2Chuep5KkIrV55Ek43m3GPIAb3zfjB9VfhJ/tXJOpwYjIrZxA4r0k9hIeEDVV
zOBqNmctbLczW5XiGKgC0dbhz/jaQan8HKw+kdwkBDpcNVjXOkiT6wg1DjJu4wX3U6WyhxHjK9fu
UdpHMcnl3MPtdp+F03jqE4egsTPV+Dtxff9oGroQxoUoOo7bGEYwSw6B52Q55AWFRRs/UtmeJBpX
whXr+kbzQXPKS8o3+5aLVx4Zc9RxR+cwSPuQThQ8aWdF0RC9kiNgYKKWKnU33pSoV9Wo4hVoiDNh
YbDdZusbLEis4cMTfx0zbgQsuRNp6347cvmbLyzfTJhCMAogYYd5Q4GeBQpB9C7dOXGZNz9L35WP
g6d5CFuhYTUnU5u/2Ux1fvjtNEWbtu3WPL/2EOE9udB00hQ5mbkh6JbszFFCPfe5nRf3WJSZWg6z
y6KTCK/duVYtnMs0n3HJjrz9yz7IBiwoUs0jNzsqdkFKQlAmO9uq7hq9CEjmVEdzsQsSJ7rp2qD8
adIk/UqtDjt1L7LHBLEWraxERN4EwNDP8hY02bZMGhzms82UP6Ed+Bz9Uyc7q2nNhTe2JiUYHpcX
ehoJ3/pgxfHvNwOU1NwZ+52d0IE4hrG5nRRWz501W8XZWKXiaA+x3o2cX72tqWzfHFrXza/ooWGk
7jSDey5Ikp+N5tRps9AKTJEq2F/U6qs5p1VDVxVUWYGvvti2ssp/Bm1REw51LyeTMQjMS81XNbzC
O9UE/YtbhtMF0XDhMgoZQPb2BTrzpplEtkuGoLngY+M3L1Wx3nW9oT8nYnE29CXHzxnluwwBJAyy
4vxQtJG3SeuovEjdCViznXdtscv6GJsTy07NOuRbZ52NNoll0m6iTShIBZXsBmzUxFTLuoS5sQDK
nHFtwS7vh/s61iMOiDI7c5PBvXAj+R50k9wthLrPF2QEIlR9/+Qa3wU8CicX8yVH6QFk1682i2LK
LcoxutW27R6KctJmuwShurDjodqjMOnzOLLh/UI87rrdRJPh1eK2w1WdNGIXjTGFLT4L+T6famLL
tkmaeUsFoYWEIe242KbUQJ31+UxbAJ1TxXHJ+ubeIWRxgevNvQrDAc0lyrxLneqQchul+x8Rzxkh
0zr8kHPs0DhWe+3Jq0rsc5VgmDIMtY3WjpUe4onziUbr7OLeru/anMrqtlwyb89t1DsX/qCeRC1g
u2v+/ICv0x+orQFwZadY+k0mE0bIOLZvaggDHwRFfLHvmMSCIx4UmagIxNcAKawlUvxBl6y6xa1k
rmuaRajQLnBf9n4f7F0GUcyLgDZQIqLwOS6+E7xViwvOGNCjeZIeg/ONzx3yV0xfzamKLfcKRAGe
ULyNQCwnNdhsoCBRXqlIDMAKteGD5bn4HlsRJ68B7hhccNlo3iyZWm+F9rpskw+5eVZk2s/SUOHn
EdK9iMxUfPF6u9sg6eefOOuwli1q7jmewfsjzNWFwyN3OfBdeT/5XLuTDMio9Of5Lky68ACwY3pe
PCkPQVtX75EjOWowLsO3MvTxNGzibqi7rdO6VCew6l3ZSQLVDCR/d5chtbccXyQOtWEpWakggeCL
UwwAMOzllqbNB3d6fFTdAIg3jCDKHEo7tW96pbwXJ5hGrEg9PNVDNlajTdwxZMSfkSu9zJJgqbaN
Z/phh3ewW0nLgvuzdlqJS3ieutdpyLp812UpAJVsKePrTDpus/MHmR55QqKFBHc2vCdkVQjj0h58
X2CA1Rv8AB7uuirXiFtV+ex5aXuv2hIYXMd96D6HBrcb7RFR2BHBZYaX82QbLX5ldhtS94U26OzZ
d1GFMctypS3w2GDe1vQtZTNHgs2E6bPeJ9miMkASXGFuQ78a48M0+t45XVVNsyvwkYRsb3Xo7hir
DeO1k6E34S+q8L6YqAnOJArYfVk6tHouuECXTROV3ldeWRElspFlPxGOmIniW+IzDEutkdAXdnLm
hYPmsMr8cdPq1igSSjkUlh4aZuqVyRccuux+WFQOrETZ2YEzJpY9L8yovmu6Ox3WPVfzjiWq7kN5
wNfOg+MZ29lHaUhnhKAEAatmH79HoHrvBXa7dM+pNwIPDCe/3BslMajESWl9lbpaOKPp7hihd0DE
oCPiYMU19sXA5WPisS8TPzfaBpcnmnc3ajHJ5iNTyXiUZsN/mdtGlGSxa9VMzobirxj2ftdh26/a
9BY52Du6RZicClEBcUFXDXBVjw7VHZ07MdMO+JbJU555vCa7c9WzmrAF7toIxB2dK8494CC4mCUZ
zR2iq95ZubXsCEPyRyZ0QgKaBhdJXTsDUMEJcDMnzNoSkPqwrgXPosoKuhlEAmC9tLrLwiwMc4y9
LLikSO/PXkAcLbaqwFyD1rUeR2vku4QpYn0SwIdma7elcza4Or5oeKY/ZnzlA2cVO8Hdtdo3XSeL
LsPV06kGUSiSQTg9BWyP7UjJ4QHMjtknnUMtxLdHFPjwcvRy2DqWwEIaNYyr9Gor5UV7F4B4xA/O
Ae2emCmYlm8nqj+UayEyBSubaGxL+EaUKpm80PeNp2nQrb4drvG32XW1vTKkLve2Wr2wfhj5l2I1
yHKCi/cOnlnOqdGZ4DO5b1ZDrRdFyZuzmmznb7+tldnxipEv3pK+CVa6Oc5cbgf5xbTadReLWpF5
tfAaQ6wiHexXSE3pnb8afUfHBHgTpE8AaDUCe6pMLhH8Ct53bMJhWkbplnSzf9YUwnlpuwUrLo5b
uZ7QGeynQuA5Ju6y+o+TnNPsakoGRr6WLAEkLr49yxOQfh4il8txN9KI5nz7mxOarI7Nt+tZrAbo
hgAHZWo4o+XqkQYbvbqle+u2WR3UE3FrIsarr7r9tliz8oLcXn3XtNanj3z04tdUOlC3wlgzZIwS
ykz6bwN3WYvqBopOegEpRt6O31bvlloEsA1S4DlfveDp6gonCmBCMNp5furKNpl3vqisXbp6yeMq
mZlJrw5z0vTZk15d5xG5mw8+u/at/e1JX93pXZRjVJfODOfImjz7xVnd7KVd5EeQMfl1IATYBbH6
3quB9QrMzLcZHl98Wet0p1evfBxSPFus/nlHSbWLS89cWqu7vgj4Jmi82G55xxu595mKvXRsdWs1
WVseyBat5ZdDSRFJGT4OqbaYj2jlMGxMJ3loC7p0Utcx101j0Vq8nlz8rRek9aNd2flBemN+23jO
V8BlkF25Lfp+Z5iLXc2eIa/G9rkfi4L5S2m86RkLYYpXdWkbAONjM3wWnpm3/8HlnJIwnNzn7uxz
oik7Y3ZC5oDEgXz6p4UtRRMQyEX/b5+VxAr3zzxWl+9d/T68F+9/67H6/qrfgefwD993aIQi0Oz8
Bsn+1gq9PwQqIcZ8UmfU1a8q4m+x0IYj68PTEt9evIAd5C+BZ9v+g5wzKT1ceh7/kOG/Ihauwb6/
SoWrTAjK1kFskgzgcNv/XfBPknFVAcDwPRPXczwmJxkXX3YI457DkRUPd2PDwQwD83+p0h/mP5Nf
zT+I3YUBv8Hf/mQJwAZnRihoq+R3AVv458hhkvruGtzX7EhR9yv2UB40XjQ6WHyCpEcHEz1TOH4D
XFsZdA3TK/JztP8s1BL26otIH9HfgiSWBB+L1aUJZ9yajuc0UErm1deUMCTbiH4Ob72yRWnXAJ8P
rh/Tst3RZLzIMbiwkkEeEgwqy6aemcPgRiewKrvTlNBjJF33I8diw805PORclLcUTNDU3Nb3c1Wt
C68AW+sIxH+QQp7p8nvX2OBkjRndG5tP+W2Z2MVN0BOn2zApBE0e5ms8hZ8Xz6Y/M66s7ma/2Rcq
v8Ig0l8DjOAVRISn4AyKmQ2lyPjiaQYXTuXi+OFKy3sagt70217bySnD1n9F1Men/5LAmINLHEK/
Aw3IGRBn3DJPnrPJju6lPxo8+anaJfRT2pOj7+am9XZxM+DWxZSabIvOsw5kCREE3NEKT5PVD1+x
cSIDTzAikJrkQ/Q5qAmX2zxJ6mm7SDwZQWUnwiXP2C7mHnvfNy0WtdqbKcMsmcmiLBTzasAP00vH
FVQj0FN4BRiEzizLlzcmq7wT+ywHT6eY/VsiBcEWjo+4yr4DGVhsb00yJXq7MMbExtVCeoeCWmPX
Y607Y283V2MeDgeqcOD7dLRd5dmwXNZmVE9tHQZ626reSnaB6zfP3MBotUBmtDZBMSl8LuEYNbcJ
p+58k3oFtwwifkO8G+u22nq9iohRA4k/l2y6mJtSsTxXpUMNMb6wBBSkQ8ONoQMsnE/8f7B+EHXs
X74VcDVLsF3sR3+IblM5UQUlRnauraYtdOvbFlVc/egB/qob4uwJByowlsKB3MRpX0HRV/4zMBRS
F0s+E/SR4yoNmoHzq+x6etyaQM3skH0ALK/x1TVxkuENcz8PUtGKH/SMpb/iIVAfvDPZfV/U0Sko
fNy77VxSv5p5Ov3hgT5K6STKkoNDRwO+BmGPt8St+SnINCQmoUdjI8dJ/zYpr7+QGPPNNsayhKF+
zClJT10bWGJmnANtBPOD0yzufY3HjLA6QjFROQaayPrRaMAiBhKTUDKpuzG2o7c+bNIXjBBlCOqk
aygIhnm1niLk8zhQJR5o0ph7TbYMvMrQPzHQ4ADu0Bn23mY5m7EKmP7ZdgfbWtKsKehEae1fVp/Z
D+mgqmfqIGMon27wo4aARiU6bhCLgLtLKzTEGTRTWEFoLBDsHhrZevseiAEXqzbhbBWTucaF52rO
XBk5VziPXWnZO2kCFK5UygUsgxOe2Sny/ZY2BBvPPV1qM3618Swt0u4eUxfInSgR5eWCM8deqwJZ
RbjSk3wBS2idZq661dYuwuI5ny2Cb0LQ6AYFM2g+hOiw4EnGjef4PDAu0Y4ezKyETnDUNU4BLJRr
RbHKQ4AyVZneOuD+NFEFPyi2C1meuww73jN/Uhpj1SrqyFDJfezJbkWepjtPedPed/3qjjRXvl8U
zhHsUab9AUUTxc6wDL1OsDzeWMz5i9JkaqEoBTYV4dRZWNG2HZMcsw8WLerKwsosGz7kA0NiwysF
QHihE4nLllfI3coea5aFMcYvR2hzGW+mQU7PpWAEw12hJOhLlQzVTPCZndds6Ed/m2jfp9DMtmra
YGaRk7Nx9K3lh+opBPMN4CgeA/KPtLj9mMAefjIdoaSONDpLeiYoWWVe3SVQfMqU0Qet33NytGPL
oS/RdYsbxtgi5XqWTDQN40m+aEaZpGd96Q7RxWxpfKiztvl0dU2VEehpc+t9YhYQc7yPu35fO2Dk
+ppapc0EUvLguW1OR55amFnFbm15+MzyjhoaumfoHG6sqtiixRFzhmLnY2j0e/4X20eoQzrQV12v
Kr4kXJgyjWqrnDC+5knq3gKUqWur6IJn+lAqyM1jcbnkgoVYMGA/l+nMDlqAzHkBy8Oil4TZdOMN
nBkRl1ipl7ogazmjy6COMYj8bGopH0zhoFbgrUNjoteBKnEddF+zHtO7Troq3WZ1TgYLqvpNWE02
Fcv0zblJU73U2DroXA8BQeXM2TaJLBMiHcwZK6emXSrQ/WXAR2/v8srfF6aMhJPhqQXCxxvNbfFn
EvvljRfrftpr+INrvpNkJtkLPxDnMcZuZAkdxu8imbkAaTkU81UjZ6CjgL/SF+GSvdpVYZmRTzSG
WJay+d1MnM4/yILJR5ZfdYsFT54lwsyvDfvzlXQSg/WvdADka6J9G7tfAklcQWIOZj6AcZOrbEt1
7FzQ8Sct0cHQ9odbL7DGmxg44q0IelrdZ7i4YZwtT7Dr3I+IKAvOCUpZ8caVZw4tULAuGwrvgH+A
c1loqgJz1/aBv41oE8Jv0EvnLvNaDQ/f1kcNV7W8aqm+efV1mn4tBTE6QhMtICkbiZo3Lk8XNLTB
GMc7Lga9d9skGKrRq+U7u0t2J207hf5LhtY2XMi7pdw1g0KdwHJVBCdCVk27pRLGM7SJ1FDVLLfz
8M5rf2fcsudDgIZAugxLtxPFN83YvFA0TFC5w5xBkguJqurn9MDBAFqnHqxgvGT6KimGcYn6t7MP
vbiKMdKp1Fhqh0/1zK7iudtrZcGMqpzwo3UG97JOgUpvDDOIDkN21J+3liWvtGe/gt5vn0gReT/D
gqDQeSB4zPaR0zNath0OCXRoBsNXKK2c+aIORrDmGTll4coEv/a4IsAgOlAsmxqd8+l0NULGNKG2
U2tSIdGIECIB9FljNZd69LyXaWh5oioanTkIlfBYPaqVzrtSgHUOcbyhuAzG/uoKCjJZp8vkR9bV
NOlZOGRPMsvA/Yi5GvdQ2BLUtBTr/FVhqvkCh6X1M846gNIZftMCVSsUW+UXw5vbjtyrUdust8SS
jdy6/Zy/m4nx8yZyKrxgNi3XDzVBTO88GRVnE89epqepmAjMkx53+yOGXBcbfhLjmSnyfMVMu8JF
yioXbvTEAJjUL2XbbTV2weMgneCziqEsG8J1NA2Xu65V0dYdQHj5DFJfJuOslfALJzbkKciyVJZv
RjGjnMYGDYp4I67ewbY+ZpspkvDhtfqkDj0L9yooBoDDYQVO1Zppg8AOpxfFD1OJc9J5SNOj9NNd
tQrEuJWJWZv6PIl8k2/mPPTucmVZ2L9qkv59V+5XMjVb7oh0EvtEhQKquAgqVsztHPuFJ5FROMTh
fTdmLp+wJohuA911V3lK9pbvWAb3iz1nxHeHKH2wZru6xo7J+8eH4pkL9DqVc92lPguR+l9iL+wf
e7AMYpctvpl3MBh7GzSl0l/URukPL6VADZdynyLnujG354rbzZcb9lRELVS4PHqKif6mIXRyDRiT
7KyzZscAqhiYvcQ90p0Nd/Irs/AiqKWtHqaFRWWj6lgh1lUkxdE/Eqi+8TAY51x7rsHSXpj5wuNB
5NCL7M49gJ0WYZ15re9RjcQ2xqj2puI0X+2AFY7i6ON93ie2zB5U0Vr3zbzQOhrQXrtUtGhvRQtD
aQLcsW2i3MWv1mJS3ZTM8C+KMh7Z72EITzzEMoJlMWLZd+OZkyAbZdnukm4EEtfYbYlhjA5QzLwE
CPqd5c28tYHXPNlDVR1UtqLiGDiKS7OYdMRxvMJ1ExyyL7g+IwB+OJV/FQEUkk0bxJyKaqviiGhL
QKKMDp3mWUDffZwAL3w6lN7jA5mNOuqMz2jNzbjBXNzl7zkNleLANdY/TXNBGpNZYYmCnwj7MkpG
jocRc0BmATVofRT4GFweVhxSCV7TtHddOOVk/ioeQ1o2qWWWVKqASPU6cQvKsLUvmYUN42HuPPEY
1J27mazyFy57MMOFCZENOzuIARFWVp6c+zKxL2Q3+TcNBmpgBAMY0ouMseoF1nEeuJhP/nHI/e62
p4IJK3uBgu97jJk3o1EkTBxPHKcw8dXWavJPCUQYdFGQ2Zfckv07mddYv2HzTG1zrBxnuTFp8ZQu
5JQGLl/7xgVI33uQAhqqDh3GuwyN5KnnA3DKrDikPnkATl6S0mmIAO66ZuxxTwRDsdewa9Zu4HyX
oq8RBp/EoaC69axuGVIRoaigMzA7HWxOjaCOgVjyY2YInU1tM5bGWrLBpsnhwuTy5EZ+f6AI7Vyz
scERmfYJs5jbWnbiWdSV07PAQnmpuv4FtAfdzpkj70d6OPb4xomL1+YErNzARPK1PGd6Eh2pQ8Us
OiknIf5swSLHhJxdkqHFM9tlIYimrqxvKE2PLhbS3t62iSMSxCzev8I+OGtD0X+pOS1uk5HaqWEk
b4meHF4EqeP+YBiTfIZsoNuAN0h3zHQ3jLIpn1RZTPs337GwbhfpBgGla4raxTHt1WPFPOjcaWOa
36doth/XMNIlzH4cVZGlGKqm45NiVPsWa7EQ1BIzSDEd1P2bW3AN4gCQjc6hjmENnHUM+ZnPeY7Z
AbxNcHljM/y07KG7mu2Uk+WYRmxgubEFpwE1F9MBc0+yKfIwuovIC+YHO2z1QfsTPl5QcZT4aXpj
Y66ZnBR2xbpnqlBhXXFVyEIVTu4EvN+V/QVkC5adgZf2OkhyNaiOhJp3xlg8FCN8G//cr7gmHGj1
w3TjNL1XbFWgXb2BHSffhmCyfyk/c+Kd50TFvAv7MAITGpnovGqnntgohk72YKoNfjEaK3cZSs5l
P/UTniSzUGIrUg6m2s6JnFbeQP920mZwSD0Ivdp1771BYIFOQsGSGIcU72JCTeatUj3Aiqxi/Ec6
K+Zynpf1yGBwdMSV7hQFr8PI6WkIU0yejWWGD5we4XD2Lfr9v06Y/n9YcuKtquX/PYN6+at7L/9O
HP3+kt/iaPCHG9kh5XCE0UIZ2OiPfxFHWY8JfoJ1dFzvz0U7tvNHILi9RB7zoEBGPrU9PfOX9H/9
z/APB0EVcdR2+F6BAyjyX6FBytUx+Wd5lIir9G2iNyixaH2kWf9GpIw0gZsCT+WeSDlCZcOZjMaC
MtsSlNFXNd4bRmnauZTu0pyLyh2OTdUV5TasIkWm3RpevImTJKbKNP8hFRsDD3rdHMvYltTZhUUY
wJQb6gPQlvAk0mGtTpByyq46v20+vMXXl32NvnehhURe0E2mR7JOcU9uD2REsR9YCQELZCqHSMUN
jka8MvkE1oeJMxzxsO5CN4fyO8Bsaze4ZUx9OaGuPRFYAjddc1m48hcRXy5922nGTkK+tMvk4LV2
wsc+taYTDDxgZ+Mq8claJBejHWLxyYq0Z4ZaamjHdrHc9PVUG1jxWD42dLt644XDCVLsqXXurAs5
p86DqLlEHYoiAtnbzpjuaSOxkWgxIQT1Dhq2iU9p0Otl76cLJic4l0BaesBU0wlre9BfORKvCkdR
Av1b1RQUqHAjwawEmA3ZJ6P1/KuFSnxFVCaDf5PN3VUDqd6HTQlWbisx33J5mPKZo5dTuaBtnCw9
cNoqB9ytw1owGkHiw/Onio8CeoQ6zrYum93cF/wAD4rLj7Xl4lRYMbHLOvAeuUqM53Mczzdc5aNb
ZxpJi2RR3pl934vmiUE8EV+CnyY+k1BwL1SHZ5IbWGeehSqCO1Q6+cGy5mZ7rFM+QFFteGvCJGSY
PeWy3JPTYACoM/3CwcAD5FZ6fUi+sxKa6VHQXpIyrB9oRm1pfwpbHD0YM6zp6OEhnZkuJ1zcvhdO
/3sR1et6inm1OffXNbb/Xm7HdeVlZ2ERbtNVOy4iejSB2KWcolivE0a7v7zvRTxefE5IaDQs7n28
REdvtPJ5134v/zDnbP4/9oT2e3uopHCLLTVyFMXL7y1k+t5O5u+tZf7eZvT3loOfMnhtvzciLnLw
jelWKNCm1q2q/d62GJnrL/m9mbEj1dRWfG9y9NZCXXTWvS/+3gaFW8d31bo3Ot/bJJIbn8Hpe/tk
xsFWmjjsqi2I4k/9vdUiYpHYjH0N5Zs5KOf8yUvDYsMnunqIoizc9dw+sIdg+HK46nA8zJ8VCY+S
8fq+1t0UDERdI3UpHGQDHRAunWHCnote5M9UBIkzr6Y3JMi85SqJ+pIrMxt/a5y43WbFFEzX9CQN
9p3dZc1zN0ErGsk/2IxzKU11wQsR2qrqhyTN90PZY9zNYzSLI+0WErJF7l8LHWbs4GEtJn4AhEVa
6KxM/XT7arlyMIHQgIOLW19Y9I3Mz74Xtqtteh4pXXFnI4vDqGlV59o35uiPVV5kP2OrTe8nXcuf
TCqJVHIwb9PjBGZmOWVFac9bm4+MPkS+AsLGqdVw7QMS6IZHTJR6ORF/nIkLW1b+PMwDvditO/ic
UAx3BSglqaMDrAUzy/wm7lPUeJCscKSstn1vjKJNIMzpbyh2Bs1igyjucnHWAGF8n9928x++imah
lYaGWBl12zvjgE9TFYd/b+7/nQQFxWDhPx1+Xr9/pvP7//hHyOf/+tLfaQnnDzIKHrs7+yhLeQhh
8y+bPCNxsY45Q0LFf0pLOBTwrccBYhQrtziIeCG/93gQE2BxQUxIybAmpGnvX9njbcJXf7fJA/2U
JDngy8kABOpKs/jzJDKz4QUtOOsOK2TW24kO5dfuu/TEcyueU3+wX8I2CYHz4Py5yhD97AuCEMMx
xFn4UHtOduoQwJGiptn79LMielzqIYKu02DwveI2oNPnhJLYeWNZTfgM4oHxhXKcnbFcwbSnvG+5
6j8FfuOTJ9LjiUqHZyQYY3FrnR4zWkAfk6WuP7UfuKeO6r9zh3WRKcySHruk0rdVYUpi/4EPPZQq
hEpt29Ra0LzngVzf3LO4DWiyobCJo6JFzXeRjqEf5JksaeLp2vvayGq5p9EA64dMl+pBiZB7QJ51
40NlNxWXKm9iGBOhjrE5eU46HumcHtuNO8bq07JCTdKrrRn7ufS0DFeYl6PoYoydIGBS6Dnd3TwX
6tMj8J2dJZEpxmfLTqJPPKTm52KDejx3uqgFDBuwYST5ZMlDFkWo+Bah8urkh0E9XSyWP34NcYDj
1rDfvZXotI+NJGvtdnF453jcA6Y8Jy3qutaFslIlzpoylD9nIGzj0ZUKKQDGQEsHRyrFskmNAkM8
ds3BzhPy4OwgKIOsK4+0CWWv+HWTT91a3YcRfXBTBRk+xz5sByDUU+JtoThMlwETrjNScQAOieVV
Z7wrHpNin2qAsm9HjM+ZWrtfCjhK9pBcuQBIireFh+OeJJzFso3dE+4DGw62IdBOCxOujYqpZMXA
Swuy0hjCwJ7iUHHZm3yvcKhdqSfG1ypPrihM+dCUlm5M3RYAUysqcJYsyR/CnoQprGwEo5LfGxld
bvGE2YRBPdO8izWs2ZN//UrKKnwBxcxDbguQUm+pQg9nJIfrTJufrt0I5lejdZ4buqUJ8mdn9LkO
FOxVUXYph+peuXnGjLhLr3x/9u+CwI9eu67MrhM0OprF19aOdghCbncUzwFQs8ofHIG0JiPtQ1yV
5FCSbfBdCKJJ/xXfOHLEqrTM1UVfu9ZZEC6M0ea1aoQIDD2tdX0PVE/ss+Z/s3cmzZEr1xX+K1p5
hxdAIjGFHV4UUHNxnprcIMhmN+YhMQO/3h9Kz7LkCEfIG6+8kfTU3Ww+VlXi5j3nfMeQai/Tbq3j
8p4J6g/vzVpjotdsMXwsh1bsDwNgmJ1bhS5e67BYPi3UofgNakGc+MkUg29iI50ivTM6jUfdIU6x
GfsFMHpFj1V5NISL4QqYXvyjHZNJsS2OyG3grh+mi7qWwcTZCCuLiLUZ72RmUx/D/GzctfDDHAS1
xn6HxQASk+HO0UKqxHr5Jk3Qf7fWtbMmsZK4pzwR30QgQcjPPtBP09qN80SZdXptxoHADu0DJ11U
TrdSOVF/AxsVNKiB77B4Sjx+12NM7RBZXic0xreOd5e70bG4T7sw0qB/JyPbAbrNyD/QWw3RvIuT
jiKa3DriUonUU9ZWs0vop/PSXyONfZcBLCQfbJ7zVOgtRv6KWbUXPqiM7Fc+dl7DBSlsarp5SKIH
NAXlkH/1hT1I62rM6mVvhENQLPlvLFrKL2xzjLZhWmftkXcm69E6QYozvEY+sM0tb8vSsr5tbSrF
QQIuomFHWs2X6eWNtsELrQJ2Moz9OB8SDomJ7h5bGi9KFqzGqE6TO8yUbOP0WkX+6jJmZGAR7y+G
Z+G6tiDHw75ZKEvlgCQP3ae9opGozYsAlkuo8Ysmimo+ZXAoqOgb3wf8rTcDuvlb5aQzc7k1zkhZ
AhpEY2KOYNMwbTmHIi2YWm88YHkdbwZPefdkgrkvuimMlFSzpwdrAmct41I8FkNJ0HbEo4HvAmv6
MURxwSpGLO5oqDk5dx3RVUsjwwa313wrkEl3GD8RzkrPZhE6sigteEQWVHLoAEmjIcdOIaYUx64W
LWxLln6vz713qatO86HvQfgBlNnjcSjrOw3n9if62fSBO0S+tjENlDZktZ3eDOEjT8vE3SvDaZ8r
I52+FEupbxwe4/PYFONusMonj2MJkKdyPCAlQ/WUIoaA/MBgclIg7/U9l/joANzWDApU3P0Aky3x
LdkNpm8xZcY7Nx+WZtPm9nsE5U8FPRrqObNn97eHj2JTJpUEs+npq32eyhanwMFRcV0fEYd7c5sP
uQuuJK8O5OAqXK74ayzw8jiAqg5D3WzwL4yxhd0UofhLH66Nl6LEEn+ZC5Pgbtss1YvKx5xyoqlY
LStDLY+17IdzlsVEgSs8z1Q3613yYZFVehiI1tykKvPuyiaDfoCp6ieP5oYey6h9J8bPZnScpvpU
T1l0LgBG8L3MHFSWOTWPRUJPAnvFwbvjeyEFN4IipQmHTXEPav5ROMzXZMloTAptZ9c66S/bFTnA
iAVyTFgk3S2vXvmu4yCH8dCBaW46DKKC8GNS1d/YRJb7GBnmlsllItxSFiiDLCmUpyXxsayIykFE
aTCHVgOfN2cyAwPkyoNerzekovfmB6PXlvoJfrN2ErJqPgSVrSzeZL+gTlSqcAMQfMOI+tp2X7Ya
JP6NeniYALiaRysusx8VfUTR3Sw7FAI9leVXNbbdz9DEI76hxZttQNuuDbDo+F66G6LBefLk2p9q
Wrlzqon/xRu8AfwndkUidnw1DjNdc5yBhXUCi1YofjELO+tBppAOrbHlZObFNV4x9pTdtkM5h5gc
swOpGcxY4lpTsp+ps/ltVR53iWzgn3Uz7n9bYzccQRnXl9FunJPFnekhqyqqblqHMGhg5UP6kmP5
3MeqaM9JHOp73Q6B1TbAXDfc13KkKFiQwLFaHjasyIfWdzJqNlnY8osrm9M7NGnRoojO5vKpvDKV
WzWZWN5nLfzZtZOD5aQdoAtHrgSXI6Z1TW3QFnDmhec6L/jjpa8KCgA2rEHKO5W5yyODaRzA4qEi
UiZuhFmIAlrerOBH98JLqw8PIAyfN7Mcd9y2E4N1ByipzlL1e1l1duSzHyk/8VtZZ0ng7NPs+3Y7
hJjcGfC08BxVIFQ2tYFk4fAtbSPOzNlPAay/dW6kfi56peaNWdHClcTWQKCd5dhjXM3TamAonysP
PPqmaSrkEDcZEuofSIGW1JOYW3Bc1MknYg6axvGWA8MOgSed2MhLaOTruUPxkmyFB9Ky8Azw0xjP
MyKzaVn45jQr2r5SHjWu5i13TaEsqsdgiX52XWVtnThtK79QWXZnEsKQGMILg1jPLMkNGzn+9a4x
uEi27N1foqXznrHWZ9QB88VuST7oB5Br4LwmZ5I/dM8a4qds6r17JbEOEbYzXSxwGo+P1RmD8YMn
M3yt2TrFeQVHIcFcfICJoXV+hoqxeqcxBOmJN+ytrqODwjIa5yFZUs3B9zWKJ5unTlDbUf8aL13y
ZM7CvacUhrktxi3wkOPjG3a6B3CVkURba7hQl4BoDZH9NNhecpcOC1wkagzmO8tU2U9WPuYjSTiC
q7aJuxvLuIVfebC0b048jPZ5axN2dtNfSDZ1wChkvbDOqYwdVBj7Ue9HG1gsRgjfi83EJy8LpWec
McPEduW8Z1RB3Rd6o31VMMWf9JmczFm0XbFyDpzfcAaT+gL9vwoBrlnFt8km6nUZp/lAi+RwdhDB
kgDfs57SgEJr685mOz8HSckpdFCqsA/E0rQXO5rzgbxH3e7JqnfnAqO378yJjsPLqikPnPum90uC
4Cc9K0bqQSG6vS0uu9oqTklaOFhGHDaiyUQ6oKov5ONh6mlR0mzHMoJRF7Uk84r+x6R3aHPESQLA
cz3fiFAfYUUch0cT7PyYjUbS1Jw8MpIPCcuerQWhGSTuDGdP5/BCdYxfRWa4G9kgLfIuZCPVer8r
Rx5a22yOE1AkMuJdvpNaPO1dEP10Rc7hrxBL1x2mVc6/GUT1ppm4HZIZJwhPRQCisSSMOw32bUQx
3v1UWvFRpXW7I7peHowWwK+KnP7nmHX1g6PNJOyIhxPBhXj7jGgS7WxkrQM4mOiDcaZF840fk5Kj
ue35RufFQVNjgwSIpgopV6A7ovYa6DBR316wTfCkpv6EDN34k9tDdzTok8g3PImJHpcjnnPFxokg
HVnlPI3dj1ShOgalsrsTrSvg/LS5OTcYPhgWs/TkUV7xSXr8e6k1ZitI++vjlNtYTeT5aM9Ng91K
LHuuQNGOwnputQmOhhtoGvRKO5bpq5IQCFRSsYMCZj90hU6qTcF1OdOt2l30OmZnq9UqDVyr0e+s
BQ4AdRT2xazCZ972D7aMzsPUw0YbJYaejCW2lS+YOvA9tQbhL15OjA5ZBABKLWl8E2tdmfnp3Oev
uIewHEUEt7h9sgT3SvVikyn4TOpsuifSCn9Hh6VwMy+2c7AFmJsqtDwyLlMrOd6Qut5tod9lddvc
ZaxD92HbHXrDbJgAe3JOJDr7D6bO0Ad6bP1o52r4qpf2piC+fm7ztAgUEZKFI8aMvvDn6F8R44aP
k6Xa0ZNCZL7TlvOAnWbd3fZPRczfbbrKwvIr+p0CLqR4iwKRLZZC3FY0STx3DrM5C25Y4n2ude/I
mdapM8SwLYse6Ww22y+3xBuae850trxwfAojK+ee0+m7Ubo83UiM70zNsN9cKrCpKAcAMQRDMyz6
lmnkPufdqLZkBknyVb1RbBVtqGCzs77EOyscihNGQ8UEGCUh5E4ziTEWDE9BrJETdXL8q89ONLkT
0IGy5GbSkR3ueJp8N0KjYiPLi+mQLkn5MUUN64me2uRw42hpHd0Xaa2/hqAbGL9hPiBgig8Ra/ad
SHPjG0JNhctF5tQj1rwOx57bzQ5AFxcJQDvJa0YDoIWnkd6lJ8TGsjxMkXK3dYSQvnVztfwY4toC
Ua+G40Qwn/vCZJb3WISEfVgXJJ+RpRnENhbWn3KYbIxzsuMZ1pWd9mS0sw42awAqNvX1U5w73ScJ
Fw6A1igOwko+mrSKzyYoxnKb91EW6CN7Fu51OQ7UsLKelTN3CBGLKW4iUD4tQmtDCbdoxeLsKWgy
tZ05aWDV3dVY8wqHQej7mqemiUEnX0fG6AIZcJeMTcoPovN6jOktfu5NSqPq71qf+lsXStObPhUO
cstshphZOif9kZRJc2KDU7KxTRUOHIFB/6Q5qVk8jyt2kn32YF8K+IItZesTXK8lnottMmqjP7OV
ICjmvHuFKryt4vq2N1nOOZxIiU5jjGEtN1w6mw9QgEu1G0dk6ywCH87VTHuu3dC9aPZCWzMWFloc
4afxkUuaW458W55VX6R3xP/lzzzt3Tc2MziOeB4xSdfWvszy+pYwPX1uTQQJC9SIeZmIle8ML86/
U63WwoOirgO8bNxg8jYWnDhkgorGYuJjYYCCLiiLseuR0hqsy+NNmrFp51pI1fE2ybHaQTauO4wy
bdmPm5pmCgt/F6YLiOqryJNAVmQcppcdtijwAPPQchNLKTCZ3Xw/OIMeNJnVOb6E+/DDDNU6KgPL
45kDY+45Yx1okQ/I+7uS6wv/bwEq3I8L3pjUjXuZfVIo9p+QjOCa93FEVAJ7DBMOj6jZwS6zQS+a
TqNXr9t9o36zC8P9scB1nvD0x0S/XKo08cFgi/JHnGk7dwY1t0tyIpBM4vluWGqUznDuW6531Hwp
4BpdjXssdqMPqeZ6X9q9Df6tdCWXrsLVdh2+UprJXIJb7D+0gC7a7EzJKwyAhJnnR9pqlHMZdo+k
pWzzvoCmc8gL3AC8g838sdRoTxlDEz9b3HD3ACMedTkviU3GM13dLq0q+JAUlH7U2wHUk9qHotBI
545dWNTH1GvCnjC9ke6J0MoJcEE4vaO4gvTC49S+9jMWMqijE16l0VntoCIjYbpxwM82mwH732dP
H/QzwEI8TbJzbeaELDLP0Dmx9yDjpp8CBZO9RTJpxg6IApi9YiBBc/KcfnlLy55LF29PeGJZNDmW
sZH6hJ0Qo/O+KIV9YiHiJDvitCURDT3/JoIgqLdcw+g5feSQYFqnse8SGtLBtVBxoUZ9ADU3h7jq
x8XFSJhpDs5CrP0G1jzeKqduDindpYYAClA/RN5zkTTc5ifB8TPbRvpFDhlhtRdCiQvnBPk9/FM1
b9AMhuLRnVRT7iPXG+ANFJTZBkTqnZ8NetlLTlSTyxhNo6TmBCs94I7ODG3OZvfIXUDLtlnf4F3E
CGRGnyQaHdjAzVoG46XuLeUdWNoJvFHr4KSRyjeANCAnZCUWmMAqO7wheWmwsKEYR+nBkAz1bVrk
K8YGa9y7Haa0n5CGfueT1IhLo+v9Pqqjtr/UusDxPmqO6QWa2UbfIe72eDeJPmXYC0tM4TyWOFem
kkLWl9Qc5GnxqoVsbt8p2x95TMqNZnvjXtrkAzTR4kIcan2+QIZD1OUWqUU+eq7CX5fTA7wVcbI8
4AfK6j3RhxIXHgWogSL0SZUwwLybcdLC0W86al2VnqI0j0hXHKi619FxzdkJdaaYKBUe9f4yj1ap
/LWYZfHzuWaPljQ6y6TWsTkHlthzb9uFoh1U96zgCobFPgjTFJOCa0I/BdMR4TLQx4hl0VzxDUfa
1IY3LUGHcJcXxu8h09zHxnWMHcloPP9SqzqygnEKA9qKc0oLIQM05bbl2Iw2dqe0h4irhvsqkmWm
D2pIuMCkneLhYgzajmu9TH5LlM6PnIHM2qaJSB7zyQXCzeCqQNM5yWNGSuYAqTAedjBkndcan9N5
mYfoNS0oQt7gd03vc5X/qDUz3FaJ42THlIfINlzDmpHqhjDop7D8RNDRvquknp9TcsZkRSus4BtS
M918znkUNpvJzYtb7pCTe8BEwC47G7yfDHPNl566xcuiT8CdKsJMGOe0+KQZiE1+B49NUUXcmxvT
tnGqxbn8ZWhqhMoym7uJhcKZlY70U9Pq71t9pqkeII1pbBZnXA4mb9zHTo31IwUpfAJScslBLCLx
1KiWM7vDffScEYibzrHq693CfiXaLaMzxH6htWyijLq1l10oSbwcXN6+RJKqwWRvmcRjesuyAcwA
oBzYEDWBPvvQQslAnok7V+LKEMaxm+MnyN7wKwFcfUIs3poa4G9KejAzKwAHPxFkMI57SvxgJpss
nm1pbD/RlMTSospwsyWNHT03wnCfmUXJTehe7FApjxSlMbYp9QYpqPoNtZZZ1GzYA/huqxe/RAs6
3MdxkgelPbHsx7UAUVBMUGcKDnomysYu/t989euf0md5WbE+/c/mq9NnUfR/+ZfPov7Xv5w/8SUn
zT/EVP/65/90Ytl/OC5sOs+h/U5a5prH/FOkpQbA0zEEOLrNf+HB/FtM1bT+4COBy9nB9+gJEq5/
U2lh2glUWgMrrTTRV6Xxv1FppQ0d7++cWP/FtFvF278rAChFHxmspSgACBtmOE5PkL66RLjrk+G2
RmWptl6IE5RY1Bgvmx5n4lbHQXCepyE8VlGkdqAsrFu7nOKAOKUTcBhPh5wFPyylkJLKWouMCtuk
MQBkoQyGAQOubtXNOGwdEwkvnt+mtfIISUhn+8OOApeXujN6kb1F2Ju2qVPF+8IYqQbvmWi8yPOO
JRgbADSUKxVw0E50KsqNMLzk0wUTfXbQOxIO67WbCcnVCty1sAmyXrEbZizYHEogSce12qm6tjyh
qruXpY9g3XPOdb8ALkCf5G4unru1JqqbVTKflRqS89y44gJuQtuFyF17whnfMl0W33ZtHjVaSYSt
Ync9+qGoWTOsFVW5lQ3BslBbpcgbIWGUy7uWDemWEkFsKGvRFZus+bnPPCbYNmpD0/f+Wo3V/9W0
XVg3ZSNRFsTaT66N4dkCwP4lV0h+19Za4ILU9zlZsbbgaf7FHi97o+ywfosSrz/oshY/nPV5QKND
XGKZNuf9csVH1CtJgrknPJlXvER8RU14MdSJ8QqgECuLQrtiKZYromLpc2gVK7civyIskpVmga28
/tSuiAvBAt7XCrgXiZ5DmydAVSF2xoAxACN22xbl/bBeqbY4q41gye0ZEAG/0wQtQMwt6cUj4cgC
rxmvQiBWFkfGQM/Mf0V0gMQiKlEMK7pjsa8YjyvSQ650jwJXw5FbT3xvCfqljCsGpLoiQejcBESk
+ni+DyN41S0lolvJlxT3zcoU6a94EWsljZSzsujM0zrcR3QS78IrlAR8QXOMpTbvitgIf8/1ii9p
ryiT4Yo1Ma6Ik3ClncB3gHtyRaBYaFRQ6OCiLFdESsywSRsXvu9LyFga6CtNpRIiB7h+Ba30K3MF
93nymKwcFhbKoCoApm1nsUaerIoczQYzUYewN64oF89dsS7pSnihQHL+XOLFeDH5a62AjLT5m2QZ
WJg4sioVDEvRkj4wXV3j87OiZOorVga5DAM/wh53DKJboGemlULjWSuQRlzhNExfgGqw1kXlFlux
vRb2kqPaYuG3noiVYRU3a6Ac7MBb0DfpFYMjViLOCDTwqHWJwXW8WKImUMC/QGHroXUyZqBErI09
j1lm+il0SkNno7J+SmIAB52O5ccJw/5lWu/ni6HYKuURiAnDrScEiTT6lCYFRYXdZMd6Drt9g3aF
umh3axTXExRTtwX/rku8Am1HnOP8MPPuTJcV9ToWzgWkXNvra7yUS3/wYi16Ih/ZB2KovV+NoJ4y
mDqte/WcJP5irTwSqkuHna0wJS7cPO+TstW4A1jFfepZJE6ihgFzI41ZfmjNbLKvdEzgIKin1SXn
RQpGAHsffJHiALpPv4fKhlApPTZTzMEUZNmXZaBszO0Z8pLBzS8siawPV0YMK+VapuhA/Cx9hqhk
WyNK0RlSA9k0mIVmfxAW6yfXBEJmYjEIXGqDkqBzRHhJU2c6zAiP27gp9Ho7cdG/WC0re7/RdC4H
RFfaestPR/+0aum92GZfbPW29R6rJX9AaMNigfyGAxWGAeIRodPJ6utnou/euUBaxfkgk5+ViOWp
txhidWxvbB5AC1DDkWwt6jZ8zLwZ6H3NoqojJhmr1BjwUW+2gNJNMAGZE6hOYmqNJvmOHQE0XxLL
Zm+NWO4z6mNuNc69mwJv851H8p/CTjZsetW0jxbn/L2KGGHLpmKfNfSZ2ttjLO/tXmbPRqvFvwyH
bq0Ncf9h27vCOy/FhJHQ05MDgzv5DhnhbPFi6yBHUVYMee2kgnos0pvIWsnWhjkuX5FGoi7NiuQR
Eml6BCf64C1wlwJOS4kySID2nee2d4a/j7SPacN+WHSuYnSujArBUC9ObtfO5R319hMdi1X8G8Nw
9NhD03xm1cMWGKesx/6xJUMISvmW+3fzCZHUfqODrAmAAri+l8zFQUpucexKDW1XYsGiMG0YnYeC
QPYlbxZgRaxiL0OjyVtbxQ4NsqkRnqIIqXQhkXv0RJLsIkpzjh03eTg9RtftWO7lj5bTsk8ioMHs
XcfNL526yfhWoE58aq5pUHtOfJPrXIaxKmW9cokTtPZoRuGfdVdeFrcY3kUbIXlLvLTEaBCpvYII
PnSxmCk4BAZnGLKkwd2sbxcsa1SxMDb/ModqzZpw/GbsaNkTuctCFNFtf4bcwFkYlWI3jEo7LWjw
v9h9ED4w2uGpiXgMQe2xsr1Jc+mJjHn2KRKP1G7piegOiU2HGZQ30Kwstt0R+dtjDxiDpwF5izPu
WuM8FGAQ8Sn3+9V1s59lxUmn8WeOiRHRt63gD6ZubLNFp4ivtV3FT7NTL8Sj4cLyOIFsOIcHCjza
x9Fq6FB3Q+e5Tb2B2pqROsuCAh2XEfXsavZtrBug/wdNMgy0XCKd1HYuRPCir/9bm+Ua1vhZ4d9K
QEC0//5vf4Y3AvAs//AP2+ts/dD/aubHX22fd/+ZEFh/5z/7i3/5pyZ0abgCN+H/PKHffNLRxWTe
Nf+Qkfjzz/1pn9T/8Ii663wYqdT6B/uk+IN0wlpZbrnwW3D3/20yF+IPnagYw7opTA9KCp7LP/2T
hvUHmQoL/6QphG0yof9vJnNDt1ZSy9+HJGzpSukYpmm6tg6T5r/5JwWyw9QJbdrOXS2Gg42LiUdz
C9p0ieXvaN0p+x3FzGYwUU+NtnxN5RnXgJ7maAkQ2ZQbaMl25UcBss675Uwmtwe1Tfw0FfZNEpkm
ErQkHthco4L5NTZIg0BeP1hNkrxp0koihEg5Vg9KlHnLhoricLh7Jd7wprRDEch8hAaZxrXngvmz
M3LqAyFVCokEcce/Jm5Zb0MeoTUouocha/ym0ACW8IQd1VdZ7x3VGqgUWayJ257RFr9QPEqLk8JQ
2d3Y1OOFpxQpTWsNbBo4h07Yryw3aCx6r27Da8aT9ZqePRJt/sEuZTb2KLrM5coRRNjHEF13SmK8
3MsED/siB84xv7ymTmlWZDLBXyBTX0UpgVNXK+wdcxah1VlQzeqPQ5qkd0C34Y4A43ixVWteNN2c
WTG07pAf6NYcs1MzwTakQozCgc1qiq03M30c7WZaY7iiMzKSVTrTvEZeAqqdy2JxzfAiG1cXo3Hj
B7rH6/eWGLDVdGvNz5RVfcCC3NqyLms7VB7b3XgyT974agB2hqi5Z/Jzq6OV14SSl2tAmZlcPmYz
a9ab1T4Zgu/opbfBxGHiE5gXbdqNlc3uMORmutxIQLHaKXKMmvLdcZHaoYHw89a4y9jv+zoKhxuY
DLPnW9dAtjsK674E8j36iRu25cXVEYA3g5dDkKmG2jgAZSHqTQd15h11fJ817LWCjDaxmX7YWiRa
DmJyuy4AkCuqbbQI/jfuJfLlLZ1v4W7OsiGnQRJAGjVNngC+7dQ2T7CongjPxFqOY5Ice70m2ou4
giUQNc13BbZsOvGuA3GkX7PxQ0MIJbBWfGrc6P0xgnIYIT86lN7pmjsUSFCYTtJUN79qz+ACGxs9
vpwYCRushCd4xai8q07m2FFIm9RNdukw6T00iXOPtcp+aVscuUxkSjuS5YhP7jjCGUJmqhHtUuOR
NG77sXizTVNNRm2QYAmGS9MVT2EzkJqBMNiJ56SJMIYaPFGV3+v1/JSU5vJdxMVyM1h6M9LQV8UG
ENvIAcLANXPcinKphwNP8uKGqaPpDhNKsAr0dCjeESvVnZc6ugoar6ZAItS9rPI1y5TPMN1rUgyi
gM3p8jjvaDUqrQviWWwFdTSze4SVEhnn3uRM2LRRIW+aGltHgLY+41ZMi+Sj8yoxbZ0Z45NtRFii
jRqhIaiwRwOK1MNXDd7mfnEG2EpTVX5Tcdtzc4kZOEI5vWH2LHzFUsvZG6op3jGf8rmpaVu5A7ZD
b5wsqnOp58MzIGh6PnP6WenJ9SZqmaR5D4JlAg3pmekBQBv9t4mRF5tUH0RxQDCRL0aRted2HqMP
KxOg3peuy8MHWjKc9QZE9H3v0Wm3Q4ePv6Zaw22Dxg7xZdEBzwONVc8J+ZojAUqZbCQNxNoGyBDL
ttCx8+/aYvFgNgvd1YT3l1dgUeVPNVSDB2PbnKJ9zBMHQkNGraeTj+gZQzTexqrSjqEUsBqGqMrH
p3oEkupjIydEGpOubEHLFIqcswjr02DXeb+fZhZKOP/0Og0yk225v7CI1n1LV+3bkM7OHaHMyueC
on0YUeiULy5aD/eMiQ/KxoNMEoRaZVkBhD4cdYU2s3fh0N9bzcjbM35bEk3/6voc4rioUnAPWbPz
+piVMmRPjEdFAX2U9f6a0UrUwZatxWfUMz2OfSpeTiRdPAxJU08KzJAg4AepwkfmHBBAM7LFBq3e
QfC2jGTc5hSUPIAzd+Sm1wXpUdexpHaWi0g/bcpkhkOUcHG+kWa4+NBnoe6lhlls0Yh1e7NgSrkP
kyx6Jqld5sEQTQb1aGbiVYFhYSHaeFaJ0QOM0fjiEYODI02/ME5sfvKgS2tpP8Al1wQ7/7IgHkQ5
Wh3Y8xpjFfQjPyZKsAXibACWQi7YXl3GTBBHsIzrZA+gZltymlGR5yTTOesS/cCbedGgBQFWA7lZ
J/7AfNAeoEE24a5TlnegXjr5tidPvZFmqh60oUuKzaSS5SdbYS7+mLwESglqahXwV3QFV5d0ORql
zLJDa7Gp2SQ0MM94exchN7Q180Nge4f8kBXpfZstMwNCY5qfbKBXVktZ1s8zNIWbSq9HLPjZhKtZ
ZhytXk/og5aXqLidqBt6NJHaXkem7FM2E23a6Ro4uLTQXRBNbt8ON5m3zM94DVxYzykIBGJEjaoP
k927v5xRzgfMEgZd2DHyDaspiEbVko203Y9gqUlJOu7GwAEe3kmWBvNB9qzl7mfXJkatjU58AyHF
ewc1bD2kQjurq9PdwfNOpRAB9KsPPlwt8SaHXBBebfIJBhtMGV/paqFPVjO9uPrqiQfgsY/E4r51
q/EekE6IGxczPiQkfPnw3bKjDg15wxmzxsNx8c8yheE59mkUzE2R+sOEqqKp0jkZytHFflgzAcWa
DqCDFNABZOPE5+4fQ99YgwRYCoXvKAusixMuJ00tYbPR1/SBvAYR4jWTYK/pBLuKl8NU6D1YNey5
m7geQd7Byi72aVQh2ZHh6fZdHI1n7Rp/0O2x20JJJxQBEda5HdakBHyI6FuOdvwet/Ozdg1UiGu4
wllzFsmauCiu4QvbWXWlhrMIbIC5iOFIaar9hbsT87BR5kI7DYQ5jDXVQZrUfZBiKTaYx4zn3MYk
QuNCW92aqRp+E2UiHhI5a1TE7mJiI/E1QmKJJQPPRpXDlvALIZNKZtNXJEiejJJGj9eKW1Gytyuj
+laWqTcPFEcRWREpoaSTvEZZEs/gxxhF1Gtg4SDtYuLrUIw3awgmvAZiNMY5WC7XoExZmsOTusZn
kkyD8nEN1VTTGrAxidoMbZ1VJwvHCOZJb5wfCMDBSmL/c2N0U3LAAExgJ54aNkXXFM810OPImHDP
qi1iNnPt7j5Zmpg1CpfIMtUSiOejeaeDgAYp1o3VtptoqmAnl2+J7EQ8y5lBvps1Z0SVBZhjZxSB
Q0AJoCmZJE0riSeB1nKJNZW5XX7O1wgTB633TGWf/O4HZdabSDblXU8j62s/wflJr2Eok50H3a+V
k/uQW6Gu6tJ4tZnVbtvOAredDxFGiKvyY11VIH0VhKa5rpVvZlRE84DMAx5ZaEcw+cy3Lmw/BYow
W8UhR2GKRFb/Jlug3oyrAoVNAzXKCsld+loyl68q6qPn8apcuba7dkvr1hNI1lXaohBQ/MDrpXzv
qn11klWXXAUxA2VsYib/NKbF9ntUs3SVzzRhcvJ3V1UNqycKm35V27Kr8lZAik1vk6si513VOe2q
1ImraodmVziceauax70ZZS9ZRb7WUeZ07lfpr72qgMkqCCZXbVBIHuUx2ajHZm6jR977y2EZQNyA
4+YxH5RL398nbiJ9rzXrs563JutOpoIEXVJeFcp65ZLEjZtaxzYFzvTGJT/GwybofdsUdcNEuJi6
cVObqr+X44RemQJfposT5008nfTCq7Zsg+h6aAcw7WOidmguWYj26TTexowtiwpbr3sctXDZR9jc
ftT8bI+4RZrMp/o1q6AOexolv4VMkq1ux4S4yAVr72Tae+2EpwZWI2tP52U0B9KieKANtp3NAOAu
dx2cGDxobyO5Xs4oMMjoDPK86SmZWYXuKqwCvITW8s5+Z/wQfBd2kJJiMXyXn3cdSGoB99Jspg96
hkBdJQZtOFCF9WcGXE7YdGFHjFs0PoVmNf0qQjXv7NnJj40B8uQweFQScWlwwxPeSkpuqppNs8F1
JmDIwIEQLx62kCUjKzGJFRMqSimFD+9iW+QK6oTHK9YBkzSzdMuH2VA4MbLhi4+vfWmzHCxeDHE7
Yewoo0OIr7EOhjjfjTpdtRvwRsWd0BmGtiFMauPUenFo77gR62YQJVrKrYrrje1zyV32HumvD6vj
AeYvXc/9FaOEXPl0xJm5KHn2/NJQLCBJ1pqYhhKK1r4H1VjHIe6N92IqCTPHVnPIao75RZjgxFj+
cdZkHRGKEu5rYbkRpnP8eqVPOIc9HJmt9kNqKryLHIIcttHERIBc0hcRbGfKJP+DuvPYkR1Js/Sr
NGrPApUZyUXPwrUKD63uhoh7I5JaGI366edjZFZOVmG6gV70oAdIJJBAhnJ3mv3inO+kOePDpq30
SVU25BAdhBKcTFTKLXoGpCvdEAGI6THI2GsWPOOtX/sArqM2CT4TQsAfEWg8x4vfj4glCdKqxIBT
1LO3g36DkyQz/dOEPBNlOkmUNaqRO69HD1I3UjaocUVO/HPS6Ydm2RA6TecteuJE/0pblCg7lpdt
c/DacrH4xO1n3c79LbhWxH+FbSLNE2wKuaTxWX247WBuct4HEipcPJExRjeqUXkBlSnv0RSSzheH
ww0mgXPkBczTc8FcCn1+f8hc+Uuj7rnLZOQBgCpBncZ0SbYyCZRghTT00nnFt/nJxw0+23eQkEw+
8z4pjmzVik2eMD8sUipkQLJXtzDqUyE0v1Bf1Xc+1/AuaZvoBzVFgSwqmeSjm32YjNS3qIkXSVgJ
g3pCLUt0njhmpVk/hnVr7hsfTBUH56aqtLO3ktL7RO1pHUKzgTtfZ4e59KGkyS5LNzVhyLuUHMbH
xrImTAi++RNvVnkGqzJ8gFUB8xJmUJ6CdjLZpWaVjLYcksOvGYTBAI/XUiAZhX9qM0XRRbJDmq97
0oU/RCb9aTtLJS4Ty7ZDNVLTZ9Lx9rD9hwOmR9r9vs7uBt+ZrqScseYShN9chrGnKvSHdv6aUo1g
OaOCRJBd+E+TkPIy2eykpC5demKSiwA4mBubSv4rN8Zm3+BcXy6TNxXAzCVzT3Q3WnKItoCx03UN
GCLcF1UQHVpr2hN9lO3LNh5XllMz/Mhk3T5T7ioGFJOu1+N3zzHW0UaBiv/Nd+IA6BYGHuBc87uF
U/OhrCATr5DS6LXClYqsxeysdSI4Lpnc7EWVHwc7qvdxbsnbLnMt/qDRN9a2qEqKHaNAUNvB7om8
VmC/oz/tPFe9DY2J3XSCR2cKTzzkgdseFC6s+9yEazWSv03aLh4clTvmG7rCeoNer7lC+rG26HLs
HU4Yi5X2QFoiHlUqGnEXq8Ub4CXJCcUUFv2pOzijd4VtNawxGLrnSdjWTtjBDI3JIUgZOwI9cg+k
REfGtucy3knWE2uwrsWFgyplb9r6rwisFtRCo9SajFL0oVb0BEIWF0Ri9uOTlKPeDbpC3aeCTtzi
ifRhMKZyuhlyco45ccm2dsp8N7WROs1zVNvn0Urrdss0DfJdrN8NjBVPQqoW76ua9fPcB1R7UeYQ
npqae1TqJu/qTO4lm4V1U0bt1kNFHZ1Q9eZbc4iHTS+EqPfunHk/xzL/gPWYrMfKYl7QzsUXdoZw
z/lQPQBFQQeWhMY1dxAAuyHOypSLFTlzibg6rqv9Ehq2TvMRC0zuXWsRFhaE6J5QvYDNNofzIJIz
0ODy6JmN/2W2zp0RUnZr3DkUZOF0J92J5CuQCGsLAxZLjZ75kVHt4zFtj3KcmU1N1SxfpF2Id5Gh
yNExN0nUJWdPtaTn0m+A4qKwhVIppp9zkjvPIGfN34amM+gHAnGHkWufSjG319oAInUT99Bd+F4k
gs75LyUsW2+Ry40HSu+JCOC0uMu0sA9gKdW2Qao63ZtZCIJxghLut1a4miYdU0mhtLcphz10dVma
gLvyaVruTYdV/koAmiFY7v/txuCvC4P/tf+qrh/Fl/7eG/y5R/h9c/Dnf/7PWCvYPE3/qfDnrivT
D9Yvvy8pjp///rc/vuRPrQ+TD2Q5tgOEXX7vDf7U+vg+siDfl0uGJHj6PzcKCHrYNSDz8XxhCbmw
Gv4BZAj+TtikZfKFwpNSmvZ/ZaGAGehf9gmmJyTMJzuwXcE/7hJv+RfJz2L3kzhwyn3X9frQWFlH
orKk9/Cd8A7vvD4Pypw2OSU8fiOqfVGU0bEhMO4MC8lad0L4L345ic+gITtYAW3dwabARjOkRDlk
ZUxgOZG8DWc+HR7WwWicP9i/Yg5INk5HIyfH4myQKgsOCEKTV6F5b4KE6GfdrPs5ebEr9xOBHox0
UZwyXau9XeTWQj3GZK3qzlszZUy2SepZz7lIkFeQ956fnNktie6d5tvS8opfXbYMhH0JnSCxl7RH
d7gFaWLsbNegY6txqrygNhDsvoEAu8BymJKG2Q9RdAB5Zn5qyGQD2W2yCPlNh/ZZVdGri37iaJSV
s/EIGdwQxHOP7IUJAwkkp9SaiuPQ+ONtZ/g+6h9BK6Z1BSw2Yzx2FyNxOBiZLM9VNHRQ7rUA3FPa
DAPa1H4GosmJPlKYp0501TH0Qjvsqz3qmzubDOPnNjCjL5UnzVsiB/eeVGfwfKYf0MEoZz02iEQK
GSaPfVrYbHanl5Qy7i5mAvYIEk8cufO6c1uEyaWP/fJlAIHPdUFS8KgJcuGjseY+ST/A0STXOPbp
dlViWdSLtFyPbpAWV68GeO7ig+K07Na6k+pNUhqtDXeqf8kZWQw5WOTiBONrDGU6i8WpQ8m1TWrL
uu8pNLcJdNi71BuCN1eO9QUEqHt2qIZYxM75p0uSGrrohvoU+b64TrAJrsy4fY0TLBC/atEpHBYR
9dxIgCbY5uFUmG54HbCREprExqG1fIvRmWHfqMn7CpuzZb85KT/ZBG32qFGTnnJB9scclp5Y2SnS
D2B3xClRDZYzCW1FcYe0NyPoftb7wJinZ5v8a6wAdCmRW9En63m65lNAPI3ZmxRHqt9EFApraAXD
prN4g/Au28FNAQ2V5Meq1gczDlGml8ARc0P+1uHsubYwA7fKVsEO8e+I8swejy3LwasMvGdwGWoT
YFLYJYnn7/TUeE9BZvS7Oi+4SGNDraQGzboWcJHxnkbWNm1Qtal5QsBaGshcpo5h/8T0X3aVuXXn
hPhTpog3haymgw3ad5+nJhngMwNkqrjCKVme+3N9E/pEeorUX4tWrhYP434GC1kXatWkQLn7CeG7
Xf0U8bS32EKdI4GBo+7M7L4mXWdXLz6DTLOooVHc0c7IvR0m5dm3Tf89IxO7R/9e9vdWooYHWdbv
rix+lmBUxawvYL9+kfop7+Yw8w+10bi7BsIxh8/yHYvGd9aDNQAoox7U7oOP5gXKe9NuFEO5xygA
kAZ4keyfhOnumGCPFNUV9ui4la1drq1OwmyVdfcaf+dEAVejN5PmrYcweV1NpXU2U0balPHutmtr
76v1s3AHQNi5aTqHh8n0rG0IG+HR8Wxe1ZFO1Z2Cca25wdltVvOOz3G59S2SxWmN6/GVDFb/6Hgp
UqlM6x0dUXUaWc0uimm976t0OqKhQM5saS2Peo7mfdiF850fzWIXeeglQ4d+ZyLSAkAs7/ZEIOda
wClAlhm3+yxQ1CWhV63qqXP3dseme+VKdlmptWDpsmpiXUU7X2Cmw8xZha9I7Oc1YmRcm8HQn0w1
liesLv6BPVv5E2V8S2dlm2soxuYDDzlFTBJjZoRUJangoPs/y6TyoKmwk9lm5diRlAvU60rNCmY0
Tnxnl/YptFt8E59jUDw7g1Lbekr2BmgrvBb6kLuVt+HCEG99adyDKL9ONOBhiAYTSsW66ScY3qhC
0jcoPDOjAD/FJ4g6papSMJVNHrCwWVozp4k1A42O57+dxJpkgmTflgJllZdvM7PL0b4hSQSFCkXZ
u3Qp/H7I/HAhHPecziAu3cB/LOce/13F3U095baPuNiSTdENn5nvZIehiqxNyA40LpP71CHDNUtZ
oM5L35do0921xKrt0VHWe0dwggsm1wjNKOiJNuu/cNLcx733nNLrMH3nGyDXqqe3OuXYWEVhkYpD
L+Gba9xgaxMNos7DBouZRuQIVfwHay/xYEr8vXz3de73ZLZH723GqZ8nT47jXaH4bisDDxeIwmKr
W8NkT056czzq+IK+Kz2xMXSPCEzUOuQvfxVF4LxrJx02ifKzI7fEoWzD+pFAtmY/qY5+1+p7Iv6K
uKzf2IJFZyWn9tYrpvpcGV77RWw1gnVYIVyDZE7lWVHutJDBxpvRjGmJKR7/xVaa3Vtng3ZPi3M3
pPPVKqKbqoltrll0bgSWtSgEVFKxp0o5VAHKMUfHtjo4+oIbneUhOyQ7bnHzpA7EoXRP54yWUKUM
TXFnkE8xt8cGnQGM+prkE7pK/q8vDICB2DE/41XMtd08OqivLjV7i9GBFO1NIXM3LKpDKOyzwMBT
7vshaSVd/NB+zFxDXymLDzp2M8d0GNOQTAQ3cL2hLXjCyYPXwAwcY4NZBrXpkCfqfurNdjPVorkx
KNw3ol1sbTjxzReOnnSj6nDca1UiP7anYW/aJRLYZdTTYRFcg6KVjwaoRkbP01yANKQR2zixfqpZ
qY5a+be+geJuhebphR0tkQsVJUpk1l95PY5PdcGU2MDBsuvIXEaP6RTBve9WL6PX31UljNeyjK9I
fndsb4AVON2b1TbPDaJQULOZc2+JoNqVQTntuPaCmxJCfrKdzNx7S2FLryrKikhkv9LY3eN8P8wa
jkriHYZ26DYDI/9oM7sFqm8ibsBaMBvMQYhXqQAAZaoDc4E7loIPmRn/4kJ7GZr+Uwt3v7hAr7ha
1S6y3GAt05rPLiQc7l2qsDBGLCC9TSrn6abWrrkOoSpunMlV11DEu1yEUcyy09ObIHa7KwO7eeXV
ikmVodN6k+Jze+L49S/Tt8SqXdRWlPBAhyyqTje+EguTnHHvGBu0c86BXte8p4qbHqs0n3duP4g7
y2c1UqSfbkQBW4xuB9keTrzKuxsJDuFkxGyHtRAM2MiP3izoxFNIriTiBms8OEip17A5PkiZqbHf
5/ll8Jd09FBJkFwV1CxNUHk1x+KiB1LXKL/Vyfd6+4B2mYY6TM+FMap3RMregjjzkacygV1lk8Eu
u20xGim/vg1CC8VLWn34ObGTImhQtXL7sJqSR8U4a61V+6Zk88GeWmwSG1vUVCCRbDGPh6ZlvIqk
8N+IdDa2CUv859JtNoWso463I2FNxkv3hceq2FJRynuQ4WRQpqUp2Is25NaoLD+0Sh1oLeQBrYTk
RS2iC1wk5ok+lxQb743Tlt1rHbfqglexeSd0z9pkQkFRwnRocPAsFJkhw4MfEvhN08CcnGzbNRtd
Yyc9Nq8zc6t93XfhcznF6p5lm79RMRtnp6mdK6wrOOZWPjxUdl6+NlGDbRcxyCK3mR6Y/ZirPmnz
z6qwvL1KZPlbQMrRfiR6Z+0rKujaS90L8WDwm2aDtFNsVnC3+jnFnjr49pkMh+QxiqjysK+p5AXE
HFcGMuON3YXR1cpNcx85hXm1cJtuMAQ6uOu0PoZzYR1gsUY/SncGF2J79ga3bvHpqi64YoIWL5Nl
MUdoB0JknE6/swmKHkhlzx8rogNOg+8vGgUr6Xnpbbmu6QS2PDHpWuvlci3je526u7kRMQWbxm8Z
hwyq9ThcPThyazmo8upqDMMF863tHIZfQzlAvUbeKXdlPlG6jU64y2bpv1tj45yjsnAeBlT227G1
1DnSqaT+lOIwtQJFsuB6m4G7f9UtCrCABvAYT351K6MkuaKJTw7giCjI3VKdKmww3BpusIOj5ltr
O7nLjKHcIus2tz5LwFNiWIQdwFa52nNzS2SMvayJ0Mx6LWrZmVX7qraDY+uR/iCGJvuNP1Rtw6D2
ztgn0HjmLUgMppm/iXD+1ZKJRQgpLNUadubGapjM8VMY6BMTQsVYhucwjq4k/lE5WsGNDcx0Q2ZG
v8aVmbyyF5g2w5y/Vz5BFCyKvZu6gw8j5nRH6iIhvrYezkuTj4e//MKRtgcVheC3DaZt2MTBpoay
8RLHtkHEGoKuTcwzx5wZ4R7TMjLPusZCf1aROG3b5XNEAR/Sy/UvkSnkylDmI3kT4c4Nd/4Q7q1M
Zaew6O9Tcpy9aOBwmSjJTXOHRme6YkBVuzYCOQFt9DZ19U8+niNm+YJIGCbpi84dp2QLr2MIpLtv
ZsspESAtM16HD2oeotpvIMtjv32fyZOPOD+3OcTJpTZIdpUyGEXWhr2lzwsPTK3yTeYmzX1f5wmW
Rq0OvQ7mrSEWUbvQ6cnq8beqvvBvu3ly9yTAMKcU0U3vOTBRqUajUzJ2bBxw8gMRyVKAjdDUNUyT
wH7F/bAeXeKsVb5QYas8Wle1ka0pfA9xdcl81Ald1A+XgqMQRZkx9o9apOU78Rs8PA7+jF9NWM7G
Kow9UE1mrEZzTUb3fdFYxsPoiqItjo3bs3RH3oeWkjce+lNWXglQtn5wAzYM8Jh0z3HDL05ON1ld
CVnWeLyDt86ZwxcbMdRW9fQtqzbB3bwqynE6Aq6y9jB12j3Ld/nQlGN2mljSHQXpFcTXue6+6+3m
l2xSZDm4bpP3qgraX2NRAEWqax7GnsOTlyY4h8qqji2/5AFa8LTqJVj4pFqSjqHuvNFLDy99lxSP
+CHda+bZTDKtsppX0mxuHd7Teyww/DLsRV8ie/iq85SsWmLgTrHZW7dYeCC/jWGwdh2nZ24gcADo
0rBuuW2tbeFie6b6IItgMi4Qr4CbIT3YeRQWq8BSxipnh8ciC0EqZTqkgKtZB96jl4/GFtEnu2OW
TDdmYW7tBq26GQlOrD5KDohtMgBPUDmCtnoCjvuBsvNmnhJjlQ7JJ5HH6dFTzU3RN84aTxkh4s74
qml+WNog3LKmG1BaP3BuGScsx/H9f8vc8/+niaZnu//pRPPhI/3QbfxR/tNQ8/ev+mOoCfvdk0Dh
+SxAVPGYT/4+05TB312fTlcKxMnfWuX/M9M0/25ZkGTZ4SOWBjPPuPMfQ03n74glUEEJxwE2bwrx
Xxlq+vJfRdIW3j4MlD5EecySCKX/eaiJyGk0SqPVO7OQRb43wsWJbecCQb0OKnlEKoAWV4/opvfB
t4dbkahbborF2q0b0m5ZVEb+2e4zZzc4o3ORkFaSNZ0OvnAP6THhad9+8bQr7O4S4CLvvv3kmfKG
do/0iklc3yN9IxcTAgfg6/CmawYk0UlRymMc6JqMpq4o6r0kY+Z9TkbyNyxsE9EWviQVIOhAxH9m
GUYXsoDkT0epbssGdNiPfeDfzZk13ygEHFv2thm7paza1qrLHnqSv3/1tmkgKlmc9mYeyp9F1pZv
dheR/oSDGkd+IdiLw7bHqN+bXvqa+wUSVIUADwbZAKdn7/XF+KhNfA8sOPH6m4vtf5rYRtaoy94d
3x0x1LPxhOGlibYufucGfDMEIKYiks6/2QLymzPQY5cl3KKxML1EpVPfcvAqDhSrC97rb1YB3EyW
kck3w2DI1KK4dFmm4XUV7z58QYgKQ2yR5xbwnGvt5JDvv+kIBksu5+z3QO32ugR8cMQRh1p0qSu7
rmXogJBY8wdwXkEFGptip9Iy/em0XXaZcYLeMZ9zP2PLGp9ZjSHPhu4AwGEYVXmqUbhV+NgGsjzz
oX4pdAkw5Jv7UAhA+BiUFBI3k2yhl/gbEqFqqLBqDpIFaORWD5aMUrXlNxhf+qHN78paxfeZpdNm
F8IOIY8ZFoWzUCnS3wkVgGg8n3V6B7rCXygWjJ365iStwTLW5DICuuiMeLIPBgnGH0IvKIzgG4th
eWhTVoI5PO8ZjIAVA2FEGaqHUUOMx1SvKA4BedRcGuEKFDgDzOAbxPHN5CCUfnxPZetfgLEAFkq+
+R39N8sDl6IdUgrJgSFTgw55j2ttAX4M9Nzb9hsEYpLwAhg26C70Y/YywfGfs1TTDZCA13P+axK6
g76Y78AxOjk+PlWtkDc5h2Thj1jsMc9jDwRmn+PdJ5yIaNx3VI3Z2fMWgIlVNfIX23VvY30DTpi/
tacknCTYynEJpUJDvoWQI9+DKIW8UlgYBdZVZ0Droz0IAN3UNrwhZTdH3xnbdMfQoduZFQQKoPkG
BBb6/OgB6SkCSxWnwZuJOOc1RTPzU/a+iyGoR81uLliXdAG8uJX/2vVIM9ZkAdE7tZb74QlUwrcR
xD3JjGqhxQQLOEZhUZ6IhencU9O7C1Eip2/b0aJ0b6KK9c84jegp828iTfNNp7GzuXMO2WRDrYmk
yU8OzR4kSSipb8/E00O5gdiABCAm96NfjyDx2bv/TsX5JuQgloF1P4+utbFrG4ZO4FuIlMDy8phT
50w4QdCAI2PkA/tRuUaCMnLh8dgLmoeZj0UOL7iekiecHpr95y8UINUVJaHYjybBrHHQSZbNC/yn
QYlx638TgVB4QQeKKDV/GHPpQHV1F0RtFVx8wM/PfKJQDxSAbMNv3hCXyfSedVN+VZEPj6hBre2x
xInsvbDaMmBf3v9KG3fc4w1V62kBG5XfjKMutTral3ZhHxEhPD9y2IjiKQvIMPRTw78iPQSZJKkf
Tjqqszf4ZqyXCHv0EI7lhfGqFuYSpAqTGTzzfQgbNVAmSmPYEDzfF9O0q8/WUQHN9TfOCcxq5r+4
35in7hv5xOJs8vbuNwoKfwpZZeC/HfumWWhR3sKN8r8RUtaApLFYfKvuN2JKf9OmwE5FLfwpZyFR
tXbdfeQLnapbOFX2Qqxi0W084uoDYzWgEOgXyAwaGsSm9hbif/8hAnKND8lCwmIjABQLo0vPxqOF
lLUws1pyE+qthaR0a9VOVR6asHWTR9MtRsH/GyYvTBtmEqFjP98FXPfHbLRBdKHHof4kTsH6ZI7p
3UK8dH4YRl/c2ThysSyP3UsOKCy5K2KWSPzy1HRwRYfyR7owwlA2js66W8hhsImQTye4MLeYEJiO
930+eE/RQhwDUmMXG1EAGBe/I8k0PPh1mBJA7LKdaQFGh4IdQeUVW6SgiP5FP/mK9UB4131jz7wE
IfDGbz1OLXcho+mFkTY4WYiakKbILoJ87S4sNSz145lQCfsQdX38BOAVh4Hl99t64bCFWdu964mR
yyoqFiYqlgPa/uU5NLBBeyV9f+Pcwqt56ABbYlFXr1UEaRWaIWaAtEVOl4jwnCCJwgur3c8xTs1j
BDwGrQkCzLavp407JXh7aV9D5X3BSv3ZRq6BSIjkkwWRwDCakTWJDRheX9uMhmtb4VvH7S80xGK2
oYNzhOnArJeRV1ofBxc8OildFfxex5CC5VM+OQo1S97Nu7HxwQSNsf9ZVapC1W611ktc+8a8qs02
EYcBRsx4nfn4fIYE7FbroafUcWNQUEsrV2ECISRsDsz0AKbP2No9/IcuZvTcja2/gZXApC13kvRY
AaHdxtiKHzIB2E30IUJTRCK/Cj+xf/OTsH3PfUdvxnnSPw1F7DWjBTfZDGZakQssQnn12KxgziTQ
mS1CjrrcbPDTXKa0MoxnF8SrQtjRJ9XazzpVbmyV9PNVAcyztwUfmGhT1FC+tlHYOtYWa/p4rBPD
uSoALgnmXWJUt2R/EkEG/iA9BrOjv3wVskiSOTJw16/zY1FgZVhzIvTI4UbTv51n4FyYqJrgZpjr
4GJC+p9YK3bxz6LWDuLixkBv0sftz9pugXbjg5l+mJD20g1g3iUZzPARLHakaHl7mqmCTFGzow4l
wBXWxiQI+8x4lW9we9lwATPHW9Rx8pQVsAlru6K9rYDjvFBEAQbOCGT6pdXUvHVkiZ9yFIQkhto+
qh8upfEaNQHr0px9vLH2LBFa+CGs9LbzUIWsHCla6KdGPG+srG3khRasQE9l+cgGOeyAvzXL7UeD
DnQQWzGne47hCFpwYq9HxAwoFtEfDhicXxykZN5a+El19CEGv6WD6tID6hN13yPdQ+4f2c207RK+
5YX90ER4gxVGN2OqYYk6CNU+WA+oe7su5EOoGwy/oS1bNiAEITKV6Ww+J7gn+JudvDN3vU43DfOP
TQ9EfVgZFKb3IhLDuQsXdhDW5HmJnpnFC0HjAF2jKoaMlpjQrrd+THryayTS6stuCkT9WTtxXESY
+GCKoAMGD9m1+QeFQvhAdNMUXXwYhGT3KULMeGwC1ihYvAEVMMlhtMIBPYGOTuP2JQtdi4UXd/Rt
R9z0uex6HG2woL+KTlgPQ0Z+3caqg/w+nkfjGX1i8GL3I9KzPgi+OiI6nyfDH86+EMb7RJYMKxmV
zvdDlXbvnL+UC65qbXddkJ4JuMzFuDHgyTiagHBfq2RCtt1xx7wiPwFnjZIS5WWUm2m2r5jHox8K
SJtdR2Tb5FTKJnsfk72bTx5BGTYH9g3FSXo9Qtqqj50jAasy3ymTwRcjCW438HWxmvYhS7LkNLcy
O4vOndSxcxfwU5Lmyth0ARyQnp3CL90wmFw8FFAfNL3Ui5tOMbzJeBgba2/G0MHXfHqBAiSQs0A0
go5MdwLJV084MMn3xgfufe8wQaxbDDBzLsiYKLF+jGtcoPW8QWRT+W+sCSz/QYD5Yy3PJw0DG+FD
Aqda2H0QarjSEz6x3dDC3yN0yttGMLaN/Vi68ujwPPHBnMnPviBZJWOwc9zeWQgOFKwOJPIVEpwn
zGZqPmXhhE8soCa4yzvc5mgUIZDbF8I5CBaI2ernW7wB3dY20XU7a6foezqVvBQNa7AyVkrdxHNF
eQQZHcucbdWFe21J9wtPAqN6fOsPXieJtg3D4ZBq1gTQNsp7QnyUcfHBGNRo+Uhy2gck/jo7Pc5x
cmSlmACGjOqmOIgmZM0PVXnSP4oZWW2A3J1Y8akT4Q/UscTYe2NkeRRJrRMSU5EMNlLkXgMZtEGq
JWvLnrD2ozC2zR+O7HW7btqGPCQV1gsMS0zBhetbDYfMt7qTOxUW3EuhsXgQo7xvI0azlIFyfIxL
aKLHKSHdYRczgPdXJZr79KZyvcFbM/OuQIZntt5hPOmNTRsNcj8VTgBxpkETs6tTn7uL6FsvPJWq
m5QN444sxxU3AxxcYotz/T5mlNu1GqfiJsd47cFtiwVuFTm0fn0qTeIWDiGS5wn4SOHFL1xSUh8B
I5eUOeYAAGEAeQLBK9F98QzLzU1/WjzD1X3UtdOmlPViyFEhaD5Ty/4uVUHwnlLcwXecUAGAEXI9
bBZNMs0HK2Izc44NNgRbPxSey57AA5qAqQKDmt8Y56TI3oOURclKWVBS44zAs8IN6x+GMzIwzs35
LsWNkKKx7iBcZoQ35sGQ26vZ6YEnjrKON0kIqNFuYU7wiTLC3xDcGPbR8lI6I0YM+NXaPJ5+TVHj
OEc9WKwZ0M4gEVeQaTsLxF4nI2dxtaFJ6h1luMRu5Q9dpDmbSIvNztHIE0vVEqI0CX10vuvIiPqf
2vO7JanEx25XyQbHxUQrnB8S3aCS1/0UvejIiXg//GUnkicRw0Tp5PYNArE+2vDVJmP2sjeNjUqr
ADtwEY9EtjTmuB8hv3wqjn4kjQiXn5HS0zFlad18FIYsjzDajHUuvfDi1blerO2zJUlnEXiO5kI4
tyKPnAd2xe6eVL7imLJZnYlQ4eWQMObPfC7bJ1754OAGEdSJtvKsagsm51ib5fgRaTN6maakfZ1U
1KZ7uJb2qXcsD/teMKFu8638PYJeWa8zzGTm2qsss0BXLmpcFWCz82vQdYh1SC4pgp3BH4Y9JgvO
PstJLH3A7RFo+zCAmP+3AREIoVSbluQRLOcYKPvNQE4MJ7YK5Pa/ZW75H6Zk/g8kPDi2XFBl/zHh
4emjSPJ/u358dn+dXP7xZX8CHhymjCAPsdsGPjCgf4wuPfl3dJVw1SQzyD+GmmWFnf/f/2Y5f3cD
oC9I3wLp2b5g4PjH6NInH0vYfBVUBojYAViIfyAu7n7nNiBjRfsafVV//Pe/ET18R3JCq//9byDc
/onuAJfB9gP+JfhptmkDkvirGrPBAdXJEY8Fx/qdxYJnlRnqR+E6EXlYLaTy7ORy+h86TW7SX16p
/8uPls7yzf+KlvDhXUiBENQB18Jf9C/0NwZLZjrwmG2t3CAjYMksMFoyDRuYN6tFnMbMIrUvHJkx
AAAzgfBumb84aiNyhEF0b+PWBSYVkDF17QUbELKoxZkOn8QWkTgn1fDsJ40ObiBNsQltpr46hPAI
JnwRuNGb2run7BbZTU3DsFZSPjlMNtYei6wraRtEFsxc+bduxU5100l9Q+maJWAYUWqJdt4tNsWW
1at2rh4W3Cc0BtQuNeEj983EfW372njyZheNJcHFt4MDjtjzHPeGnSMjM8OYntNEscXxCCchhgVI
Vi67PUeKOAfMCPaLjeQ4u0zFEVcaBqUxiQPZwfUAuXpCSb1pjKRDD4oPwzkr6jjE7p4T7sGuMZ/C
SAUkg5XoDwR1KSRtu7YfGN1E9VqzIuIEN3jVtDMdpj7VlxZxF92Ziot7lKc9RqrJfGeSoumKhFFO
azJ/+FKWQcMbKSBxBrZgKB5LR792yhCESyAkDez27JfuOcDAcYjSRh/6xkeTrowfsjODG7NzR6BA
HRFLeac7e5VlKQJ3CcGnhU0zjteO4RBvVpade38kb4sg1L2NE7Jbp8qvLiV76yNCViYYfTw8RU6V
7um0ScZq6D41kUTbuePt1lZmfpB7bm6R+OkQe3ox7jMjuC0w3V+Yrke7DPPcjWNQtNqeKHGicH97
hvYPFjDkbcCTIzZj21mXKRnieg0EF1JVOoQ1EkOEGXlTzPjUyZTB3EA8lmFjvcfEupFtp18JC/df
vSwzb+q05jMdibNvKeS4y+e8jZJ8TVXu3jhTEzz1OKFXcdG1GywTeusAlGdAEdTM4RQ+Fd5B/eQh
Ag1AOTXZox/pwMLbAD+GIJTAQOcDssEij4k660fqd461q8mWIfedtC21yTQGpG1sDSLbufNcMDQZ
bKJGiySZr37pOT9LOFAPJGtShXhpm++nEvXJ4ITeF0FmzaM36OB5GWqj5os74wfo1/GSdIX75KBd
tDZj9b/ZO5PdypE0S79Ko/cMkMZ50Zs7D7oarmbfEJLLRRpn0ozj09dHr+iEZ3ZVN2rTQAOdi0BG
RiglvyLN/uGc74yNf+skMEK25dhXLW24Gw07yzCavQfGGPYJbueYC6ohCkln8fBZTyOC0J7F603a
Wq31IwgUVEDfndYhUEocuLOXfqqxze+hX7Elj7v8SUnhEt/RHFXJJAELwve8VNt4ZAYcdTZZZ5Vf
f8lRpYcpduUFrEtyxLqGQiuqmbHHjd0jb4UFYrqSK7UbLf3sDSL8mUZ2dDQqb94YLiVAqQYiJ2JV
uIfMbNJmIxFHXmascdsJCPurHeUsqLvBQrwzux/R3Jc7Un7kt/Asi/yJoYRn3QcIJ0Lro4hn797q
yGuKkoiPcAzUM31ctc97Zd7oMS7ektRtXsDX288+qYnHRDH3rrnCow3wRlwkXZcN+1qpnLV5CRRs
TRy21f5khlfG58RuYdgVaR44zwJBC1QzvvKtnUkhoxX6jiKbwAJnMgnftfDJzwdMljMuWJlOWxAs
0L8TJg4hFW2wSbuWXXVsEtbKKHDyoIgYIcCvtJcfPGnjtCojQPHrkXguc2OAV9/iEkTnkCDsJHyk
HgAVE4tbYHpp/PBG11Nxmm2QvbvGyWhTAkMEpGEF1g/XcEMmanN/bEw/elU2NvBNavQD8PBykMYW
wSOvTU+4/Qc185LjhFz0TBbL8NKlpfaPEV1FRJWXzQ8kpC25ZHA1thF0nI8yHetbjTRTnPBNhdve
mN6nwSjFhuyVaF/2ufFYdnb9C91uj+q1SraDL/pua3YdYiBUxhrl8lSUbzz8iIORUbJ+Z+BB4APp
ROyOOrdhXNpg+kP06DcLYls3wJWdobbex7q3l7FBZoFrNEtnBfdcvxslouGtjy36lXwI862RuPnN
ZhY/ZacF4QFzuAn13O5wdau7gQn7lwJYd4tANkxRdpL2hrJ7hkyRz1G1n2L6tjX/mjwzQWaUFte+
/YRO12Ms4fDSrypHNzS2LT9Akc3ZIqacmTYOFjR3SAoEFK4yldVI0DuH84IIIJnvq2wi5pgYiK5Y
A5max13AfMPYI9wOjJVY7p0AWfMLV08EtoABXLeuxr5+zqSezxnSgh2/MkTaaaCJysvHG2SHXHjM
xsMVplh9AlNCJEqeLCk6RVWU95TkHX4/Xgd0Fj7iVKxrEJnBO4aFbxOBQ0YKpToCeABQN8XUMrxg
+HIuwmbYJxkTnxV72RRqoedg5w9rO7kaVmh5DPtmBQ6mH8zlRUfFOOtWbGMzDL7IeuO57SZC5oCm
huq7xSLP+A31IBpYEKtU61RCIVOvN/QIzoZwJP1gZNXe1t54nwxWeIU1Eb9Y2gW7ugQrw7FlPVYn
ghlIWbjrhHjvG5XEyZ3yFa+t8AznOQcE8bMHTMQ7I1sfekQ84UZcqAlrML7mysYYeQnm5Aaz15aR
BRdy1+CBNquaCkIkT/1IGBqMfr44cZrsVgDaZK2Y27cOxlJyhJB3X0eNWZqBoHlOIlyZRVHAf6YD
ow9ekX6NBgoQqDTjckMB+xM/t7uhhbmDw2GuisUH7aQ1348v9HZ9VPgnNMbVfs48sS7qmhDE2h6W
BUYZ3APlQYvhKUApm0wQeEPnVldnPPtEaocOmpiKh4o6iELou8B0e4vTEixjIKF9eCL1mELaEmAS
s1YzPoqkQE8lMgezt+raX6wdAr13Aql/dgFpQrtCL8CUvq3rAyJF8yaDXIO7kTC+ep2SsuBytLqI
XEOk+8NxMRgtSJaZai37nabNMAkyj567NTwL4rb92OU+rJcUbr3kceNByrcg/Gjxl1LFW2lvyXUw
g8CR27QxvZ/kI/gPDn7kF2tekgRg82YnTEy1TTAr1de2XfLBm7hQ49YaltjwYgrD+0bV821mtv2h
XfLFf3eKphApacqkj49Ifs31+DuUPAuwpxyjUTooX+Cu8MvjAK/Xyx5GrgB+tL/CDGkgUQ2CsHN7
IPccDxcwJyp2RnfllBKNbhLJdtMZYaK2U1xVN8mSoq5/B6qzsyRKiN8Luy8CmhEa4CbjEEOD6qqb
thkIZi9/h7S37E3KNeSzft7Cp5wwihNpXm7S3wHv9TTzAaW/g98zCmJ35y558P3vaHg4O2RmpL0Q
/Sn0mj7YWUuefFDl4anr/Tyg7DFHKmCPaC2QpdmpRoOtqNZE8ER8pXglSMpjzhim/cly0AQWS6j9
/Dvfvl+i7lEI9OUZGQ9WA1MOzcBQDt3HBk1fS8mK2/kMqMf4IHhajoCIZgaqvkkZtQWwqSR7kkD1
O216LKf5nYTtKSHw/TUnGu6lJaJK3gBf94Kjq4f4mFdtx5SpMX6ZVhoxqLN+M/iN8jiNNOnrKkjS
N1az5O0xLtGv/Lbri2PNGKTnwtZHl8P8EKlcnGcHbUToRvqmQOWLjSZaWnf+6NuJH6JjueqMt3VP
zOzGT+KIxBbKo24D78J90qZgG/t/6Mesf3Xm0WWGpuX5NtDvYMGE/3MvyOIbBJN0QPETQsRuJf4s
ZfnIAOnNDotH4ZZcrD7CQorMHwoB+r/rnv7TVhQ1zj93g3x7zwTMSXUHkNNc/vkfxsAsUqLIBgP/
b6SaFTGF5Q0ffn7+33edvzvaf2o6+TahWDpOk+/j/s6L/uPbTGruBXQ5Ehtilkldj6N57Ru2ERyc
BDfFOuvrQqxECFeh5HoS+Aph/q0s9odv1ji5xE+V3Y1XF/qa4cK5LB/Z2kN/dGsMGCoQotRkvjMB
JXc09fU9A9oq2v3fHbX8v2qNtReF1x+/74Xp+bcNdnH3/o//Tg/y0f63/yCy/O+v/Hsk4/wFW0Xw
rOFn5WGwmIr87ZD1/8IvQQAvdB87WELL/1STofzxBBOcZcDL5OUfIxlh/xU4PLFo9kNnAXX+lyyy
/xpYboXCtRzUZB4bO2HZ/Ah/vgckR4Ve27n9nsCd8BED33RXVvh21nYo208yDLPzYIINX//xQf0H
4xjO8uUF//PVsJDX0Z0ELtNpgdT4X75zpzwyT9y+33tOF+1ka7v1B0JKalzZW06x6mo8KKSUDN1b
Tk87b2H91QRC+MSaYekZTG9v5rUl1qq18/eIabZGcMVexLGmWK+Dljm7CfI7WWcF5d5hEItuCtEH
Hnpr0Chq6iqYPnFqrWxNeOVeMFd7L5ANfEyVCF8KkwyRLZKx/oGEKcAwmabwlUnOTCaoIwgRvSW6
t9IhYQeXMwv6ojg7kkTyId5NyMhxN5WfTCLWibYh4kOF2qioAmmFFFq1Q/qAqs1/pe9s9uDL05u2
qMnYSYhNwMgYe9Gz0ecyxa1pQCgIxLgGq/TLr8D9osvYRfSyRy3GFCdKch8knb/rR1S1pY/I2rDK
FykLxBQ1OCxr4H5kg4nkSeDChcTipjiRcrK9AebZzl1ZD6hN2a8LG+oYXl2+sG3cHXBuDDZLF+DV
+HXaUXwwiqCvDR06WgX7JYdlZbd7otp3yAb7VQMCZ9XY4R6Silord875l6phLSI1wDTtmhuKCn2E
GtaSl6Q6jGRdwaIB/7PVYLBmXs/ofJD+Fh+avVEjiHO4T90R5Jm1c6TtHh3GfCsDIP7WarsOI4eC
loZ9bz0z0sKwTc5zFqXdLqrjgl4sQwOJM2zT0mvs56FF2c2ejB2RFecwhwznq7b6+NA5zO99wzNu
Z/yYRBM28jrNuco2pYN3O4ZWnK6CMSKocwFnpqyFkyLeOIHvhBuKJ/rAwXbUBwIhoJP1zAYCUPns
v8edE1xYDVuf1IzFl/an1Ge9X7s2Hi9c0XGV3ZhwGXKycE15m4qwIXQF94EJFbyw6/qUzEX1WtBp
8FmnLaEpJhCZGXDFIOc1eB/s56ZZeR66fa+6LwgyBlMduYuYsMoQERTCxQcBvZpSz85vclVY+9HC
WMt8KgkeiyUVGoqTY24ar5zFlow5KvkZhNbFbG20Fyzj+wcBSWLnxMkUA4CukY00tFbvSgcT4gC0
XLeNbwMRbNCyXachMI+oL4CEetSk1E+VOGYWoyxkWUHMsiJ3nqq2RaYHYgujjhssqk08TgMrUq/O
7+yi6l+ID6e+DEIfYYs3CgwahtMO28AdYHhMg7Z+VU3NxMcurJfMTppurwvL+S69IQp3ji2mdmUT
sAqIZJ5c4xp4etixj6dnVLiyWRWRtrAmbQz8uE3g5FMnkCWuZGOc29pkpsV/iKyMpX/tZsR3/HyF
2uWzcRc505cXZ5+qSG4sVli1aTi7bkLcUPQiP/RJaN95DgCAxkEYoKEDB5OX3YRaZqvZWgarJv6Z
Yjb0Ia2b29Kb1T2J61+076AEqrZYRzqPD2bq15eSzKKdiPkT+VNR7+LCl/dJZOj9yOgQDNgotnoY
q8/Za/vdxFbp1pxS7O20VMNNpLLxuygi1lesROU5hPiZ8AAHqB3nkgE1+z7X+vRRop/IdMzPoe/f
jYwuGU8qS5PoDDjZ+9VUJD9D664mTEOlUfBeGm8aByZbAIDCnuU+Z8lEyHTZdw8htVCzgmgbLJug
/jR386+amDV8O5XjLEvTaBPSvF56+JkucHsiHci+2g5FLKkDk+LeMDFDrV27QxBfDdEVn3tmP/UG
k7WVOWX6mMV0tNoouls1sCvYJkh/IB3r6S5ogaVNuoJ4xoiX7DA3IuYd1PtnwMx5Y5RucLADpKcs
0s11zqAV24gQz0FONCJbL0SlI5M4Zmbomobsto+Q9g1xdOhyUayrgjDLPMEcI7zk1HnuN7eTvGWn
X+/zFowyY5fZVcfUzsZ1HSHx27bzzHJXqtgqN8bUtF/SQO2zUCXNG98rcYAI5KJknrdGOpIe2iMf
SfqrnOIMqiNtQ056xS8zsbr9JO2R1TEvzN6ltekPde2R/tz3fXDLIKh48fk9QXS02sNEUt4XtjTn
Hp5/9DlhXnAeybPjmNVzmZBFrpn6LslMLYQmqgPwT1ZMlnfdzqwdZnudduZnzfBu5xYE5uTCImpX
hpuxLd8MBHzFYrQV6HoUah4Whqxj9rLoKKWJ1AiQ1TVSPw305sRvW6lz6ysfjfHktWKV90MDEbN8
iGxGpFhC2o2qC+M+13ANRoNdYsb8XAbOzmRvihh2kXc2Maqn+IiJjfDywGnJ9ONmctt+ZTNa54+Q
XMLe/Gr88efE+X4clE+pYIrpKGfQYJgJERSzoFjJmIUy8SP4YvORMVTr7oOe8jmKBdlvCWZO4iXx
SbvxS2wzbGz0wAMQDRzP6EuI/nMIdC2MObkWY804M5U7Amq2svCsnZ46cZOMsoQngnvXNHz5NcbE
1UZdry+5CuwVri+xqsYRc49i9U/4TbuvfWDF/IaGLbWgvVZWSTTdOD9Hec8HWfymXPDB5k0ZXfBn
kfWr6ufBTYwn8sDbgw4xeFNqIAzxWr2vwLTsOYECOAU1avus9Zgxioz8O8c7sPhwUPKF98qYeH0L
4dzBAYdeBCN6Ldp+dPYAO+SW8JwYzBemMttumbIo6bhnygX1vpBhEQ+Q/bFDyKfuPVmHpJ9ohY6v
jIZ3nAv51Sct4GyGefZNoJjHmpvgP6sPh1eYQt6mE2PV7waXFIu1w1Z+E/tm9G0mc3fw3Ckg2ScX
GFlTM9oz1HYlqkMruY8N4M7rLO5NwjIQy44itT9Cq21uelOMd2yYiGRZ0ICSz1t4pzgsmPD0wEFO
sejwMIaWezaD3npC4BT9yhVT9FVNIP0+aGOZcTBZ0THVpnuK+ajN9Tym4Ta2DXlaFiRk8cZTH+/h
j2T7gtXmi+0EIao+B8ZFMY3hmrSi+KsDktaz0Q/9il9CCe4oCIwnzCbpQSZqOqdjOu9Lc+rfHLzS
564BTYCIwktAf5TAElQXlidtmhmq4MSen7J0mn51qVfwmgZZdm1xA1xDEBtwkSSUVkrbjmWH8Hcp
MM+XYKrM2ygpy1NCW72fEDNi65x8bO08ByRDOg281MLM8dUb41M/FM6hh1z6QIarppr0gOKoKrgg
nrLOugz8NwPhIID4pnqznegI28UFZhXfwof0WDhCwd6yi+sh82XwTaEmIA/mxLNgIM/yhhBW0p/9
tt1XBrgvnOdyXPsNncWqU7jMgZx6PEwZdKvbKPSTfQjWZCUIg16LYtJXD6b3kRF/BrS+tJ4R7uDS
YqfN0DkawMTNBmjVe64I7jco4f3EAcYMtlDsV/Mc6EkINWLn2SWLMw//NGy0dO3n4UcKoIUMRnLc
JXCfvehxejZgH74oWoBLgC2Qa9z6MOy6cSr3BQbMY9306p2Xdr4Sh0K16Y7lPmv5JoFhkv9DktTW
JeoG5bcd31djK24HBZvso7LFiFF+lE3+aHhD7G90PQMWaToavHVkxemAp7Ido7UjeqQkfseedOUF
vbF36yq9Fs4QP421Jb9nIxNAvD1UnjBI433XmuoBBrn13lWh89SNg8hXUyuw7AHrnYlMZKISk9ny
NQ5eejI8x/5oHAELmKhKya+DTKerSYH6q7Wr+RQPFXImAs6b69RanBUzw28KNmVxqrm6iXGuEwC6
apXdMSIrzI8MrPWz65le+xQwutO3UdU49pbUIAEzULEGiQvkh0DuU+iabsxEKSxiYpllZ03yWFs8
hBtyyIBgdK5qt7qYPIhyGW8v+OTA2lTch+fKSkMPiWRTo/30E8zvBvLzxqh9LO+1j0O96uv42FSd
/Z7PQ7IvrbB+qUPRfaBChLnu1M21dQlbN9AOj+Q51CoIznqKIWLyHCJG8syP1IcGGpdhelxCJ16g
fBpvVl25wdYLJ+cd7M946vUw7bAnVXditr2H2AlAL1jxGB0c0rWIqc2OVNTJDQPR4dAQ3Xro+Ag/
wE/3qAkM795J6nZXGP7eQqlzJ/10OmmC75bBUHotAcleQigFECRDDcAELhEcvqDBs+Pn6C6rlsQL
x/WjS0w6ehcnX6jVxwfEChFybJjynNaENa+QdIXfEA9gjXaF3DnCizf9IMBsBmH3OqS8OTnRba9p
HsOYHmG9lPirThKc0ENWEbPhJOZagO64NpSz90xi4e9LWf9y2Bhxgw7iUOKVeZr7UJ/mmHwIgBTD
S2aBeVfwHG7BNab31dzaULpB1G4Lq9Y3Y+QMCAiwq4P2Sx56BgAbu5bIHlhy1/cdPelnMwnnISlK
vZugpK5UULV3vTtkx8pvXjtzlAR1BQIAkyzsbjtWCM/bARJh1umZnR3hSdbYmWR4Q4OcYEwRqF2J
C4Pk7AzRNHyTfhP9iCRnPrpadfQwD10ZVAMcoRa7JaVj3s4q0peOTfqjpsojwQ8a4m7GNnLC8gcs
SPHI94rz3q+r7oeURJpGs5YfExtwl4kqLbVV9v4l8GnWGKLzdklulQ2UF0y1pBZggFvQfhM9FgEh
O9zo6QXKc/SSB646uQykX6Ao06AmXkEn2JebYDFrk75u3fvIak6RD3bJ6NlPgz0WRMoX5TcgXgbS
SIEFboxU35oFd95qKiP7K4gzOqyuLdqzGSv2JuD044PBg2Zt7bw34ArqDC8ZiffxBst6/arHugGP
GY7WY0aq3pPfCvWRGgmzFf+3Lh20e/nGdjj6GLSJZj1E5ZieSZSGY8Tp9zL/VrWnvxXuWBSddpdm
WFZiPdBfuZ20P3uv9F4qUczrzPerD3Qv9QbWq/9aeQxp8CtXNzGVGpJvzg5+IMLqsxL/hux95xoa
nN6W1yLud3uF5hpuO4Rc/dEVXX+2FgG/EkG0VZXMD5BBkfcvQn9FOO2qimX91vomoQxZYVzdPCPO
qTCjleWvNUd8tcZjV35VZeONt6h7E/dgeDP+AwRz00KetV4QBGA0qElW+O5NJ9ihRJ+2gMBGbxXN
AxG6VTlNrxk95CZGWnpQvsRrwR8+pib4bWYQiXKKHVVAezOZffIuQmk9+WnJAyStmZ/BUNV1Amg/
MgiKyxenaL7Vb6tE40/lx4wc9ruiBoViY3AMsWXYJEVDvltvGHsPy0UWM9iyCCgBXYvhxp02mqt5
PWgNT2rxbFCMvXDIVCec8o9mNIg93EfjHKd4PMLF7YHe2d0YHu7zjtS8pAuuWirnDtlCcUPSCptN
+7d5ZIwydhVleR4cjJ/QrngcMJC5p7loOwgAib1cU8Uuq9hvh36+4qpSvGnGfB4J+7nIeErI7g6J
6g4j8zPh8fms2QjMCA8qCLZJ3py9xHQvPR3UzsttfSUC4n6aE2vP3Txcs8ggIFBbGKw7wx32uREi
lGYodecK826ZCb2boIZQbdSDZW8yo0zvqOwKgPicVxcSID2mXcpNcLIlDvvZlMYTOfHsMH+b9cYe
k/wFJEzurcKh9R4oDXKH5PgsuiP+DCzP4KuDdhIA5rhENjae0lUQTbyXeRQiWmUluNOzXmLJu6o9
Oy2zxLXTieiV6DaxU22t3tPJNi+YRMCxgzrjAHd698GWXXNp+G6A/JvoPrFM+2LWBhbIKKz8c4c5
+GBXoEzISVRnjIP1WToyuHpWXu/KgTycjSh5TyfV6zuGa0pvXVtR0gSgTLHyG9Owmp063cbO9DMk
OmKDw8leo8Axv4w5zo59NEePHifTyvM7VnxNPYsV/vpsF6ddvGtdcyaSjulbIvyqQVFWBJcx0/UD
WTv450nY5h8ZdnnwgEV9AMz1T7Vbp89Y7zkFx0o1zBs93HkMr6wVLzUSBNcUL15CCtnGNHtqLt85
2IrLTFc4pGCz0e6h62+F8Rzoni3VNBCQNhVofcw6GUlXyscHPxKonabAOOrcq09GZSJbMsrmhykp
QIy4khtVpJLDWB1o1/eZVTR3Pbv2XZvhu7LmkYuUv3WhEaCfz0d/2Nk51+mmTFLYzBOS1q1jJ7zj
FXth1HZTtCd7r7W4eAA/ke6oXrAaWS/BACIo7ybSXJhcsbbtvVRu/RzDBrINWT9leEbNnXTVOG1m
v0/LnQFPpTr3kDQYydaV4Lll+IE7KouNV0Dn6hQAAmb2TBHNQj9J++s8Ja08V74nHxN/xpmdhwbD
3hnB1rBJG9l9p34x7+du8H5kYvauwRhW1s5nTdls09TDDOGCN2IS0iQhXJGcPNJ1Fwb2VZHIm62H
UAKkyoKwfu0cO/3sDXOa8VoOpnMcF8kvSeeO8ySduXxr7GjYG2nZ3I1s2KFhuo16QEONW0WAsbyv
BwZxdu8Ud1w3764lEUYGKsMMG4Y/jMpOdgi12Gbavn1SgSheUrVIR0pS43eY7ATrSitnkKKPfArz
VrFwBYGDhnvlVmH1qHVP5ng0zU+ML91T0Aj/3iYDkqiuAVRWjCOCID9kqF9MDTyX7DqBScZsWR0Y
42g4GwP3+4EZMkEqbVyNbzLwuCAYoU4XXTj+tkseZO133SYuvfAp01F5Q2ovWSNem4GI9sdLJLgJ
DgAm62Il2eV+sqNVFVCfsUMyiuu9XzF1dh+C2rbHFfKlPNzA5sITo20mtZu+CsoMRVMFeWWaxH3u
hPrBngRG6VoPD4bXlWinrHwv0UrutartZxsq7x2rcAfapDGYuwoAF0Q1l/CuLp/oy4fA+6HrLHmX
o5eftWH1960hCE5Cbp445yYAVc6vIOevSWCBoZRUWWvtG/3bhB+G8T/F9S5xxxR/ixzvxrBFMOE7
WVhCiPbChyptZwM5kIi/IitBnyMdy3okKQZxjCTU95FAD7GFpUQDHXqzy3Wq3DXKOBqpsbDd25ZE
wytiPfMqBru8mwy3TBHiy+Z9xoF5681pQy/fBN7FJOuHMU6p0vIgdWM9e0kozhKFOUjLRrIKV6Sb
sKJBmHEi1Cn6KbNi/qhDXp7tkFCwrXqzWUxWM1waj8TScj+3ff7K09b36zKX3ARMPcc7ZdrRT1bE
ywHHS+SylH1FTyuOtqXnCywz/5QkEfSjplBnznYuIBWaX8ohG2ATVtx8qJiMZ8+Q9QOiZ/80YpW/
cQbdH2c76b5V58i9x2ML4J+wXyzB5Gz88tKo2LQ5iazOkKdr7enyAEHJP7mc25ver/JHBxnWyRA4
j+ds6r7KlDSN9YzLY1/nZnlIHX8sN8j8mg+rxtS8jTu/utIiMf2uS/Wc9XbwgI4mR1Xi+4+zaPlL
yzmk4r55w6070eJFE+sO6S9Zr5k5bDs+w0fUZPonN1CBP9wfwicDrk60LotWyG2lkvuu8NUVhYfL
9oCzhWQMwiZBWWp9X9h+fq4tvsiKEJ+iUPTvvbFkmmBORfdjZqy2XMi9uAQd0MjIpyuBpDDkV4QW
GYzEMBXA56NqfsB1wG+E4gbzsvQeWG6Vx9y0kqsSbr0W2eiuYVPSajhVu21b6NtzMkR3RT95J74s
BvjSGJ8j9rU1f/uWRH22tWSFWyKcg9uOhNn7aSy+GsslzapDapNU2FvTcLp4eioe5WAP+7byq3Wa
hI8TZjKQ87nLzcjo8qiViTbLHkZ0O8L0npAsUVd4Pi/PtFjXiApPUUqrYdfTvrKh6ZhwGLKIjpqy
/YefVN59ZJqQcR17bK8OBT2dQO4aPRFA3HL9ONYn2btk/iJMV5g3xvaG7epPoldFtqq1cu+SWPiX
wauch5Fxxo/SDxx3lWFM1LS7rG+SjqdpMOMDp2q0SPkD9JfMFLK2E9813EjQbmaDBMeqFNhOxu7t
wiwbpgJCqojPneGXr3bMlQU+k5IlYcKZWWLABcO2BeaBVb+wT9VHgqOrbdLo6jASKLIxfdPeBmje
qr1puw63aTyytNK6+OHZkbqwO+y25GMH36j1ADMbWc4s2AreTUQ5hPp0xAmvMf0g5YlcClk/ZW9l
zx0djCA68azwk8NObhDjsM1h3Fu7H7XrlA7JI5oYMgMNoMOMhIwK5hgXLF0ccqHfkBqmVfLoErWx
Q64+PEniIb+qYRo/QR3rJ4zgXbsiVGo5/6NFjhGm5CrMUAx+NBn7y0Vlj0uIM48Or6DHQ2fMYdx3
AbnssElsLppMJxfCGc3P3IactR3qCOBBO3FxTWXoHSNsfjAZbTil3MHQcWsIzJOLRh5tKhrmVrkk
HdWxAFqbRvn0CsNSsLdJwp0QNXd+2SRIaTwTzH8VCSPaaF/Ol05Gi2F3ENnJDz11ikeFeMvNJv8n
hmfJLM9k44eEqeK2ErKOjJUVTtAJi8XCw6AN70GacIuBe/JSks28zm5uwnHk20AuIn5EwXMip8ux
nvO+ZY8iygzKhT9WKx0ZxpEhe+Fv3FYt/8PAS7cixlk8s7O1c9R3Aol7UbruF3q28rZmg/rA5UXt
knNdriKXq/2ozYJQavTo4xvzZphOoEif4qW7KgJcEV0cjnrtsB/cDmRhbkbisi5B2IuvzKmWSyzH
uBRlWO4dqyO5xUVFsA4ZDpOFbFon8GzjLUo3fJrWMiQnWBEDLJJNsOYWb1YPBCwdHhyDySgyabpr
9dZRhJ+mqERQCIcHu5+lNoR+97+s2k0vHeXELZAzzq8ZIp7vm+UNzG2xjnr+Gx4ynBBgHcw3E4kY
BNkku2TtILaVNpNg3UDtkWukt29JV88Pbd+XNxU8LtbolrF1RFQcc8s3f+Z1j+OzDtqbgpTEO4ho
abuu5SA3cE7mn1jWkgN6Of/YzhWmyw7awFB1sfv/tUH/Drp/mmoUPh9fBdsaqYi3/Kn/NF1ZnkUa
LkLVP2Qv/4s+6OlX/lHGH+XHf/KVf+uDrL+Q+HhA9D3+//DQYlz6hz5I2BgqMXNZ5qIGQkLzPy1b
4V+oiQFAAX8UQYC26B/6IDJ5kUOHiIMCEnvB5/3XLFvhv+p0PNe1LZRIPjDSwHbEYur6Q8Ims0Aq
sLkx8mQm8rhyD4UexbpCr70LjWL4lQYkoxtInw5dBSoQAp3a9YlnM0BGpxJWIDO3rCLNlHH/4D4o
XKw7Cxz5US/cc/Q0460fxd7FJrXjiJex2ml8pl+tiKrdnI8sffyx1p9KIvW4pKYDC7cdpfeGHyV5
0VQ0l6Ziac5aSZN82HZmcKZ9D45yGDRoiNgNSU5N2UnjA6FG6xwuU9b5PyNSz+gngjNy8/7No/xb
k70jIO9bnpwZ3dF8tmxbsfIiv10X1LzsFav0uSx8p0Y44A0Y53OKYbo7ToJ1iYf+jmvCoTZwrLrc
kKXoXrookCU4Gd99Lluzfw9Jc2Os60t9rMM0euKOhtknzIxlm2yWTRDHAbeoMXqw9hJb3mnUoS9t
6cqMO1qaZ7AF5aofplsLDNIBq8jwszKL4oeBC76hWlDqTmejwaC8JDFwyi33JTIH+0bbtvGUZL75
ZlQlDjvwBlwyTT889KQrbVs7jr+CKecDj71x+cFzG9M1P3uXoAeoAhJ2OlHdmLnkCOPXXH4SJeUe
VWLSDaCkFvyQqDVWpo3ZJDNT6w4yCcL8zJ+mTVSlcY4bw9ZrOCpyT9FSwRqw2qOTIBXo1XAiqwt8
XkciJdyC5NqNMPKGNGYLCoUYGT68RSa/3Tx8xEmTngb2WhceqC5lQhFgGPCK3tnGuQ9hsQ1Zoapq
k1FTsgVqvYNvFPKlVpXewChozhaKmyttcgF0YGzufBz2+6pgf27owb5LAIFvIXDHB68rzDO/0ego
DNXsijkzfzTzPJ+YFVE82WV6mVIe1JbQgE+mPOPOtEcF4VyQgVIGT00z0EC3FcCXLrmnUWO1Fbb1
M6SaaBd3gfMhrW46S5KTABgQaUg7vvo38s5jOXJj7bavcl8AJ4AEEmZyB+WrWEUWbZM9QbAdbMIk
PJ7+X+DvWpRCijO8cSM0UKvVXSzYz+y9tu3p5otpVm/wiBlpewinOU0vTdDDDSu6lmAisqKSR7QK
Bz2m10rg5Y3lyUUf4jGsxLMDMXIEuFR3VXeAb15Va3Tfmbeq6EyfuA+8S2NBpQgy6RYHkwHrKcd2
/dp4pv/ktGmZbUrbsv09/1OCUm60GZglOp8eoTvUh4xr6tbk8NHStqh48K4lRwDbiJNU6TovReo7
t1L59oH9LEaaScEqDb0h+WX2TKf0wIgfY1LYfINShDK56/zgySss5PREjHL6XVOTyCnd6Ro7JA9j
OgAEmgLtXYnZj67VWEc4a/C1PYy+P1XrYcKgibu1f6uSFGZb4gynySzkLZNAOj5y4mb+JurJvO+s
h0DU3sGfa0Kgwkr2T4y6xTPdy3Bwh3H6FuSJeppaUeqDQGHxjes7+RW7vW0j0LBqLP+TiN+tMHeY
M0GvA5ATo5tJSRODHk0Tv+QF2zUzz7RGDFhT6S1Aun3FdvgOMAtaFvh7p1BL8ZgpQrW1AbRrxUFx
rzGrMbURbm1tTQ05Z9+ZXXQ3D6l1D+/F3aPUac9tXKnvKZcwZzW0xQsuvvYMZN5GTD3XB99GqGjh
z7otCgUyJNeEv64wapo3bkhUdVAP0Q3tbHq22CnjqZBy6fkMy3oypDs0WwJ/jS33r3frZa26Zz9u
PjhiZBjFetWOTyjlvecoVyb8o2rS34e5nNewL5u1R2pvvYZUu3Y7/5TCc+CeT2GMoPHpAWIZZYZO
ZKibbZb4MZv1PD4MQXFrpprcJcuQxqayxxR9QWsdRt9S927aDmvJjcuwRyV7ZskJgsa5eGxYK1K4
J7iwkuCOrPLoQuK2/z1DuXpBspPtLMFWs9ZtfxO5Shy8VprfsrnOWAgRRJIWaAtjJb0bml3OoYjc
cxjUGQM7MlJ5FhU3DGDg2sPxHraeUt/IUSq3uWXog82w+4sR1zvX776kbl7tufXjo5W59Dsi3hhp
1v9wyuRn2lTe1kVsQQ9iEZVbstIg8wn6r1PvZSedI2Gvd8JwKJJD17i3jAIyyBwVR7aiJzPSIKdK
dzS3bW5Mr1O1WCZZGet7EaIcJsPEqLbaERs8B0+z8sadkpgeyrh6zc1JHPOqtTauTr4tNrf8JBzh
2asK3SlqFgfPHxa9cdeGTv9g9U56GXujwnxVtbdaiBvPl1+7sTrgLGICR4TjCktRByVytHBUiLPl
tDNEqNg3gbBqYqlWA9mHm9Lr0hthFz78lYrZ5GqUIdOq2ORfu9JR+9pOTzoLu3QdSlJ+Ud0gz99Y
Pt01gMShwsKbv6spB9qCP/nNhjXNnjyekgtLs35fxAyz1wSl1A91m+v9XA9+vtIoMddeP3Y3Kmaz
sxN4rTbNhLiMBtH+qcjOSra84mW2dao2ppgxImI1kG+B7qsa3gOJaMpxNQl6zzVOcPd7UTbdnYdo
8C7J4gapCNx6lBTYvYg6WwPmuJSlf8fXYksYySl9YvZPLk0YEJm6tsJhfAHm/iPgcn9jFruh7LnI
2O92WUPoDA/E+iFxaUYZNCv7w4XOl2IWRCCHuMf+OL8R3GPCxMzHU2rrYIDoRmqcOZDoZQd6uKA4
kN8akYVfIz54FVntuPUDm/xeNsw7bVf6ufT64gCGaZvjBzu5WnXXKg2jl0xC5lQwPn/Zppe/wvqp
dsJD5AgGrFDJIafxPAxFICvy83RF3Al8i5V0nOLKO2DYd3nW30JumU+Cguwlmb3sBFB+PNVoQjaw
PM1jpWTLC8mTZ8yqNGLwm/xjrDlW7J3m76KW5sGP2mZjAzrbNaqGpaEspvGx3LMueUYwOYM3STae
JJ2ysvVGNEum9xCufZo2KHeq23aD/mk7A/VcyaUISWTL0KWEJgTstB3UBoLNBhLOvWHX9qksB+dI
DIU8MG8p3yXPs3XjUFLIRgHo8Atzx3Kn5A0jEPlC+bl3Z8M6RyHRfgpP96XAx7gi/ofku7wgKi1k
U5nY4jbquxshpl+WRXYZvX9ojggbXUkoYkMQjUQhKyi1bgOW67siGuqbdo7ivTGXK7MZeKsE2uqf
2lC3z5MDjGRMRuRR1nhrRnThHjuWjRmTphD26DIbdGhbll4uXrsq2JEaNcZrRsnMdvv+nChv/qZ9
8l/C1Ex3ThwVZ7PK7C8cbyIQHKbH2bqqEm9H1KazlZFpHIrEiU9e6Hn3FTRMGvQKCx/ZwHdCevkC
2w7vTXT8ZwVoiiQlRCiEOWfyyh2KkxFrnj7Th6j7IhLy52xiW3WYi9/Zo7Bu5aLE6nQufxJDGlxc
1gooUePk0SZ66UaaLqFPaV0kb4al2guPzfxY43HcNLX3Per64OAVxPlGTtrdtoxX3hynJSQ6LVj5
kdC+JFTYaXUBPg6gT5MPdCxV1DCSktXE0wMIXTSPxS5vyu4QaGIBDOlND8TJN/OGcdcJvmS4KQw0
V/aYTS+D3RR3o4pfS5AsVzOsMvBUfn2wvSrZTJm9J+A0w9mW1jsvWajR+Ow3E1OuW+2lvOmqMNpW
1E3bwuTh3AUumnGVyS8mrQyH2WfrgeILfOrM3BFL+degyLOTFRVcwLpxwEe2FcOPqCPzokmi+D4S
mMNV53ZbUc3j93DKs7Wb8N4LydfckJXX7xrWRufRI64EjcSz2/bRF98IFwEVybgdBZHW0ZF13h6B
XHW0SFPCMd9feaOOCBAoeTemZDORIX83TYSItFkt/obhe5IMHajJSp1SNBZc1n1/tKVlnbwRIJRo
yMQcFQjCgalFgJ55BaAflHX+Y+jN4EfEfuOYlvxVlLDmCoGh/j7Bdb2BCR8RQZPkqJoHeFWhGiDi
MwXfgRDl8DmDc2dIH29+nOkrlC0sEW5ZfTO5YBBwWf0xFQSoJCLFz2A1lBN1YBxaYJQXFZgAQqNk
YlCcNNQLaf6eWcHMVwH7oYo5/k4zJo69ZKAJWMhZIWCpn4mAZ43cz+DZ6sK23nBQGF8Vrrgd64Tq
gCudHVES5BVZDKOi6Wl966p9ha6zxwPhgzJmHRdkO3Qa7HaDAVs/nVyfrKuG8yXBNr4CKx64sgZ3
X2LKxtPeQYJgdchgB0cHw+MO0wcKkV8BBX/fBuexCPj7q3Y9wlzfsIHD8z2YJ/ZM5lZ5CgT/eCAj
4snHobommi25Qq3FXZ0X0wGhAw4UR9eAkErU0nzLt9os+/e5B2sVeKH7YuBbO5dTGX4ns4LX59QV
mFO1DPacHvJCFAoWe86rs0vE9Zvnhx21kZTH0qSk7Wzy7FbBBPrcwh1qHgLEcHpVWAbW66LgEV8n
KtgLop5X8YCTglK/9HehTv3vJvo1BwOonFaIlL2vgWu43spAVflSUSJtq2AKbluiCF6ZhCX7KQ5B
qAt7fHcLvByMLgucx92EJMop5vsIXucpk/N4bzTN0MDUyIiqxs25DTNvPs5MKh4CSKzvJMuwa9FD
9VrxfuMR39hHb3LU1s0GvM+tMIECtpVLCJZF1mtYl/etbF10EGWvf5oEgj0Z+Aq8VdM7zcWV0G+H
bmLYDb/WfwPJUu+9RvxKsoKgd7ZCERz5xL76kYXqAl0ACceMUtHrdfGmItPmMnqzOOlQiJ0xTeq1
kxmV6+wBUOZ2Jx8vL29D3cvbXOslmYMItk0ZFwN7ASWaa+a11R3FNcnbMB+ng04Fj5qalyh+kpqU
7SSW+bFylc92e9aPaUUNu6KEUwclAmcD0d4/i8hiu5GzEXJNAwv1Ajucmix6cVIk5qEOUQMGc58e
h8IVK9kM80lRnp1q4ktfIRj2TwFV6H0nBt4mc2q/KDEmp6C30m+R1/EuCof5Vs6yAtVVmdFZO6l1
KRrEZID7XaKZc3k0qx40C+IDUa6xncn33iG0fBVktvmOpDpD5urN4xcnA5BDeF3QMHhoHbPeRkHZ
3Rhzg4apBMyB8ciYdxOogwvv8eotHsPqpfdquZ0rh8bAb5sVHqryDrC3/0yuinfytUSq1fXY0A2h
bmU9UWIhxWc376VJ/2p5RCNJM2W46oxirxtrxjs/ZO7bbBE0JRehR4uKnBRISdWZpCSSGZ1Tb9GY
pQDP3IhT679XAxOQODVYMo4Jmh96cL4HbnhczD1ybzf0ebpiRc1wUiyzB0txlqwW5Io2AJzbuUmc
SNZ0/bZgF/vNcOgvRkxKEXl5LnRiMlIVKXBWFZo4gIo135ry1oBVl4RpfkG4zQ8rsOLI0cH09jHQ
XOhY/4t0+k/E03dypzUvnfbTL/8vGFn++Zx1+gfX5/9LGC5Gu0xcHfOfrZ/vGSECPz4Nd//7z/7P
cNd0GNDyX3F/LkPc34a7kvQGQenkWb73v6Nd2/qX43pCLPQui5HF4kGlPllAXcL/F7/huwSF2qZD
AMC/FSTgep+RWBZ5BNbidHEZMgeOuYx+fxvtwmmotLRdxF+pJEgAjdNAHy95KwehJ98bSt17azIJ
VSYBmx3WXIxrM5tcscPq1qLg90AbNaQyZj0rKCZcNYur546ogQLN5RrnktzEbp0feVwRYA905MjW
iQ4lbSM2i6izUYyi8GcFOil/8XYm5kOYW/augC9yJ2yqirwmljotOn4KRgqIVNxu3JrZcDCKSv+M
dA+rFlViSCgT/pQ8sPxbs+2Sc+QLazsh0ULT0TG44220dVqVbJs29W9S2wrWJF5iCLW4N+PUDn6k
PHCIkaonc2c1obMnddt89OYkucsqPJqcGW+jqBO9lcML6mRYidiYFOc7gckfmkqOsohlqH7PfYsf
lE4RmKlfY2WNesKR17EDNMKSnX/PYj/auHVVXsGuU9qovL51MvPszOg0AvMylzzNoZwe5ik/9713
Qw9xHxt0zNLprl6RXQzO3IaFZAtiHVujGzGa9tORtEAAkjlkQ0VV7I9Du0Go5j610nOBjsBkNzeW
k9yLMr3RZISvKnTbm7BA3b3yS3rTGGwE4ThIGpGpMOx9x6s+XSatw69BOspjOvvVlacuWZuzMNwn
QtHrk06n5jC6hol1Cb3e2mxtilMf4cCKzUZ2dNXoHXpK+kNOTf/c2xK9V0WyGgjBGRWXTZdleui1
SlEb3xu7DdddxtqD+DnRrLpi8L4MiJJuYAYMKxXFiNTQkBA8RODuD6Jh8a9wVR6wRQBbKGVc7M1S
Fl97KVyCLkmHzEG/fdNV+YZb0XsLgtnbe6rIHlTm9Ff0eEhRk4HynSHFuUhq75zmsJZrC4MFm8tz
WI4RJhMaCV3bxiEwh2yP5UDce6i1EqTReHSQAHFFSwRdKyvswFyx1stHZ8HOZFh3ieiF6zXrkvhq
K/VeWrAqOJeDIT5SH02PYxKNRzU01lVYOUk7kaz6dzbFA9BuAgDsGTBun83t1wHCyDkEaHnAaGM/
NaaPttQfyuEOzqz+mrthrYnMnhHX9aMh61uSRMlGCgdl6I1jMbBF2mxsM3tA6hYiijpA3Rv3hAfx
MQXTv2vvuurFKQ0GsI3BqajxAsXbBlGBsyooKG9mlCVrG7LoyUtFuDUSKDY8Lixkl4SH3ZJji3h4
dgBpoXs8925gXkcLuNoKn/v0CFjZOjlZ27S06VZJQSiiO1j9MTsQKxW7HsX4Nhk9Nv6AKo0bFZKW
sYSglhYfingT6X1xCZF0XzFRd9s2HAumY6jCLDI7Dh4Y1nrfQkdAYYXsA39udYbIFK/7qh3DFVIx
e+dLiP/IMvLkLFLaea+c3LMVN+MNM9d4b9qiPVNFkGeucvVVVmxUWWeXvb0W03MVOqy8qWrCJ0sr
8c0SM5asoQ7WGYtjZATVuEkcZNsJE7+9l1jcW9Ogstswyod7v7PG+0nKgc4IJ8u6wnG54ZG6pdw4
GLWpDx6Q4jOWGMrqTPYnVFj11XIDdU2kJ19qLCQvwErLn4NdAfibx1Icwtk3Hj3cZ3c9IpgX3JMG
aZbVkN60Q9qsktZL6bUDLukFWlZk7FtKa6heZAlNzcAi/pLgw+OiyDoCe7183hI75O5SJ7D2Is1i
nHjxQFh11GCm0OgADHSkj46HtJXcZAa3NjXMEbOxfY4UqaaTcrHVBS1EfoRhmwju6DHVXfBaGNrb
1Y3oHmrSN678MjyiavNek8FSezYB8Y7Y2vpWuE1327tsmCav7XeOJdRXPFzB1wCT/ZWulv3RaCTU
QZnganfb7RKf5K59A1qfzgiXt2qlsJfmWXzKprw7Vb1TLzRS1k2zpa5VPbKky5LvQo8+mdTNiTHG
UsO3O2ZDXyt7hno6dd5DBDw4UkRd+bEXPQH96n8WjTkwVLXHfavZsK0QxzKtdyfmr4zoYsJjtTMM
FH/2gt5jDneuPMBT87IB1R0OodwHWR8iIDvIFFOAQofh2K960ie08cbFKvuDiny4MYy0R0PrA4/q
LSrXYq1SVR9oybHKALFbW+zgmP/qdtkSmdLOT5mNAgkRX8tiNQUsthZxN+4yYmKOcYcWdE3Nz6aP
TnQVa/3VXETEfcfkYO0P9giB0pTDo166DQBd81bUAxQAusEH29ASxlpUBge84xNAaJ/1JL43NnQP
Hk7mVY7982o2vM+qzs4OYSCqb7UPjQ03ARMRrvknlIDMY8fKucToFje0n9XGaorpBhHXvrXn+eBi
fNwX+Jign4Q/cH3z10JjI+3yMCgSFXEfH9oSDSdKbSiU4TGw2LaOjoFYVWaQm9PSfHSmvkEkjKH2
LvaKqV2BPO2QvbDH2bjFaO0UGhRQwabxawy1e2JPoF+4P+qz57Musxk/8prpyh+qVf3BFxUsKuYv
7zqWiEXj4hpm1qKTncg/6lX4yAlQHFOx7Nsy7b/jUEEg3NTxLd6gFGvnxKS+GS184nN5ze3CPDfQ
GRi7mv22j6OKsDaj76vdINKGlVPLZAZLUvBLGTbzZMMIdgNqG/Kobb04WP0h2RIeQ7Kdyz7gWDiF
8eARqZdssa72h2JcPDConVyyocgHeaC+SIpLTrPMZkLlcbziMbCOjyYtDdGaZKAPd2h69IlFZX4f
tnbyU/HEmYB9wZrLRzZeDSulZ1updJtS7sIvYFfE5CnfjYKuhF979kGFcbKzU+Q7RpmYbONMKKeM
fQ+sbMjy8IbqAczhncHSv6An5AObI0zsEixij0PeHLNVS2mxbvBNr3UzjD+GZBx/DZX40SRSf/Xy
/t2twLsziI7KO8wZLvrtDo6nlyTYNuzh7NkaMEFl9gCPhN6UIfMYr4mJFsEAjaqts0927T+JeVA3
Db0c22ZjCVcumk3c4A5h1RBtZC6LXQzw4YY543DX0u3tw3IwHttMtftBWi5OvcK9uOkU/oDmbe+4
RyP2ErPNaejUU8J44JIgZ7iaEJNJA+zbnZEqC0Z87j5G4LDO7I2x4KdiTjfSacn8AJUfnSbDWwZ6
bXTUo1d/s9Keib5RhVeSESAFDiVAUB5Rq7JJJUmHEN2MPLS3UW3g4wKLkqwHH+YdIteRxpc90xac
o1GSPjl4W6Sq8S5tkVpQXQ0G69qSyB8M83A0RuegRtd6BHgYb5FWsfw3RHiQELL22TRYLy1q6FUl
CDPK3H44JnlYXr0hn6xV5yIgJZPXSF5lottDPWTVA+NPIO8iie6cBGOyD5X2hRcdIA2X2OENhDSx
dQY/OyWW8gmRaRnlR1XxC+mzf3EbmT/3WaFIakU6UpueOMyZI4/g4Z3dsgU+Fn1lkQMQBrxqMM4S
85LZG9xP4xmRyr00mx11Kpw2b063fq6/GGG5qQeyb/vJeCt6XP+MTeSzTYYL0oEltqykaalcryGP
whzxKaCmI1KRtOrRSZC/ohtgo6kYk3BhsKFXLYmrJAi4T8Tvyg3AmZBvMHorcFLh6TfR0F+wcoTz
J0jPpz6NJvL3Po2McSyVZhIfRlj8K8OWGf6vAEFxgDpFkPmwACyN5zoQ45OPlP518vvqTsRzdONP
on4LkyHdOijLO2JhRbSPO1xdox3MO1MaaCy9DJ0iuXDXAg0fDA/yTOBKcgbMNZnXcm2Q7fvquNgK
KGqKfh2KttgjQHO2DnI/H6ze98gtWfwYY3lnAMY8KO2+wBC0jkZbyW1YB9ar6DrvprUkisI6KDco
LrhpMwmbJM8yYo1tjeC29uejZpn+lUo92kvRp/hKhveyl9eu7R4dKhQS3hHIA1qaNnKOJ4yExTlM
svmc9KAcmaOR2GhaOiDwHBuFu8tHzepyWaX+EC0ETMQ6EVELk6Io3GJ/K79AtMvFpkp8Rj86dvsz
u5DpGNdUuytiRt37smz6u4a8FmM38ji4THEmfsrOTH5UmMg3lWN426GNxUOJIDtYsRjGZOfa5rac
evfGaTvjINnTbRri1zG9+F0yb3Fqjz/7BlFjTJpp0UmMmlphxRjrfNdH9E7uwoixiUS5hIP0SR1X
uiW1Sc6kYZQ9myUiLe9mEuV3RVxgC6R/vaIjCTHJMDp94EYPjmMwDkcydZCcm1TYFlahX6QRUwqq
YRifYoUfA+mIz47dr4sOMg2qgjM70PSu/yi584/yWyyVOG9hivK0QiDAgRQ7k16eAIEhju/spZJH
LMqzyV/qe+uj0jdT9kPdUv8Pht+eg6UnYL0XANGnT+hyQA0rYH/+XZMO4FYwhj2ppcHQH72GS2XG
w2hpQeyPbqRbGhO1tCiQU+hWwqVxGTR7Z+UOLBjjKai3dlcb2yjG5hF8tDz+R/tjeRo+NIGwI1wo
F9Unk+4t+7OUE55x4QYZOKdIWt57VYCLCVDHr0TRt1dn1Ol+8uG48RCj32JS+VhpB6S0UT0YIkkO
SPzLs21U5YPqLIfEMiplYwKQsiophVmWFDV2niVsiVwqd4W2oFrHzIXxYXEe1nFkWstyTq47gEdX
XDXeS805wIG0tIzZ0jwiKaOPzFKdXeKsZVJAk+kUC+X4o/N0P7rQYGlIK8vO9vXSpGKWBRFMOt+5
poNFtkHEwtLUqqW95YdcGl1aXhTI7ku+tMHu0hD7S2ssjcgHxF2/wTXOvrlLA90trfS8NNXF0l77
H532vDTd8dJ+B0sjPn305PnSnhMaST7k0rK3S/M+Lm18+9HR66W5L5Y2f14a/pSHtAqZzbaACkB+
fUwGsmVIAErEO8hlcCDaLtj8/RPVQqb5R/bYxwOV2hDmmfA8+Yn+F+gmmpxx8vfIYh7nV/u1fjde
64fhtrnHO1rcEXzw95/ofEbfM2qDMxggonQC7nzv0ycOzAuUiz6R/YoffstLUlDWDMSnW2yks4B1
XlY3eqpbd21FWfzNknPLLiwk9tmSo71sE8JdkQ4TEbRIEiCXhKx21qKsPHM/y9D40rC9eEIxypPb
LcoBL5qDQABx8qQPY13WZ1vp7ATgaTzyYuZ2Yzqwcj0fmd3s73uqKXpnle5yx6p3U8OS2i/l/NUd
UrAPQ5gfezbI+3bKjWeVDFA+2yLDqo0/XyypMTc99d1jjLnn3RlIZ9mQtoj7bEz0iwNEg9tRifzL
PxzUBRH3B4ScI8C5Wq7LFNUB5vpJmtoQNUCvt8Sot75zKrLk2IrQ38rJCLZC0G6JwJZX08HxhK6d
HZpMOrnvhWe9NX4cF2t8HNGPqe+Gk8qd6cbwrebqM5R9pb4rX2wsYx1Oo21nBjMbWXt40KoFI66M
KuPWTG32z96UoZ9jdgAtGsXUxo0MD+taVJRbAgidkx2IngKZyM13PXe4Y1Xr4jCal/cR5g1eTenH
a2r+eGU5H6+veHmTBcs77eOA/f88rbddBti/XTZ/EmF/+dm0/2f1Ex12/vuk/r/+3H9O6QPzXygN
fDigHjcoc/f/Sc3wEVNzkbi+DCx7yc3gvv0vCbbw/gUOzyPJwiNVwvNsfuu/5/TWv6QD85FXgucD
OHT+LUTjUt39fpUz7ucicblUec16XOZ/rP48Bx1QDidtr+Mu29W8VVd95CYb9MA+5JDp+Nvh+Yty
808PRz7PsSyqUI8jgsD8U7xwKsaQ3i0AUkFSzz4SWfoT8EN931sMG8YJ+IAKmS/ytA7MBrpMDweH
oV/3gi89X2PqsLGYkcG5+Yef6/O2Yvm5BFJ39hRsR6T3CRi5WI15YLLSZDzwtaWK31jUFStkS7wj
nBNj3XJfQn7YkWs0buLpItGC/0MtvjymP50LtjI4x03hAsv8DK3EH+yGY9r5+wpMyh7kTnjyMY89
/f1X/Ysz7vBVcfTZAZkpwad63+Mg47pJ/b1dyoPMhi8+kMnDkNAn1kMz/MOB/YvvJNkD2ZxxKRwu
pD9eX1poyxxTP9gHhefuRn/MVxQp4h8+5U82ApKxuSPwJcCDgYXx6aoSzEwYJoWUFzFywpquclXk
3UOvku//9sHjxe5aXsD3gbn66YOkMXNEl8s3TNjQKiP9NSTo5jLyQ+00+4f3+l+cKXwYHynhjjSl
+enDxs4pUYo63r60HXhygI5XcY+PSM2QM8fUPfz9dxPLufh0/UGQpRJ0eCLwnPp0rhJm3LP2Im9f
G4C6dU/m7OCF5kMOzh3tU5xtKnwJuxjL12Eu03JHnlP4DWwCgc8FYB84HHpvF6rf2JlLdKIpQbu6
tp9vJH3FlTGXqjZ+XAChJPIAIxJdUrvS1QzEvYR2va7aGVyNTN0eoaJ7r5XS93//Ha2/uM8DGbgi
ENAz/nw9DqRdDnJKvH1UxOKYSsM/Tr0knKqXz8ZUEKEWNsdCR788O66wRGXiCTWr/w+H+q+u14An
NzNuj9HpsoX9vedmp+UUCFeDfc4+5sgU4LYw3YAxK6SHv//Cf/6kgGgijMO+7UuO9adPYmDcDHBh
yCQPE7UeO4SzulRfsVWI7d9/Elfmny/YJXmJIChoNeRsfvz+byvfWlk2M/KGQF8sclumQ8kiHhmv
6CbHB9fgQhB1+4StVG3TroU70/omcY2E2mArKPEbBE1FYIuHPGrVdNJ9REAr32Vf+wcYMG2+tuuO
JU/TOmfM+OVNFiPaLjSZxmjHu3Tc5cTcwL4iutpUXndED+QfKgaNYFQgcRl1U2+0rsXWlhqVRN2Z
uUVWbCnD/dAKUl8V/XdHfsldIa0RpmTcuExhR4E12k/uQlOl7/Dd1NEBN7c182A+TIGkGetr75jV
LasGe3buBsEXnxvgjkYIh0wGjIF9ZHoXK53oBlt7m4eVgq+S6DXwOtQxY1c9MVOsmGMU1bsfmf4K
FwqJcvFU09KUi2y+6Cem5QXhcWabPhpmVd/5Jitg3D4QdjM9wm8aB7t+rcY+vICqDF/iYE72PXOP
7wjvMUmGpv2WGemXIhcB0DYiYm7SVt8h+LVvPRVvgGqgPjfUoegtMkR1H4kHxJmMxO3Y9W9Mx27u
ZtD98GZqd9/UOtvzdaq13wcpxN0a9sVcdvmpLxOmzDylpnMASgTsaQY9Bw9VyBCgw5m4z+uh/0nJ
xDHBkn+mXK7YIHcWrMmQAClpiw7mltN8YYLfv0jHJ7ZGISuEgqPN4IWyjck72Jz22c+Vc+w6wHgD
xfpau9I5172rtmVthqyn0AqyZpx59WPRgpeySnOn7DZZ7ycHEQV6V/icb9H0HL7eaMi/QbVFACji
pJXZW8nWqaR8iysx3dD/OG+gYFlf0/nHdz0Sarnye3jvGKhNshd4eDBo1s7EKD1TQ/AC+6XNX2wb
rnHPSON7LdHurLxQcsUHQEMf6YgyaK3xUG0RDIQn1eg142Tv1xwBJ0JDn0D5YOcdpnt2BelMOEE3
nUWm6tPstm5J4z1M3ELkXMTQtvaCJYvAjiHUN9eWfbCKSpiUwaLX08SPMJrMugOb+vGC/hiSQepE
wb6E96MRXyi18YvwNuvG6AC1g1gKXPT8vPGgUaMxyHET2m83ZgplJPNZDHrX9VZ9Ati4xAUW6tEu
BvzaybQboWY+0WCNW/SR7a7hZzsMRhntgroNDr40Fed3JGnVHbk+cghLjJbzzmVdGlkvve17N/ZU
/wQJWG+TDhmCJgr0axAGbPf7yK6PhqXxTRspKzqSbrBtzPB5DEDGmzonvjND9Ifdv2AIMk6wjAoN
V8CREdDeRL2bOkpv08IasLNoVkE2XS4zkAGzWkqcWs4pfgyRyRzSxMi3w0RqG9NH6JZprL/3UrX3
ImgQBQyGQrvV+dsavduOvBMsSiRnjT0F4jhbzk0oGI6OS8687lIkodUpkokPzcqvSYuZB7yaTeTj
3wqfIUBCy9BWdGeg+7th7xO8Qwixn8Us2y00NVsyANbdwvMjZR4lzSGmYdyOEsCI9I3olCBg3bgV
xTE2ofgmqvpX39dAXUoT0IqcCL7tuo4I87m4tLkkhQxB7Lwp0WhjitIp20YDKoTTMfNFuBmsUM/f
oj5kkpl68yO+puZCNHDybUx44prwERGYsYau2eJfm74cUM9i86ow/K86Yl6f3dqBrK4nY1NM3nyJ
gvSViR0y1UaNa2JKidWFSJCrByQWhEfHyj0OrPdWYZZuohl6e975xq603eEnKVQtXvIKVAT3mmG9
jkFtX5y8uQwhIZx+lUbrcTCntXAm60xSqxMxfI/znc49nNd5OexKJ6DPRvy2SsFAryAP9A/QTotk
px2kC3mLWT0tWNu5BFANnnyiSJr3Xc3AFf7Ly+ACvbQsV24H5AIXp2jvq4RlSwoyxbMMIBk8wfdh
WLxbJexRINqjrdH2Riw3kBkRqUvWd5zMznYUA47wbrBv66ELHwozVFsGqgA8fefilGz3gyVifLTd
cfcf1J3ZctxImqVfpa3ukYPdAbOpukDsQQYZ4k7ewCiRxA44HDuefj4os60kZo80fdNmc1FVVpYp
xQIE3P3853xnGLr6JfRDel0ojl8xCD6DOPK2Kb7JIXBhLz6VAjiRkUfTFnMgzeaeDhlsxdyO6EI1
lfKefdn4xSwTa5/DQtgptLkVxs3wCnqKDIxa829jPu8zMZBerbMxV3wbbuGOPM5rwMGYRiqxBgAc
6sgfTMA3bsU3EjQIemfmWYwsIh5ej32smq8msx19VQtfdYcIWo23dUuGy20zf0wgsIMowcI7iO6V
dvjqwF+H+8EbG/wAhBQNx68J1uQ3PPvXiIzGFT/CejenQHtNy8+eSTjXR4DVUFQ6pGpjWoi+yILb
JCHhaiB/4XZUF9SFjddMhB56HMTryNdwOg7UDrDIn10AeNsGTl0GaMtggBS6A3du1tBrIuz61nQx
ZiVNva9kqgXESfQ9vs30OE4Ng6y66w4dhWc85bsSPDjFHLu+NnG5VTkBOmzKm1AxJWewmF9ObWGe
O5kn65LJ7nPl2c2mthlZgGmm3JGnxdj41QcLEkQPeCT72dX7e2y9oPqZsg3vKp+pza30slinDM6D
mSp59ozOtNU0r6I0rioOQ9J8VKZZHcchNG6xntVbpU/nRPXZcZrRfivfgndgGFr/0GdZ9OHMmdrE
XJtrJuj6QTh1uNVKX93MFMISlgnflF93V0apRds8Ib7gemlCcU/aZfsRp9JuSImydrRsb9pC/1LP
trdqrNhkLNaP2zl0bJIRdlQeU3wm5GlMLG8W3g+YuvO2GpPswqamKg9aJuXDCqjXAKCT7gIygPlF
WJpZi0OPb8R303wXlr5BiLfCTRa7F5ndPU1qrE5jNV6NCJ1vZI06KrksiREkH1ecDa86i95BP2ya
V6vBKlLodX8onGmXVdoDLQcA07sZeDHE4/JYhUydY0nSIurc4n5sxvbKF1RD6SyC+1FGx3Iq1L0t
Y4KZsWeua79Xb3U5zKzcbArgWlTJCvbBsJYmz+ascqMrIcvoi9ETLgAh5ZIlMum4J41YrREy+jO8
kkc5kVGttO4yNvuc1NuwIepGj0ObSar4xjWja4+0TzUjnrYwf2FkNQB1Tib+El4zSb6wsXcYjabh
epppI2Dq7pnwxcuHJtWSrRTlps9oGHWTfTcY7QFbO2kfkEhg3QTkZhh9rH2MZtvEAcGtlUD5xLap
HLGdXAThQErNO/oVFgPTSoDB5XdYvop1TUpizRGKBt9I7tjKZxsvAmXtxil13oDDdhavH6jC+dbW
TvgkEKYDiTdCH/Ahzem8B4R4P7V4KKg/PrZa9+ClZn+Oe4IIvXr2W401Ota+eUn1YFrZiXHuLfE6
GPOFcQ0u7T3K3tXg9Tsosx0tSdEdfVZxUNSSwaq4TBzjpJmUYeWiay5zpV0q7iBgwT62usGCZTOK
dBvBW2eVgvwr+53l1sXjbL0hxeVbD7vNyhjSYpXXEqAgci8XsEnumIg3PMXKezV7D26d8p/6NZPh
y1g5l7GRP9um01408ChXXa7gaxXxfWz6jBmKO9yTz8wlcCMR6nWa8spyGTXqJoh8PAdMgIGYBeSi
h8DEh7m2HfQLop40SAz1dnDzm5Rf1QHuzFdkh4M7TGvNq50AxjC8sZ7hXRqHe9cw+2soAc71JEXz
Tq7fRzRzDsS5iqOfOEvx2TDviiH8mpE5WgGhsO/aGkTycsjnJ0s891s8G3JbNMTFw8LZKl/Pj1OW
A2wNh3jZSrn1xrbwPcS51wHqL9O1Z4Ao8MvyZNqgZZpyZK8iQ5/D/QDuO+KI0AxJxqleYw/DB07x
fPEowFPrkfijuYTrzbm1CgZN3GL7ubatIVm5pnrpqSRtWvb5pcvus8hgjjohz3wZsaG3/BssEScr
DR/bqbwqoDAG5ch1J7SqB6nI1SGOZ8miX97rLbW1inkrhSbyKaWqfA3qXZIH/So0+9HNdQxUijV7
kg0XTZEWMa2OCFpfPIyIoQH2onyvwHPubbIEG2pfJgJJTfqa9B0xXztmuoQgchTlghISNWXdBQHB
SKiXkhDAjvECn5SGYIot+2vHqHG/FBagZSvvPgSFlddJRQe8ovl7O4Ho22pgZ8iE6aeSM8s25fxz
HMqQzRFBHsdUZ9VywHCkVz/FBD5wh4TdDonltsZDRTcJ/QZ9dEWHSHvd1BosW54dG9sP3VPFCIdN
/8i5OTFUfTWb9K+oZMy2usvh2FvqQDF4bpgX6lszIQ8UYdtYicEd70xCKoEooVUMChAc9aTVt5EP
dRRK5Gt35JKaRif3JmbiHeutfiXrmKYDrHtHnGXlhF+C6ZF50qcatxUktVNGYuKhMSr3wRud93A0
6KhiNLqLc0t/pGuk3Zc4qG+l7NVXEqPRuVWeeyL8QpYf3sSOsG2/GwtCigNcRAKBTbGxkXHoGYvx
y9WJimDs0v3Cvq8R9/rSXtNFrbXVCfgROUbjI2vbABfvYtkdmiLXA9Dhz1PNVhGQcPYtjOJyk9QG
GWvFVqhduJM+FE+06pS9UqqDla9LB4+E6x6laqfnDn8bByZ3k/Pz3WKD6g5LY/FmSCEmqiIamaM7
KbvFTB6FiPs1JRhfYoSoVV9wxefJ9/dm7xjbES2FAc7Q0enbJCemxeqQ0uVX+sO49fmhc5aCu0tL
QA+NW7GvdKzi5A8dG9wyj3ErGAMgujA+yLlXAE1Nd1fkLSWkRTZtOnLHDPfMfk/dkXcMPR//alcB
vUrYzXMAux0a03rJSuja7ti+jb41PBlZBPJrzk/1GIePeTK/cRxXNz69YkBolQabT+uarZGp/kLT
m3vTdB552eZYKv8Qu3iP6Y+sgsaeqMYOkdxM4PcNF0rFVzjm0IZKBWig6HS0oEIzUB0Td4Uxj9un
quTWiaswwu5k2o9dRM6OW1A+9inLdAhMK/DKjpagGCLAakrd8gtaRXkvtcFfkSCXr5hNrZsElsgZ
W5q1iSeOhjBHE3XOTP8rM2L/Bj3OXUk4IpAxZUU3wwwlzxcQ0WQnLrOmVJcQerON64/ZgcQskmgd
upsa39kOB1xJKg9vpSWM5DjF4A2JXlZYlAxaitJyfhkaW99HtHY/xRU2zTxNFQqH+xWkVcrmwJ9W
DAiiTVNY8jq3wgqXyZRcwolKV4Sv0wO33xdQP9IIVBnV+zGy4suoL+lxqqrkgjYpPBNahqJ6kZOj
JEvQWf2XiRT1W58OtXnUsJDs+kFY3spyZ/FklMBUMUsJLF2qi5MP0PJKrCw5pRibo3Yi94+1apXr
mGlxi42tjTNKEep2nW4D5JWT3tzOd7oZwQfsc1bHKbPXTE1uiVLwzPRV9q0IyQylnjGuvXGMNnrp
Nquskc59mJUXWUvWuzDUMReA5KqMtYPfaj6fSlVQ/YChmk8h5gZIKRSyAOJW9cALqfsiL6unbHl2
GlVxVZVttk1LKS6d2De2sIAIS1PZWj7LSlpHUvDmZraxYq/tqg73hhP290M9zbdZ2Nd3SWbZJ52E
52bQ6OnUS40AoZaisje5zPeG9EkgwjzrSNeGMw2aEwEPUeisv5BecGbOuFhXkRi0TSKg1Ad2rKWr
vKV6rBYRWvpUY9DJiBcC/+06Wp7duskhhw3yFXK4ydh4ENmd4Plz1RVe9w6PRyuCkMPkruOr9i5Z
v+Nsm5jqJnQanl7ZDQPrYuf3MWlw9MtA+np0GpzubEewBVFy+lUT9m4Aaf4KwZ04K7Hdpg8Xm6th
b4EZg2DLJK5ksl4L1mTV4XrBhEWPzZgt0XxoFSeHNHKQ1c2DqJM0Ju5hUSRbSPfV5Si193vPXJHe
aDcD8V9mZW13w5Ey5PdfkE6hO2oz1pJ31cZPmAvY3TjEazQj0xc8wNvc0KVCxfYcVPPw0E0x9r4W
/GGJ8c/3Qv3cmIzHLR+LSNlpGYU6MJPKtsxXWKTqo+UlN3j4ug2c3GNoU3O14m6BSIEqvEHV6U6i
Sc2vYyWoVcbbXBjswSeBr1rvHaRQ2V7YQnU7IRycd5HSvTc3paieqiX5iPwhv5Re095Eg9c+eZh2
rvnmORcj3W2NXolr9nIDGdvIg9tTEXTuzfc2hmzgz8Z47cwUMweUlIRf0WDZ4aOXy4vSwsoX2Dzz
9KBvhBBboC0a7Z1RjUUoq/y2/aAo1iCDZISzDtVhZOxYOCXcuMaS/j1raUfs1cpRs5yp4xhMUbWa
D60/SeqWCp2RqtcS6axEcWqdLL3HURlujNirL5vIHdahvkxcwkR7maD2jPBIN3lc8bd3Q3PjDNLe
FdLQr5FFBH91Q9YzalD0HCFGRHT2sj5QmtrMr4n9b4qYmmUmPZTHKYp3pd1fh3m+pnC+AYqTbjgB
hSsIDx/drO7LdvTvCSqXLLvRRL46KptiLYz5qSjHx7mBPWK3mbkFZb/WGgBSnmyjVTUlyTGq0IQY
6ByiPNEemgFvvk/Z9CK707ERzwlFqyPNI7G9bStOXXXkpHuPSMKWQK2G8BIr68AOFg5Loqif3eot
qyJGV48ImEOtOV4Nr00DuxlAIJF56eaAqYp2VTXWVG11DXNLgKIR31rCci7Y9FUHM3XxYCSxvHV7
AEQER12DlHrRMKVG8HBD0CBme24sGoZ4gFl4OSNZY7aPOEQqTivV2gptddSAtkEr0ieM9B65kTpC
1tQH4T7xueYt2BJMy3VHQ7WF05dGMU/mQDwjQkHQeKw3HJhsemkQ8NdQaCksRFmU90DTeFjCYkVC
zqzQ+rDdDNbnQF/MLmWGwPKGXvLokDd7Ih0jLplIVSeKmMQNg09xcE3LutcdutjWrqPF2Nc0e8BI
lTf+cz951dK1UJQHUM2tzr2tJ8hpLqJd5wBBwXMC4X6tGbbxDiDTuofLoAMJS+VHJkoCx63fFNdU
o4H8UTSTzUHt29kbsRKdjmD4xjqTkdsEqlG0zjDbse5U7gvANHEN4Tv/mos5RDGNouturGyAiRbY
46aLitfU8eejpN6afNngI0PkGgcmIMCK4LasnFufyg1J05ZtvDbwLvcD/J6CJojYPWc6RlZ8ik10
pk9+CXxpW5OA+IPe+O1HVZrVA0Ok8LGIiupZ47e/0Rq++ZSvkxAaO8n9VCbzYzhV8ROwiiWkDezg
2VSa+4oKbL/kzdSQE6IQPVzg1XbDFn62AC2W3CJHqdk2S0qVbqh8Hj8AUeH0Q7dZlbqNuRxYdrGa
SNg8aE4RH6xRn05qGPznFLDkShcNtI/JS44uMjPRX4yxWB5V+DojsvADqPL62Svb8Diz12ZTPYO2
ydgAgjgqmngb9c4di1f53pdddaYkQd8xbNBINTiKOo+ETZCRaS8Jcg9EdGwUaDc6kGNaDne4SdMr
fBxwqHjs45GsZHFmXEbMYYzQu5yELu+gNAt5i/GL9DiJGY8vx0GEtM0mPZntkB/sYfIOSwHiMbEr
+QahhsFgRUlcvcL3BLDf9JL8jkibrq9xylcnHhieXIPvcs8m0eJqxzF5NFe9WXOKpkotLTYlGAj2
2cRhv5EUGr4gWA9nXQ/rW6cX1btTd/mpBDtCiVzofvi2451CWGaXkS00bWUavfXhwIZ/h3072NS8
VR3u7tB7SpVqBKAlody1lyws22mw7RDWquXuuVX9dcyA9K5xSH+Sw3IorbTDRr/RVGs/RKIo3spI
PRg+qmjZsCPpJwLulLBEBuZap87OczdMrwXlizjy0U479lNwZwTS+7xvWmQ9x++bYssxgC+5I3yU
QUiUs35MYwKh6xjKAPOGMUyuprF1aG5g6sozIiq9rUUE+yJOWb/oNndI2c41t05R9kWOdZjFBvQG
g2hJ7dCpr22QMNwS5pXeCQQ70UIHclwRvXZKhtk6Us0TfagyXRfEwg99oaqbmAvlbW2vse8bBoTT
Ri9q8cbWyO4DaEXTtxTwMuJKLkW6l6Kw2EiB1p223M1ps6NYalEGCUa6K+GX7guNDm4cSLb8F1Fo
DTBIlpXNd4ddNC+EOI0+nmMkpq9KgfRhcjyMAUdrfifskfgEDBMM06XlgCUXHXtkjkNtZj7nbyoa
QiTLlmJ7d8IqYhiXDsypnrXAVu7OsmmPAgs3jWZAQISBh8U/uDPavu8COdlGuZHRAq7rDFGRyIlJ
0G0bI/0WNjaZZDtxzFUetWTghK4nmyIP628KQx+rrg1ksmd0M12QlsxX+tC6T/SOs3ykEYe3QoVF
tld5Zr2lOY33k7JLDrjzZOymvih32BLdVZ7SmOnmDIG4JcvDEHUMygTDtLPrI2cyg+xYTZqw+Tan
0mCLZ2rqkRqigj49dhNAvD6s3vAvHM32jyluq/MwW4A3+NjNkd4OdZqmTlszq+WMP2Vb26W+UGPa
t+NsU8VrTs3yo/Z6Kw78PE3Osedc58x9d2ZUR1i/C4LbJtCmPdGUuN8yt4+3ZWO/kgqcbjTAd980
F2nHIK5Ex1T11jlWem+JONf381D5iL92/UQFHXjbqDKucllpN5Fm/s6Isdgffra8+LqNC4qF27RB
TC32iR8cC3GmCxhDtbec6RmecmI+Cxfkbd7KhHWbrSpWdS291/uepfTXhgn7v7JLYEFhCro4hQ3v
k79nyTh7iT96u8mN2mvflWrfq4Ypgs7Y3hpGna65mKW10tP+bZhZUlTXFVvZZyRjuLKZhHPvgapa
5ZI4VF4yYCpH19oObOOZN5vGGSCUhSxTuKDZWFHnvXLt6jjYKYjqBkCwCXlrcNAGLZxa+aobMtrM
KD2SrPXQgWgNMXfFmGlBgjto7S4FvJ3qbHYozt1I5i9whsk414n7LS2p+CViREhH44GfVpBuSMUt
VqnRs37z1ZmfPdYAX0EK+GDoLBN1UHwysRXcSnx9Nrt1PJScG/SzjeW6omBlAnqHZWmY8GZYVL4x
I+pAYDbdtPXzDbuAxWMwmOswiXz40HFfekFXuJvUB4qtQ5pfVaMGBbXjvJtnbICtNN2XKZ7ZX1/9
xUj6+dbzHQZaNlhH/Aze4pz74dZLWEtk7yt/pyuZcsTx+zlfAdeKLwg83hhj7657FucVIKb4aOh6
987EqzsofXHrIbg5BrQtsxlohCnxbfz63f3dtrfQf4FA4GD3caZ++n4jNDzXcOHsQHjhGTpakX9J
EZj6zcss9eR/+xJ8jNbLT4BHu/HpdSQDY7sJpb9j/DllLN9C2w+D6tbjmLtfTQ7wPCMzeLhGWK5p
unRvEjah4xphnO7w1vSv6aDIsM3wY5FOWVy3VkclahbO8KwT/U62WfPw66/G+Pzd8LzWDcfRv+Mz
0H4+WUXrvJ4RJLj3yEPzUJjN0lkJHXGQlkRYhhxDHvzsutKTisa4pZuuMPVV3OfxcbInCipVMr05
pFf+h/3XPzFVdu/VUkPffAavLG7wbz+wWv5yhy/G6H99/3cBuyz/h3JeGnG/oFRMN+8UgbT/+t/8
yf/mP/yP/zdaNqQCbpv/9eMr/PUnl4/wz3/sX9X0mZP955/506AtxB8OPANccg7WTlyBXHB8F+0/
/yFsaCmWu1xuuCiGrfM6fxm0Lf0PD5ckbgWO6Rand37ezV8gFfEHwG3SzYbJLb38k/98a+c/l54/
GTf/RuD8R9kVSxVC2/zzH474/BPBLU2rMZZkTJ4Ajj/fbpQfxGaWEYxJe9JMmMIhIhVzWYA0S9On
yG27Zw411I27tGkGfh2CUxopStSzut+r3vQJwqj2liMWlSS9SP2HCnX/yRxKcUWbpn2fOPQjDEzW
D1NhpV+rRLOuOgUyouS/9y4QU6a4OuwwcCatTa5gZhLT1F17xeTEvLMBGtEOx3nwY1oq41Do8zsT
BW7t4RY8lrFlnJvaYgS01M21sVscQMsz9FnK6Iqllk5pXvigL1V1aVpsk6W8ztN86lKK2t+g1+Lc
SSm5cwXRBiJ40FAgrBwQ3qArRk7Nb4584JWfWOUuaWjxs8csX1tMKjeWN1Kq0SpBtwXFdZ3h+Wu8
FJhQUbimxIWKYtO7Z8WxdhyXLj4OV/0VVZn2the09PWt3p6qpbkvFXT41abdIELAhRJLuV9O2fEB
npoe2DmIL6SZq7BT+ZULXWxHsYP/bCgbnohW9mxRTZtS0Dq7zpf+QGdpTG+VnIJ8aRekTZatFyrc
tsoxp5mxgj4LsAsvQescla2biKXyo4S1zOS1VWTtweMNz3o7Rg9Q+YYnWGbNnR924TsPbFhStjfL
HlCcwSlj0k2RHFy9o2E8sWL9ueDZz6GEnipJpE6ML+lUD/Y2C+3kXHp9eJl4xXjha/hKlBw8RNN5
9pJ1hZdvPcHotJH5LQYWHIPpxpYweS69vis+jGl09mEPlyjQcW7tVVOVRINsPBGjU9/mjBLXdk3w
s0nExzSmKPQxNXHAyK0TLg4CZEtzJM5mJPClTRL6YPJQAVNdM8a6AZcsL9J+MD+0MXGCQsdaipm8
7hgqRhMOFzN9gxjx4iwlllItfr5RhCSILGfdDSXeL0ashkG0b2nBFELS+7ZUY2IuMNbJ3ExHSODi
umA1qrTsfoxL6l2GpV4TgwcBm6VyczIp34wSajjVUsgJZmxjLhWdldbgqLSW4s5hqfBEyJwYpLtA
S2n5e44t5XqbDDH2SSwFoJHMs0OZDcNLgaP9dQC+GcSMBNdoUt4FJs5mnfiYOl3nSzIaNaVWVI36
hBpfU/inD4S2YmpiOutZLuWkc4fQA6wyXCoIkwRbFLtviu+spdS0YXEPiFhEF4DTeywuSl47I93K
nJ/lI9w9zh1xwRjLrGGj45uVCOlYMCmUmIDoIpWw7y6AuWU8HaAmOeO+HWNgtrFeUAfam8bw4BaJ
OHYVZ1lgDdUpFFBJ3DY1r5PZwzJWdsamjVt1bHqhDLKOqcOEV0r3lMURw6swb413WjSMd48zwXuH
wemEFDWq9VDUs8HEs88XMVHWzMoapsyDqw/3iWIisMPyo+ewZbpMrH1k+XXB5KcOQit1LhgS1/G6
K3vnRJ8SQjFTxS2+FZ6DlWh1h2wtIOFVmeL0bi3RJ9tZaN5V6xn1HCgexc9YuNnx4l1kpJg5Cu8Z
+GT6T/ocUZu5KdGeo6IV9hLM/lJivFR8TxzivoxaX741GPXHVYga9GLDg3MgEzTx81h5GAl5IDJk
AEAqwBPkZieepxLyUxBrlnePwxq4eG0MT4hkc3nkkADXCvvkdNAG3Sl3LfRzqOx+on2NqtGk/sSR
4glKe+FtfAggZ1123slCPeWhPYS0DCcj5VMrrYUh35kUhyLw6Hh0qSjTnt14zPHWse8FUWw0I95Q
l+nGPklMqVaWrtVXQKWwAY5ja42byDSoaGu0IVU7Gg7w0wymU90mbo+nZUBE0CjXwgmmq6WtpiNZ
G6OZOmZ7K2NduxBqLrZdIVu1EV0cTSBai+lWj5aULH777pmhLe1p5ABp6Rq6wYYd00zxKus0rCR6
44Sc6XOklYjkRE9HQmYcpzR3D4bRoudCDBs/EN3Kx05VzY6eywlpw3aWlmrSzzdJJsLHbvCbU+7b
H/WkqVcn8W/scUTbmh3EnwBjkbvtmAcdOwYWL+TdkdRtNp8v9neXb8T89KC7kQiDBKzZLjJ6cRNm
3uydo6UxEnhuYTA3EWrY4r3nA9As3O6y3G9tUpHTwr3g4Xuvpda48MGjBxjwdFN3uU19MFv9IRhc
NbxzYuwCa5F54LLG+iaOB+ekZUwOAni1HO8R95wDuEx+94ofwpN0cvdual22xoWgRbMAhTjSOW9X
EE/DsEdeiYz7Dk7kKSscVIFMI2a9Kd0yfXIETl5UKA8ytt0szow5Ccmrxn5zrPK8fvTcFKf1Uiss
V6Eg2w0omk6IhTtpXZKa756piDAo69Ab3iAGhBxJl11vMNbpfFVqPb+YNjTyR4bT3QXPUONVN9rp
cdA975CXjISB+M/pwjC17NXAX03DH874Z58//6XprRCHcOYPO+E42jPT2vHCnDz9Hto/i14/OmRy
Sv8BJq92r0s//2JbY0R3zuj0SGJMxjFhhypgXjK889Btr9PQNhCl0rh96Ht7orshsaoXLavkwTcN
6t1pPrNunQRjVsBTUfta1u2E+5T6AFwCfqnZ2GI8tgp+1+avjAJmuYO0Qic12gxU1zSpoP6kZqE/
tfSV3laIje8ipvbx0RhCnXj6NIib1ErjaCsGxGHVpzP23qzKzn5swNZvQ8LNKztyhouwLSgISNP4
CyyABHqWR8ucopHHSOf8K9eKuAJtdhLHecsq0EMntsnw32QqZtyYweLFLFYb/EAyWVZfNLHMA4hK
6w8ypQJyNXe2gL88u2DTIBRE+MKU312KyETDyzoEinUYO+21Xme8+oBmh76TxeFT6I5YdwHwU6yI
keY6ooT5oUO/+9IOCzNPJlz3FAjK2ciL+TTTL0LdPU7Im44u0ZvBC/F/t0Titq4yPH7xUVIckhhm
Vupj9lzZrHDcGc4k9lraGVujwmOysvoMy+Sst+xoDZgzTarSa5exrhHgFjBfZ0S5Bw0UBMQ0t9Gv
yPvzjfh5VlPsBmYhkLZM9sYYea9ZklvfOAbztjAotw++MQ58v7gD1owcom+wiPK9m3f+Q8KRbgdQ
QePh15pX2Wylp3xymD1pTj7TnpA6e1ZaCQ7ZNQDBFukyb6zSxodvO3oXo90id86maNN1ksTNywBB
qgqApFofAICLd7D11pG8dfR1bk0sElEz+5fmaF3F2HEOE9CV6U8h5X8stPvjcfBf/z8dGmkkQwv8
vx8aL1+zJn59G97f5Y/JXuPPP/fXwdH+wyCl6/pEnYjNfc/v/nVwNP/g0Ki7OuIO+drvR8r/LFcy
/iDyhXxlCSJ2PxE4vT/IfS6nPYIkHAeAMP13To5LtdMP2gqRXvhaZHr1JcLu6Ya/aGg/CEwMNkMG
nyVYnAEDYNHsfLoMYKipF6S/gaGkzgZzKPlxdrvQo8OLg95DTM3bJUSSJ2tInzup+OXM026M+w7C
RXtGvRcrPsVyGGAMW0usgsrJn1qvgdYBi3pg3uBj7EQ8MRnbu7SnSIYpQ3r9w9X465z847l4EYb+
Ldx+/3AEFQ1UGBwgOBU/fTh8UHE7T7jExyJdw73k8PJRKnnW3d8JdZ9fyV6O/y42Rtg2C2Bh4ef8
8DVGmjJED+9tjU+NcXiJkUfD2Y2HUEbrX38o6/NZ37WBpS4iBNkc/sf8JEdTJgtXZMA/WLr9NxHW
AKaKcjE4YtbABx32C+DN7bO1XrtyLai5X5E97wMR1TGL+wCuqpM7OxHP/Ft3FLScQPLMxC/VU6QN
F5DnXwH82o4EPuxWX0G1TStpxWQNyvpysiM4204yMKDUj4XVNQeLBNyKidO4YcY7rGG6vrr9/FzX
yYtViyLIM935nS66XLl/X1mxfHhSerqDuOJgnzeX2/qH7zt08MRNFvPsyvNgpyLgFiMdDXHLRDPc
+dWTLNxXjTmNCXNmXPYodl+85Vr8/uuL8f2Ffn4jwiC4bCENkZcGbfTzG8EdRs1p5OCQAPlKTKKe
Vr0mnryogY5q5N/yDid7Sq9Wnl+obr6r4Kj2YSp2lmSQUvjmF6uDjj1CEnTqnR2J1zmNXorJoHjM
ufnNm11mBT++WeG6bPnJsLuLjsUj5Oc3SyeSp2UczDa6zrTW4VQt9OHO7vVboI4n2SZ3mPsOqe/u
Z1JiSa0/cLpXQWdbQTxCIoUV1hsM0Og6p6AkZibm3g3AaH4j3P8t/8/79Km+JIfFT8nhSffz+3Si
WtD5JLQ1VrVbSaxvOxTwAuthpJ+7YzfcGKybiNq2y2Y5U/NLDxUHD/6mYz/46y/tM/nq03v5PH/R
8dHlAClDGLXsUrENZ74R0HmEeGLuyGX95uW+P5M+XSM2ltxNmPhQ1vVPNxQdSZwRcuGvrXbGMRxh
2fFaquUKZIDJvmWabm49zCTUNIPvrwuRnKkrP9h6/CImmjxS4oWbCFQhw4LyKexo/mz8bZE2d1iM
sgszxrDWsdPYhk7yxedMv27BOWjWfOm1ZFdSnDqBNEoqlGAFT2ZlYDzqLkjVpyutBMBo2/VlDu5t
SxUEzekwEfYEdKdN5XAedvAmBKaiHwSW4vnXF+LnRyy7qEVHJQTsslYZgrnOzzcFBfWUaLRciJl0
1GxH21ReAQ3Axnb69Qt9BwH8fAngUcOaZ4PJC1nOp2XDmV2knJDftJUKDqXZO0FfaGQYgVYk+7s1
DPjHdBxu7RpTVTfd0I39HOL/x64VvihSWKXTMM2eg1JfRrTmXdsqwij57tfv0/77rfnz+1xmED88
BPXQZ+ctMZpiN7ycjGHbZAJxJi2eQhboQDCPXMeyT9ALaA/Kx/KkRtrjPVk/RTOSXzXM2hXnOI0z
e23tLTzCJ4a6xIgAE9LZ5oW7qHZtMqS43TljVytZt1dE+PrAljR2yBZFSjMlpnqfFyaWhKkZYHQQ
1rYZaAOjW0bDhGwBKO1Ku3oc2/Q1XAIxoxyml8npHrCwuNThxf1HgWFzNYYRzpeuji5Qa+dtFucP
v/7O/n4TsdtxbHY9LNMWK8jPX1nW+mw3rNJfR0541eL0dgjOJBbzR2luf/1S38dSn26jZc+B2wsn
h8H87ufXGil87BqrogcQYPCx6+bHOZHWhVSc5eMBTkNeo4CV06mJPiKBr6hiXA4wiAV2aGmTZJbv
clEcdTb86TdvbnntT+8N4eM7C4MwLLPtn99bnvZG4Xj4TdOC8AZHS0e7mOv733wDn3cqwgXgQteF
LngNA7jyz6+izAWk5ebRJkUk9UYx7ieQMWu6k3dzElfrqeluhkjK17x27tNh+uLg6051ZsTCxrNZ
zwunQyUlSvp49pQTX+aworEmCvs3G4r/6p26MEyA7NiWafifHi5taoU5Gdlw7bkVT5Wk2PYpJHbI
CIAliee7sdj+H/bObDduJNuiv9I/wAIZHIJ8vEnmnJoly/YLIVky53nm199Fu1wtyS7rFtAvF2g0
0OjuapuZTDLixDl7r40q6GgTzPT7m/RWXADjhioGSog02ZXNt4tNb2ftXOC/9rJSfvAHyRJTuxl4
Qj0X1/Tg3Cir3rmk9qtr4vTBmuqww+rmm9/FySb0DonJmKPytxjPyDSMyvFQIkH08EKeiqz7Eib9
XRUaD3FkPYgZJqOvPLZ1FLihUhTnBGB9jaW+1wCCRvHt72+J8VOdYguKaTTqLMKMl799/hcL26gA
81NFq3gNBqKIDqJv+hs/5nWhjWohSZ7To8FDNIzia2yGhw5qfYNWftNa/qe6mkmotoxrDLRf4zDc
ZCM+lL6oEL1Hl4OVbMsQmrYJKp9B/xeL/ZYeYwDxUHH2Bf94xvB8oN8BKGtsvGmE3Z+YzfOUqbfd
ZHzSALQ2QED6GsFL4A/rfnHw/v4O/JSLIG1hcWyRFLm8O3SSXr85eRS1nDZC6dENvxWZeTXj5ITu
oGC5G1OXJmG9bszwDBUPNl3kpCloPHpFxH21QXPd1sM1mGw2A9QwbpQY7ijIyGolQzM6TbKyGKM4
zbDS9PoUNC3hiBOLN6mMSKwwz8ssoatjDF7k+w+2SUyqFdg3vc6wSkRnWqDjpwVzzbSsj+l6D6pV
I2WdnxCNlR4w6vO6i7yeDwr8hVnWeBrj+JSkiUmfj4SVtvXgCgc4UIZt22I4UmAGcgZZj04ikfug
vjVyXeCNrtaFQuSmOkArbLPRm7Rk3IRAM/SRaBz+0UGY5ZehDi6K9KOcmQS2z+/8FNzpVyslKcvw
glTJ0U7VjbcrQ2fhAJUMCTxdQIjYmdCqi12lr7Tiz9LvP91m+X/UQKFjvuwsf99AuXiKaKC87J38
+Ue+905syWh9KYVpl/7okHzvndhElKj8C+c0mdAkkbBg/6CiiT9M1lEoT3JJYuZY/tfQXZN/2JwV
6bg42iILMv9R74QX8c2zweSGIA1m//QXmPtr4vVbGvVWZRsFEfBlWtDwQ1GKlKgekUWGsoYcKqm8
u1Lz104Gc2otIImfNCtPN2w21TGJY42ZJ3gkr9cjvGQ4dLuVEK0kWpCdoN4iGqFw1CJsak4BcjFo
GTu5YDPrQ+5M1cc5MlNetyLdRzoxphmAzl2X9e26p3u/q6ogv4gMabQIxtve8WAMdewtoDDQtZPz
h9fCqOt8L+zUOEackh2EoqhxfeK1zhjcAKNViXsOOKaOyrPfdHVG0IPmPEZObbtMIOyzAn78gZGv
irk2mYuTTZjLPZEQAtiAGi7M0FIyMqkxmjd4hMF/9nEefwDT82mY1egsqqNbvAkzM/qsZ1Jq1Q+W
NYdHQ1ThNXNt68aC2XqmRrHYkg3arBE20UOeiDoFpKxwqlf3rVKnGA3zee1w69ZaEIeuUtU4K/Jw
uK5zAWzEsc/sYkyPImgh0DfJkwhKEzJsEV37thkjByOfjenG9BkzhXUKzRnF+awq+EhAEfRI1Wg0
HRJSURhqqTpt4KYrwyXQxLSPCinAJTA6ZRGTpxoTknLEHLzKQsmYLpjVSwsc67XT47bd28ClMLPF
QXWR6CN+a5Q/zUMhw6HaD8iHj1ZAO32l0pi7KOys4KSLgpLhQh1jDhk4jepMWeEVrRRJVOMKl7pz
2QDhIciplYa9ycFGHchJZS5bppngrGrD3IEKHkUbin12+GERYzuNOI96Jf6s9J3Y+M2Qb/NYYWRL
RgtohcCx78q2Mdcm4AU8bVl/0aKx5qdEVjytjNGmYy+Gur/BtxYSMhjp4r4zB+tDUWo1lK6h1q4W
yNaFJWi9eGZNAGFHnOMucwwoCwN25vsWS9hjZUbxFc4OfU0eXVDhUpym4DTwlfpNl2rF2uSgCd+I
pKnrUHb2jrAddWclwbjJ8Jqkrp8sK3IpF29C2rLV34g6olE59BuphB+AhjHeSqb+vGu5x1g840+j
rLpLs0DxbxqQO+w6v2jJlNWnSfPw9M9XSZXqZzEixY2lEJ1da1l15kCIzrapaba81dMYQv6FkoGi
W8EWUiKNxBHrkDaB0WI0PUNRh2dQ4Z9ajDinuCIyhISOEVnLEMereJbVrmsygwi8sTjkc2ODBxKa
fxE3jUKHrffzI1EMtb8Rgxah8VYjeYVYvfmAbzIklC9M5VnjaPXHURCP62k1KraVtKE1maXfjYTx
iKbbY8C3orWKU3P6bEDB128auyLc0syLp3TJCQxcrbKs8mTz7OPR1qou0u6VgLbWPozRQqGa6Mlp
AWsDKEC3fN/55m0EGj/pET9Fgfpx6CQDQcQ9ke6Sdj7dEcirecjimWGJ0cgOYRFV24h8ecZPrdnF
m6hjmV6xRGMslGaX3sOLJ9PVqUF9s9gD7naGk6a3zTmj7PwurU08uHCwJZT+dFSfpKSD1ox+elaL
Itn0BIdv+jb2LYKxZ/2i0MbpMW987VNaU4RI9DEQaJnQ+WUZbOy4LW+HSGgNlkVSfEYGrVXxFPRt
cTUblv8cK2B7Ekk9Uw8joWdC5S/W/AjTZarPxrjFUmk2txHmFds1JKhVt0UfMl5PIIN7DisMtjbU
DLMB3ASz2cLiGdYRI01r54uRU1fW0aA5yzNZin3W6V22NiHkw99Igvk27gyBkDxkEMR4bhGYY+xA
bC7MPOhdu3GSs9EsFLaXQN+UCKdzai+Ok6L0i+3kLEHYTsFPmQYXKWbBU016NiqcceSwbhDYgneb
93VoykNnxTPxRotQfhrH7CxI6uHOjKrg1H5T1M+GKD9333T2dcIrsWqGEW2R7Cr9GAAXmXEuLuL8
7JtQP/km2ocgN31RjYqeZ59MzmNYKdAoyphJ/Qrc0wxJGKu1s7XkTIWnZhMjLHTwBnrMsEivMbw1
AiE8KvSjT9J35FldFzjsYBCIyFJSa8bWRDqSA1Ua+6FEanMGGmXY6abFW9Ao2bGYUsSvPjTIFQEc
xGwXLJNAwttrOXZQptJafaja+drAgKKDEfK7G5IfDKgzSqPgHIlr2bu4HTAOiDmxHupgUlMvKUfr
vmbW77h4a+Ngl7RzH667ysLrCSkP+4laxK2rTsP0HGiOemdq7XAD6Lwlyb6f2hugzM6RpFka0oow
rrWmMu5RBGVHFmzj0CwGQzMmM3oYprPZScERdFY4rGwzOc1YlkTLC/vN9vqUpQWT505fxuFihl9y
HoVZs+S0OkSiVBi+pw3RREq+NVKDuJ2inroNqI5sutIDNbwzQ7RC/O2qfUy0zAq2zLT1u3gEyrGh
5dSSsIjNsF5jQWsvFNmlPs4W4dyXqUMwYB4bpE4SgajvTEXrsVkpPuNNK6ReI/m5JnKtSRp+aGCp
cXbRMPVt13bfpJ8gD6kXday0E/aLzsJFgfeaGsIZS48U6O5TlaHO7cSseEXgz7obBGZz08yG8mAz
WoOe3DUyWndBwEJDsoUBYgKXtitQSlzwrauDH6Is2FmlOgAtD7vmuUlDVfeyYAjsFfZ1Q+6KqUXN
XXf4CEjrqQB2hGrIgm3NmtK4cZsNZ3JUS1LX8xZ6Ekz28knjwJq4nL+KQxMy8XeNofpi0xjYlajB
vnRGP0dAbHxbcVuhmI3LzjQTxEtaDw1ZNfiETa0+EeXY36N7n3N8WJiaeq24swcOPquUrF30gjTt
j1ndEHGS9XHnhVn+xNQBAePg1x9nzO37GmwpLxZ5vOdjUjq09lSiF/0iwdoIkSsGyWQnIACTrrqM
o3nmlfdbzvcpAgLI+VWFcqYjd5iuBuedTWCKRRUIGHuVJFocrBUbDZhi2MFdN1rhM5pdPSNkdiB2
vugKZFbRnPPoMfOo4NDUJThE0aHwqhoDL46m42vyBVyUvuv8D31V5+gjwnpbW3C5yiotXSUjs4ZM
9i0F6S5RE4RlnFPzDaJnEIEquDoUOAwmdBLFVkOWG2u1kSyBUZY092gFMKIHZCew77OeJDyVh8DW
/V0bkBRboHG8rUizxFXtZ56uGSO6kCWNrqnV6jGoMwIf5jDUv4zZYttHVJYU8yemmc99hOpDsdRg
1/iiR34GSx773WSbK6crLOK1fJomxIuFZEtNoZjWSlurHzWD3eg+rAqM2POom5d6b9n7OUJpgLsY
QcwuaEvwkYPDoZiFNk8eSZ1jUjWzQHh0VLtsZdmh0rtW4ZQ7gHO627IH7EdIu9eFEw0f/HZcDBSp
GLZNTJUJP+CIAj5UVlUbh9NOaTKCzeo8Bz+AUGu4tUngrVdmxYfWZZI9Mr+qPwp6AIRb9InyXMNu
pOoUFn/3aNdXrECqcDtVL1EjYedFFjY4sHC0QPEEeODLJM7rG5ryJnAcC+/9asA4+tmKJLynpoRm
5VGgTZ9seyy/dIHk7ZBtXjlHXjwKwwhf8oNjdc2tiVnuxCxJXGaj1tzZug3HSC875Bd6YE3ss8Fk
EkGsOFtDFOOOp2egexOq3ZOBVibaFXPkHOkZ4adSC/hJDKUH22HF1fPeixtSwIQqwl0K7JGMjUYG
H5mgW+7Eo1IhoU35AdtCb+E+5Ir24NhNd9CsAUe8yAoCiO2lBOvbgHogmwWERRVT7IqaEMS0MzWn
yWfMvapw4ino+X3V2Ya5kT2zSMQP8TDIs9RWYzKlxipfc89U4pTtaHT7VgOKO0a573uaX3xoMJAf
eVnRx0aDgtlTJ60CPdrK1hPYvWaHaRQulBdK0D1eJB2gNZoV66EbzFNwF0OdfAocwriXpJDkcQSF
e6pLAOGkdaFkZghRa48k8ZTeqIYBIlz80uXEuXEwoGcXYjzW8K1WhJzHa0cP0ws9nvPLQlpQEnsS
jVynSVlYyoLYXaYBrski+eCkqlyR3mJ+xhA6P45pxYCpJCHlbHLy+LEUBVqwMQ1uukzDaeFn6k00
BJz/JHvIeV+W/rAVWt4gUpOiTVxeLMQ8yCuBvkV1fRS8FusxG1obZOAONfHk5vnNRAA0eFO+9xUq
BtstjFLvPWyG8jgFeZq53Qg4swl1cmkAXzGhtNI5xA/ZhE+WXlIsFsD4K1NmAGD1OUC5nYM8bJ3u
0tJAnqT8ALeO2ac3rBfVKdD5GlRGDHv6BHpPO7DhTuDFb8WgHCx+UJ/j1ycZs9qOjhHcVMX8Tsv8
7UiHEReSDHp+WMdRjCxtjZcjHVvnxuoQjrcIXeOrcpjbcyO0NG/ONXmImAtuoXGE7ygK3raD0aao
eKRoNtrcfXIiXl+ULIZi9mUCsy0M0hNVRntJX5MONNHDt3iRO+T2k7UnOqt6p7n2dhyzXJm2CY01
5nuLWev1lUvTxKSUNfO2skudUkciUxgLSznWk45TM3X8Jf2W/tJ/usn2t3HB/1+1TBjgFm3C37fi
LrsnmvrPdT29asd9/2N/tuPEH0Rzm0vjzWTlR5n0lwfGJG5AX8YXyOeYdi3/5IeUyfoDATQDN6GZ
8POFQZPsTw+Mhj1G2Ljb8OcxHNId7Z9ImZZX42Wj1mLlt2kXsiUZS+f8zVNsls6kdmVXUcOYn3xM
8agfqekDaMLpQnUgxHPcYOc7lbn+5cWduvx+kb/XGaFGeXPpN4NYgfs8SdSmWuOfobQKm4Tsw3lX
Jv7jUGn2O8MBsXyTl990GahpULp1E92OIb4h2l+MR2K/j9E95BMzqsQ4BJXfug7NIW+0RUJwSvlR
DeJ4yy9drUEVIfaWvXSTEi17b3UfF+7CypiDD3GWXE6tPDPjEdBoaiKw9O+rxRoEpToCfBYfNR24
yu/vFeK3nz4+w1fbJpSCZ4UH6s0aJ+qskRaua6LhWoYauh43q4ImHlursdRVs4kcbLI9EtXGS6eL
oxvDB748ViqTVPZotas+JjOdi9hWgSwAhtaNLW0AMt/hSoQZGSyURmCu+f+KbIhXuQ0FFETLFtMu
wgZ7qvZBJdRbBWxCjUy8xpmRelMfQKe5IhXLjcNo3ZvhtQEiJJiGx4bBRTJAuO0yb/QJUwmi5EqG
yXWZTqgAnjBfk2s2rj6PEeGRcrImj7pZnhW1Q0mu4QFx7K7bo73IkYxY2DJtvswIqMGoNX0rUhHc
Wol6lSspHUSHK+tVn54wjUwPcdYiDyX6GH1dy0YZk6VrVDnbMXOjJVC3iy6mWiLVS4dqp8qEXU5y
HDMV3zkYyuCfbJul1HDi5nLofWM3Z01+aJvC/qyrQrpBHhUXGKwWtuPSf6bP9pkWhbM2h1A8lubc
P5ddqx567TiIcDgf1Dkg3swmdTrWk2JjWmI+5JB8V6o1I8TNNTihsnyKovgpCgpgvRzEXSGqYWNY
2pXSlMirpxAWV/oJi8yhMiDW9OgAJT+N2Uz1TsPW44LY5xCf+YRXZk11xgFsPXbFLbjW/Lsl8ruT
8Bcvr1i69C9fJ0oN2iiWjgyTclC+1dM5WMerElrTuktTONqgLgsQXVUbJoBUgpJOhanfYnMYT3PY
KZ9DHzYftU9FOymqaHlL/W4UmGaWlt3QdfbzmNvTjZ6o6RYfQuNaDlyHUC+Se/xwAIdGX/36303t
mzf0dirxZj48ZRFhxQ3j5S/ty91pycOhgvr7Te0mSpIo+8Uf+XNDs/9wCARh5mSp34zM5o8Nzbb/
WKS5yK8QLtiLcOHHdMlGzsv/4AAdxN/LNvjXdkYcD1NCwaQKddL3TfAfeDrfuJ4RwBkMlky0CMjg
UCKZb0bAPh48eNZC7Azam4e5HhKXePczwxcgAcdBAv+cgZuETbEeymC8i4YEEK1G+maltqGnOY2+
ykRvf4nDRvOAlsjrHM7LvlDK9iyTY/jOtvS6ivz58y7L/otdyVQm0sXsSds50OZ3sC/o+uEXReHi
e2qpomypCJbnsOm/o4NiCPvqDf750m/239IysrIu9WkHiCriIN7G57Qr7c1MxjIhEkrh0U9TgHAw
wIJocjH2cPWsysk8R5LSGJdmvZvmHLScMmSrYiGhMb+7IB+ERbvk7ln6uKD2Atgv3eSCb6MBVufq
rpmj67KP13Ua3YF5NAmurxQWuDK1+49JpEyzh2myuizCDFMAThxm6GrAOEUSNJCOERRUkR1gyhVn
NBajszqfh09hN7QerPDiFGmpWE8Z6Yx092HifYExr2KDCbaMHBRUV4Ahg0FT74yhGPeyZ5ye6imN
rjGINrHsvsQ1ORjMDkX3EYuFyoFViTcsb5K2foXjKDQJLBLxnWn5F900XFW4gKnzvSFVPpL45xzb
NM4wTjn3DSSFreksEXGG6k2hJU7xHJxlGRaGkkO/Z4O6XJEeDZMCJG5vy4c2A9fbD+gShBMf9N7n
fN5PF5xKzQ0Ju+26Q0bpKqHeHsp+RJDY+RAX0ui8oPW3GWuVfkhxSx/04M+TD0im9Hr0l0KB+BVX
B05wJvYutdpQBY1eGSzG1Vn0eClsYy0G2hn5SHwIfZtizRfD/xGV7d6sLfXzEIAssgJcMiu6tGQI
ZtHV0Dn6gbcGl3J39ElyXBSe/YYp3y2Tx/5qzMCtjnCsVqXVbRBHlDs1VG45j9Hbr2lR1w6/CZy0
8MLpUED2BDqcnHApc5jzNrblM/uz1C08MH9vGCUZxqII11VB4wuRjYl1s1xEE/p8q4zVgQjitQK1
zu3DbD/rte6lYZSib+BpHk0Qe0jmi1Vnc0QlknQ6DkEIxCpqo63aZ4+GzG/bhIC/hRtYEZ/shPYt
R06vsaCXiZR7aQ6wFJlt7sD0DW5S6dLNJVPEVNgLBKf0BmCfXe+Q/8SvCerS31rmhzxvErfWJ5tO
RYmBOgVFrPjYfP00pqKpqOKkHW8rwmnBtqhHJTB41ZYkvjFlwFGULWf3okxuGIwoHiku23EwbpLC
HD0A9LSwp5A2WxefWzDBV1DHhNfiqHfbWEX9oYitMtRbUyiQG6zguhMjjLvMOQZmsq8y+zoi2XRV
TeNtO0YMwiK3bcPzHkvTDsSSNzCdGZsPc1pdyIrxj1S76zAs7Tss19EGmdw6Vzu8PrRcraA+qxPh
kXl+y0BuLUZnU4XZF6jr63ZGxIafrncrAXuj0Y1zZ7LCrUYaSBRXV9HgHDAEXIwyOMSwys8yq1LE
yp8muQkIsoGsA338kXOxyX3P1ZuxoV9PFXitNCrC2ghlM6SP8UtPBcgUu8ZvhcHHeQhT2kQqX2s/
zo3JT+UYE5PUjikGHOoNvliU/2GHjpJx464uI2b7CRY/xJoBPLnEvLJ94a/SPpnPFnXiLmXSd9BZ
Fz36+aQqElDI6jccJ3Xobmt4hpu5NRTac4pKc0Br6K3JiISIXKonvLfqHgZ8fV35WXc5dHq5iwoB
Kh9G0y6Ni9DtZ7pWLfOWk1X5F+U0HWqhT2vTSm6nPG4PCS5rHkHjQzfNS+qzhN84BfgUBccOhKX1
uajszlVtP/QgKSZIiynn44Ryfsli2wdySQpTIJGRUhKtpdr7LHaNCS1QOUh/Zr2jzZbNNnAW8Nq0
My3gNgPKXEJ3v8ogJzcxardEIglXAXu/a5zok65AyTUi/0rCCnC10CdytxkHQHlhD/oz1vYZTc/z
uX5Pnk9R8aIO/baLcSoSpiZ1jeOrfNMM0RQj1JSk0XaFU1wVUWbtMqJcuig0jy9qoF9UvNprfd3P
V3pTWmAByENG7/quhwi1M3wHHkDTrwA1FAQiW4+WYEIymgYj2mXlLWHde7//CPrrovv7R6BXgPhw
cUc5cqkmXlQLdpEPcd7M2o7VCs44Yw6FQyiZfnYqpafUiP/hEiQ37Vy2O/iX1Tn5pfjJe0c9qrFf
HelScZBoio8WAsErTmcOHMB60WtqeX5ugv/bJZoaeXGfBjsge/lOjGOzxqjEIpirh7pS7Z0sg6+5
JVGScSByszq74nOQ3otV8/ff91e/7cuv++bMGxtpygnV1HYMh/xr7Ok6yB6bTB8yPNzfX+p1T+3P
OysX6RP/hnJq+ecv7iyJhH7WJqO2izr5FRRuBUbP+Mw8Jfdqs/z4+4v95B/jF6Rp+O+rLQ3NF1dT
Ij/r4RKLnRn1MOlM/V7Pwm4fD8GTFtWVW1lJe9mFcG3sVsD1V0YEKAnaGyju7ZkTd7uYX9IjjHab
WtW4iZuuPXQ+i1swctqOsFNiqh9U3Lmx6YmpyC/pSjJKJsvKTUeNvw22NYZu5TQuRQkB7apHhss7
r8zrvuy3m0rFz4xDYvLh6y6P84uvSUwTaDP2kZ1VmVAOLDIrMl0klG6WcomMhgFaR6TQOz/lr17U
V5d9U1OLtmBxKwZ9pxjmIlMxn2SisTPX2NvhrisET4znvtLUlww3irUcmDX//gf+5UdgUcIJCffE
Rmz3+punqjY2ZRZpOz1KSSJjS4zM5gzPInPflliztLQuTFul3tStz6z61eb3H+AXj7Pz8vpv3pzF
hF9oeUAGRdp91ptoPG9zXz9klcWDrQTvNAOWk8K/ewHff2dgEOReqprAX/bm24YDkpuWvOmdqTfx
SRuSYRU1sIt//51+sRpwP/99lTffqdFVvYfKR1IMqqPVwBck8tkgKAW/3j+/0vJVVGGbnFZ/WgxK
p8vn2YKX5+NXHmztPrWArBNA8/vr/PIxeXmhN+sA54+upZNmsJuU8jkacM4LaWydjrCdaOr0myQg
GAyvPuVxtRTKomzLd4w7vzgyGxCaaIjaqnAczu6vn1U/HIcKkLO+60huABFY97cIRLQ96iJ9V+rj
XVE6ECn7ANJ1P1G+kZ/nygqev8yUB4WBJjN7hRWT6gKmWJDdW7WeXmqR+BDX0DV/f8/0nx82pqho
4PBlL58YNeqrRYUpX+Jnc81Hw2GVTybY1JDkgGImS8NS5rPRscZ12akIxZAaBgMiQw6hyoYkBsp3
M4d3krGc1n0OlCn313Gh4SLgTNMo2kQ/svpalkOwV6uMEk43jprsYTBlkuPZZC8E+4iE7xlOY1v6
FWnpz2j/tdU0VBmG0d44NU1z/e0r/3f68k6jSkIhoJn04vn4KSV6W1BSfGeZ7Z+giv34E3+5yIWD
I4DMQgerCFPCH50qqf9hIdwV+Gt+dJ1+9Ko0oqMxCNNtlwIQjbUM9n6MXow/qDUdMCFYkxa7uv1P
Ri+v12jmH3wwmmXsDqbFZOKtZ1FI5itmOgxreMsFjfdwxq3RClfTIBcoWTy+k4H8ev38cT0uaDKM
4n68eXHSQAdAm6oDNsAGtp4RfO3nMubJpQf/4jf4RalMLfpqR/h2LbYv+nqoEU1pqm92BDhDQgf9
NayZYtKBy0yzXNYNjRg7UZ4lftCfdTAetqlocy+oaufJSov+koybBOKFgcCjUoDPIAtDNpB0DaDE
BIvXvYHEjc3FRrxlWYF26FTRPE4DGYNuo0kEh/FogzIjAG2Uq0EvnhVk2YhFEu02syFSb3RJgXxs
jVq9jFLRBPCyZh/1mjSeWyss6DgM8SIXJD2mGzE+IwQlXiCnVVP46XzpVIwMaVdNwbYCcAU5p+2v
YvIejxWB4/2uMsDOo8kjEGbVSd+/ZwlD9izoOrJ6BqkEvGJPEhlyoMhtSYcCRHAaKxXEoYFja2Mg
zVwBTKq/ZhzRDrKx9jLgedDQG68VmZ/yybrFSc5aRo491OlAmY8RIsdLsI4UcwJerk9iJ9rqj0oG
Xpwl9Co2ZnTKRDhhy6lXkSPCVVVSZuqOUp8mykxX7bre9VV0RanmpKGnWGRtRImZrDUyCw7K1HyM
GCrh7TESmnMR6UrwnFZjLyks4ngDvdwNQ2iSukZKkak4a/r65IIF4kqrKTSFcj1VPWBN5IGWhgqY
ZrHBkMLZi4qOQIJCwfXrmlROjbNFHDk0xWL+A3oCzNbFrkmJyulTmYPXbeDVGVxcWBmzLVulBwUf
vitqXh3i5AFmn2V5kHjCCh4Hn0dda1LbI7RvS4vgqkhqz17uaKJz+PGN8KZFwuWqo3gyO4wGiSQ9
M8YapGVbtaRRgiKjBAaqX/l6giQ6055iK9swqKhQDrZbxv1fCR1P1glqM7RqX4EGnzOd+5o40Slr
g0NQJhphI8teEVY3AZJUTjNIpfpj6CfblhI8TOtozSCW545hJGIZHxPCKdYNCvgYvvVF1aJVVIqP
OXks7qBzotOH9EgC6LPVgYhOxtraJNkiCiMFfOUEDmxpZBjrjsCZ1WzniAoh/eBIt8/FFAbnuj8+
ArW7HwNhoaEdINfoCdwwX7n19eBEhIDqzjrcbdhrpANKPIeJn69GK4AUnRRbqxYfE2SZoe+jPPG5
XDpEj6TTkdKntKjp6IohcsbvChYtU7m0RXDvHiNy79WNOSxcsKswmxzXLwb23DRtVnRDdEaoYr5t
FU7VfiNvB5Vvmsvs1Of8DoZaPjJ1Kr7XYP/dXN/dXDUN1+aLhf2nzfV/8qeH7CH/10P+9K/z6Evx
+FD/a9+k/Nfm9ab759/0fdN19D9wCLPBsKXBD4Ek/GPTdVBCYBGHwwHeU5rSptL8oXdgP5Ym5ecC
L5AqPby/Nl2UECaTRgdHownPmb/3n2y62uszqcQTRS44nwxfmsNZgr/tVfnYNFWDf2Wst+EA9ik2
s8e8tMFZSlam0K/BRM7pV4puQked5LHQGto5hUJQBDjnKSr0VWfnjeePQLr8IfrQF7y2L27yL3bP
N6eCbx8R35a6lAXcEeqN1x+Rnj+VQxLUWzsDK0BkglhTciMBDx14idUD9K1zqyEkLsATkxCY9872
/TcfAKe34FZJhFWvPwCs7tIeDIIM/IAPoM9j7y4OGjCa/jqsSnSP5Ocw+abnEFbdiqCE5p2P8KZW
WX4lG+qGqhmoNVT7ba3SGOTxpFlabesORBWl2i0EvvOoem+M/WYI9v1e4yPmMouUCiLJ669qzT45
eFNRbfMCP0yLym0j2/JjUWXOxkE+6U4WWVGVxViwH0i7Is8PbvoorkyGhqcM7TIGHN1/aGJzWNcE
cl7rRAUj6kXo6Jhjve9yCHF1ZiRrpWQ5SxJD0sotyefosJzRSqPq68RlpYBcCX1u5FRZn2B17NW6
YdeKKv8Q5Ox2NHYnJuNzeDb5d/NgLGhJwCiabW6McRjPxyb5qulzsm769DFXMtvD/3M+284zo5Br
fZb3v39Klwru32f+5cbxSqiotTUGrXTMll/wRW9HzrmaBlFVbk0dtWA0Tp9ipJpYLlrXF4KQ3JDh
jqx6553Oxlt2DBc2TJ1qHoUAXmyWkdcXhiEqy4Ym+9ZuwnRtM2vbS3tudxSWwqPGhe8p596lHEAW
PvFC5yiAXWnn/KDkWBDKE2w6/CAwmXindEI+4NYyWSyqYdqmMbKgZfZNsJSSi+97zf9ZNLF8drIf
F+w3aCsagG9KcLVzjH6CxL8FcJx7lWKax+Bb1dSTjzZ0xTqRbbptIdKdU3rse1i8y3y6I4GPDdLa
f1+AjHFDMKZFJMEKNa6+chS+tJz4NlZKNgCzsC//9LcGmIShl8G9YML+lnvQikhRSb1Pt4NSL+4a
FgUIBsn3G11bJclFHfUZzFrxjzpLy1PGlQ0Ocaplaios6dc/dicynwljTVht35To4x1mclHbvNPv
ed1S+H6VhV9AMc6XY8F5fZU8LTNdqdJ0G04y30rsAofaDx/fuYnfdJmvXxl8R4AdkO1ptATFm18f
TiChhHTWGR6nX33p1xASGoqnINeblVxKWkcZ2Fv6tl3n2kyf1Ey/aoExX5FisjbzLmTfoWjSjB73
EG1Ecu0DdZc2POQkrBMYpiqRq+f2rWIp0wZe17nAK7nHIwXwhUyBVa+lzkbRh3YNUFCsSVDZqiPr
m6kR8BJVjrIuIv5vTWhqJ053aMW7VOX14M8blW0j6+WsCH3EXlXjqOy+HVxLETkbUsTyVeiUxkaI
5sMIs4xWFVMnv40fszl6NGP9Kitn/+CXcHMMyuNadJT1XejANst3yuioi7XG2aRF9LUOqCs7IqLw
QVDyJ73DA6fxfOdBg9y6TB+tnmfQSII71Bzzpk+dWzBqPIFtwufWsfw56KHDXqx10RLFx9s+LKs3
IPzmvhypvw2ltiHh52TcG1wsdWLjQVMnlmVBqPlSzjbBaHsggQVJ6mnlcsb6nNekBeIJBTFBexkK
5cxGPFvKWqbxV5LAYNkErU1cFp8X1/E1KI9nK2H3BLl5Cv6XtzNbblvZ0vSr9AugAvNw2SQIihI1
D5Z9g7BsCzOQABLj09eX3Kerbdpl9amLvtgR3iGJAIHMlWv4hwlr8tEncE+D6HcFB0iYzyte9R3S
xbroQzvugm2QWj5INyveDjb+QcSyel842Rv4jnoDPwGl2Z4TuFwYAlZ2dXRK8ZgbwVPbVxXbsJNh
EfvpnuTH4mAZbUw4eTV13z242aqjtjnckmDsY69+Q14U3MKAEo3mIYEQzLQh0PgVW6yj3K1fulHb
lu/YV5vAPsarVo5Xa1W8U4UFe4avfZjYfNF+qhxK7WssZMytX49+CBDzpogbyjEIsZQWlIzmAHQv
FqxzsOXabmnIr6DOiO0yFu/UwqxY3uziYaFtNPxIb52XsQCPWKM5CeG66oEQJu+NgufUEIRxJ578
UEub4+xR4SFeiknHWr0hxlneDnRwtu6o+Y+Mh6M1T98gkTUX6QINzo29J11CqelIT49uTlV9ejFk
Bje928kdrgzon6m1u0wsG11AEcB5DKflNHvzY3JGJ7HuLb8M9nIp33x9xAeMFW4wpNmcFm63ct8x
asDebNc7mGL7xfSfREAik7Z68c8WqFhhSKTdA9/qQ0ex5gA3YM04K7voTGUbGp/XVAJp0pQVhIw9
Tqs62wXqB3AO2OjHSWfqht5pthU+i7aR2dvpxrldshha2FGOnNCeni8ISEhgn+gxQMKVOvFaMJkv
vVRgWxu0KMHz7jyUVXdr6x0MFwUPB4WTTSYRsMrn8dhMyOPlRZxHs6QShPr0Du2PgOXRIlj5Hixd
JGrUC650594s29dGsK/cOX9vXe4aS/O3U7gYvOJdzuTR/kgkqPOEC/SUrlJV+MLF9aEzJOX8xEOk
GCAfWsmnyJIRmmcSyCg4P5aNX4Qgk32MPQ0cQ1fx6pjN8XQ6YdaIYRd0jwgZwPgSZfP3RY/jOzNv
IpRJcLWDG7/r+hrL09kMiaff65JgYpmsXEyGkTnus+e+Zx/bGp87EmsLt+GBIIOLG++bJL9S4WxB
4mKTlu7NKSgNDuEllf0rDSgOxsG9MRvG5m3p3FPvIBJtsFVwe39btIymjEWro4TE8k81kaqExc0s
2KkcO27j3Zy+4bQU72pLtJlzr44CzzXvpeDGTu9AmMFNhqQhUIcY8Md09JPcoQOilk3tY3FpojvW
wGLSc9s4Oh0dCZGUjHJZKp3OYjxFOt8mmDjAXJrFIaLSyUJ2KJhue3+Ru1lj/+bsTCb4K3/l29pF
WfTxpVRvZ8YBbgvs87gmtR46OftwFut8eYrE2awSMTcpwwl+DTuYNGtZfaCocP82/IXLnfhz1KuO
hd/zAoZsEFHWDGukFRVwpkAvQt8RHD89EYE1zMerc8UquKleJc9Kw93APBXPymWPpSsbceFBqhU2
r/wmmln3CNaICKfeejM1LLouIPAwfGOZql6KP/JqrICEQr1d+GevWc0O91KiPlVQvW8TPrDFiCA6
xd9SRUelcr6vC8PaaEEDhz7v5U6dccCWLWDsrGqkrUnI1uLouty1qRh8uTCK8JQODxnK9sPUFdda
XC7POjy4C69id0P5szZwat9Oa6WW1Vvup+/1Oj9h8IdSsNPRQhp51Oq0gajLwSjZAug9QG323CJ0
oeKh7QD5x5aI60COHpCmqNvIGxUtz+2ymwk+OV04lZ/jqQWzEeKXaDjwFtneECXbq8zGecGe6Bn1
TuVukMOfw8FYg6gYJn/XNAHqVy36gU0/LdMG4WIAZ2JN3lJowh3ptJ1Fo4E/gvQzZFER56Y2wPy2
bV7jrpbRTGX1TQuK9dEq8RzAI24OEyEfczj3e+qcLDRjw3hldA4ksVrghHlWFqaDEYeWteLwW7aR
s1ImodepUgMxQu90Uu/OGCqpnLxMWKZg5oqlbQ6+KuCKlDy5Xbsby8DF0rNn2spB8jZo5RzmHiLQ
zJMsZFTXPiqAaV+tHdtJ1AR7VebBmCvC1AC6xPHeR1Bv0otAg52FiAj8NFqV26kpaXnaynsBXXQk
zhObHAWgc1rRC64Xnthodj/ylYRNjg7ukm1dXugx4ESGfQcZtK8whBErGcS6GS13uh6tZtwUvtXv
UYXIkYqyYy6PXmct+TDA63z2Wg+bzDCGCHb1Jb3zL0mZTD8K2aUXSF/EiHPHKQBy9xs4FCYMy7dh
JnnWDFAAiu27bXzU8bVWojZkZpBcizqjM6vTebMbTHViM3PRt7JQhqaJbOGFtBsTG3KTe6eBqWXe
S5qog+hb6F36Ce80Sa9BmV1lyHKxCKdnnPIuYZb5Gz9DkCwItB/CZfF5k1mACzNMpK+1r44k6uat
YR3kat/jd2hCT9SPnYapSZ0QMvV86MMuM7SLNkv1sJ8rdq2qfFZE7Tf6SljKhuzdmJsgSlPyJyMm
0jR1ujxb0m7VG15xMOcEsms3fp8Q69jiF1a+1O1gX9mr/npiR2hG/1rHtDiqou2+JWtgE94QU8Pi
EHX5hiQ4xcEimgoyJp0aDglyDYuMUxy3teKousBtQnDQDUfuMDTEPkt0/JWq6AGAEg4stqmPiymH
jHFvwSFFnToDFVixbhu1RCmY9/Y0vQXj4O+LerxPfVZMHMA7xeaEoMlRoO5TtbwNug/73jUoCzmt
NwFp9mCkb4XTvOrFQI7s6Pf9OuewUzxWaNrPl6exUqZ7A8ik5K4up6NYjC8UkG2kj0531etm9zxo
xWcE/28S6BOtuQSXU0dQQ2O4uM4n7sYnq9rg2kl2rcLpKtEdLwZOvNHHF3Ny/Cdazm9iqY4kGPMd
BigdWaB1LTryGs0IjgagTepGKMXSnKBtYCITmKiBmUy/JFI/jCc698ae8vRO7wzxOdN59jVp8k51
5kubFQY1WLsYNL8hweKZwmnmOdue/9JYdYfCQjY9Vaivb2THcjNV8ypLAPxh9AOBkrgWowWxK9p0
vtGwiB02bqCCtKK8jKMg9+4lOL+JHNNcR7GvM9Tqm665wERyH+so9xoBkwktfU847buOc6ivnZvE
4j5PJ7qcKcJUutOqtZqwTG5iGzhvQk5AcW3ucmvRdho3vLHVmVkvTVltVNWyzjSIPBjDIQ7sr03F
0TNOw3SbCLYUuAteNh7Ne8DU8eVCZxIn3XK+LVxZPLTDmNFpN3ZawvBn9lKyOyr63emUA5tRH7OR
EQvIRz9M/MA4IuRD1DdZw3NqrV8qeP3fu2wOYJryATjEgKxthmQ7aKymYEHQrJx6PqWr3vVV19+q
eKyPJafeafVTb+4kZkWXFKvvNCH4VqX74M/Z3kWrt6ZrD0OckysX2g/VqHLsFSGXJBivHYxXN0uh
zkA1lBkaOCE9ORRBIRH3XVBXHGaB2AK+yLemnt4sGWGMZmSBmys05cKRl9qAjsAoxNViruvObrm8
MkLd5hBfwSWbt2U3IgprMznUkJAMAYAHEaudIw6zjO1Y2/ensxdBhZ6VFD/9vfB3/tReoMdogijx
EOZS6ug/t8rGfPTGJF+KvVZTdCKRl28cKV9bQVMw16s1WnHU5FvwluVarlFqVgOhRrw4WEO04kn3
M3jImCBgTpW9DZ6u7VzPeyrG5E4353ULaUq7AJ2M9gG6L4gIjXduhds4Hm8kwDJ5PjUyTzUS8/Dv
eM2m7+6MhKcj3XujWJGi06RxNN1lvnTFXB1nzSChG1VSihjXFgOXjHqpAO4pHXIvBOT+KcIG+HYP
g/891+Luqu5bRD4SlQWmaj5IzRs6iR8fCsOY//0WORMBwJ4wSZC2hQr56yPNcdeukhO3vqfk8L0p
vuyZ1164JkkXkN2X7BR46eMzomW7GRNJ499f6+8NUNsPGGa4tgEHk37ur7cA0xANJkxV9rnXYyNs
rulF35EnpW6LurKWdwg9jzpDy8z6oF11Ukg7ayRRvoMrQ4zNxi/j7NLsbPhrRYDTDHZYG4egHubo
6jxkE2ou9iqQnwHtuYv1FdC0k981YzU+BsLcL9ZsvP79MagO3Nm98AbQh8UqEt1J/awPPJgD9mLN
VOxtFQRUw8CWbGm0R+Wuc+z7LCG6/v2S6uudXZL+KExIxhO68Q+x5afWs1VDuexoSu372PJ3ZbvA
Vk/4l1E2T3PfjQxatQkfw66E2jJWF3+/+h92M3MCbgAE0mmU9et7r3iolmTMCfuaZKygobOtKSg+
WOF/eKx0mRH0RCvvD2MqTlMTlpOD5KuR2dthBaLY5fMXBvE3fVB+XiSWQ3//XsafvhjifixcWMd0
981fv1hbo0A9I6y6T7K8xxWFhnkGUOJASKCVM/lPKcfnBkIsvT1G69VcLvtxNgS6Ji0+qWP2ff03
hYdV+1fNEUHKKBDlb4sLsfcuCzBc2udF/qURzvLjn+S3yMnxUAO8+eAR/D52QhLLQ70athoir95Z
I3gwPc2N66Lf+5l300HDDWvNqXcN7m2IgnIAG6P7FQzKs9CrA+IOz/hUaZsxm64Hs/gu/QllOSdb
P0Donaub8xgclCgcAEusPMM9jUR+XvBohCyJl/T7Khjp05Qkz25LqBl0WBGDaR6Gpj2mNMk+WVKI
qG94RRr6NMhYNK9GN9OYIo8DdGpiuNzUYCpc62YygILLPP/m9heOhCey2qQg0sOZwLqHe/Q+JKnY
VMmQwy5OdqlHp8aDxbpFCCgEdUy1jfIL4iEl5lKVzGF0qNpa1xHmiWvAcDHyLqNqZamx3elgw1Wm
O/z9lZ3zonk2apIMDxGVHEh/5/PcAHsiVNN1sU+QZwe03SYIqSTA8qeKvpjXoluSWhmtg8reyHHU
T1+T1upWGeyREHq0amNOuhXlxkuhD9rOAQuyG1XevKLaEfVVsmINVaGg7NMJxeTjo3h2Qlj+GtA8
0FIICyO3xVBaPzvN6GUQ5zuSTZLSfpMHvhbSU5vAPnSvgwnCEWfHI6K33c7IPRR5yyzqJriBf3+U
vy9+CJr4xJqIWQAItc/GztAmLDFid7HH9P3SnHgwCvWCma77wYXM3yON8k7BcZMJr2d655GGKUjc
Yi4m9jEqKHlO3mMsuCO3KOC8lyv4HhwEWbyqu4zXY7Opga1vzCFYMM0bkfoS6RuC328Z+j5Hr6Le
KygBTyCcRtWMNcU7/e0jhCsapyVtOC2mdvn70/rTS2OAxwDUwXQGONvZaKqmcjVxkhL7tK+MEDGt
DD2hWWyrnqwT2lu7s6bhu6qXTuCZoU3fl8r/IGKdYQjV6gcWwTwRMw37dzQD7na9JwxD7HW7+WGh
brrlMdBBLgFDTctHVzPPYH2ny0GzCZj7WjAl/LPEw2oMXAtcUzC/RPS4ENgSqrHk2pvJNjAShwYu
CTXsJ44INLFuq7V5beamuHYrkntbT96EbyxIz6EJPFJ4I4iGEqKNWhF0uH68zq3pAzOb389RT0nJ
MyhGHUbBSH491Dpn9iq01MTe0xZAwr1ARLmgAzHo1E+0skGQ6eUHQ8s/JPxcjRUBQweAMoyfXy9a
kjpMTWuif5XT2GyRgaQQn+F+NvYMa1LST03qiop2OPS0p64Ci0al6hnSb9d2ldnoYVbTQogZFIWy
QASWBWBc0loxImz1dsKixExBNYaWI1+xMaSbrnoitUHhpFynI+mpaJY59GvV+MU2hwx1ToBsVYPs
Dy6m9j7BpWkL7Pu5BHS1MTSGegKnu83K0CFKPZXMx1Owd9SEEqDn/UkZ4jTbaEronMzcvqlK2M0k
l5t1JhTxF0tDOVCIfoqAz9f/k7CB4AAAHmbCiHicpZrCR/6+swkbySLTO9glNAUoXyLTQayXxnLD
GUiRC77xjbY53WyHF11PrR9Og1nixddNl95Cj+gU6ytzYjS6ZJBj7R59RinNz6fRpi2MAMxP1V1W
jLtv0pyX8PfY8XsCCzaW7AI0ExwD/Vy9vktsRrDoHO9rj8N4mCEZVZ7aEnY6XiVdgCGpv1afbT/2
QrCgxQdnpnJdPkugUZTxHAvMC0Ab4xxCEfgzZn9z3ez1kilaY3bznVHQ7/dLOuFWG9gvtXAqHB7S
4jBASIXnyAk5a/SxM/Uvp6jbcNC9KkxWlilnFxMljwGQu9hfdGO4LJbmFZHGbHuaP9DaMDT6fPGc
79I4BSYp1DTAocme05Tc65Xq8c2qnbuK7L5rJ/tFL/EQ1YNjN5rZxnFXJ1oU5qVKgnf+Y+hRavoP
cMzlvvYB2BQe48a/v6Q/ZBboE8LfwdfA5lR21VP8KesamdXV+ZQ2+5YhxWlAUCHgG1oGEyGRsQ1X
WaJ0WKA7pxf6ZkXabRtnLwwPxOE0hll1QLWiC6wtp/V9qeJb6z7ZOYBghAU+10z0w2RhFuEh6Ln/
+93/Hvd80yWjYN/rlKnnJeIgNdGDgm32aBPujZj5ogoVxUI78tSNKuPqg6h3cub4OYvBV404YFGU
AXPgYD87ECG6xktXUAnS2sYCWkjFF+E4Ps1i+tPrHRgKjcQXkByARgY1BhwlPGsLIsyua7ti5wBm
2QDV+Ch4nB+Up5tDIQx1Fk5Az1E//+llugsGjxpWmvssbQFwd9wDctBMARiXleqp/P3x/+FyaouD
VLIMionfjh24epCSm2I/OWrVgmFdNBIqu2ftUDt+lEGeZJp+ffYOkuSIEiogG84HZ2s17UamjV2W
7tM0dY5BBg8ltTsvnO0gYtQU4LaMResuU7hohKiciwx1zAvD0Oobu7G9T5NdBXc5TnSuNdz2sMh3
rSsxN57GdjexR0O6K/1V6Ysaq7vF3QhZZ8faykFQjxXTzVXWEWqcNOPHzlWz63v0cPNDPiBsg0tj
G2qNiUOO7wuUrAlzW63B9Az7TcwWrHQ8zPEU0ZFsd13S2phrJNYlWA7cIIfitsd3Az09z9pDtOcZ
AiiHGa3lYZwXyW1NnRytSA2EJY7D4ZDyg9TU3gyFtjOmdrhfSNSiqkQUx8Pe8zpW8gAFGR0dwY62
esacOqyLyroEoOqAAyuCPHSrto5qYWeXQ96NE0iLuqBLFluoQ7Y+Yh3cgybihP7uo5D2bZJmZqjR
Hb7y4SDR/lmNL5DwrD2y284HG806T9RhU5KEoaNBXQgMDxbKL2s5UHwJreSUB0HhX5zqHqsENVL3
OpNtcilljHor2rbGoGeyt9a6IO0g1AtsCjuEB+EyvxjI673Owy+zTL+VZm5hkNW60Cwml5bSaO8W
DfI35m0Mwuuujhgi2FvVlYh8a9Welmayj4H6+LyRtzI1nxwPtMk0uyBJnMHaDV0Fezjv/Q8aTueH
F7A/NhQ7mDyGQKOfLXUip+FYbeFHabfuOwgCtIg+2L3nwfN0CQ+EoRPo8I/P2StUYQ6NgMQHMJAL
ZIhpv44d1oCFWAGDSPw1UNH/qCo6Twq4KLETXhEddhU2ziJUouEC7KadF7WN1+4YfnVbseotYzf4
A77FSE9DP/vQdHq8tWXRf9DWMs5zexTgVIKMnyWdVUTSzjLlBW3KMa8aLxpcoTGXz3vetrWGKPFy
wdgJDiKQ/p5o90TbodiXtjs+/z1qnhBwv4QxdQ+0yNEWwvs1UADxn6M026bzzE5zo9wt8LFb2v6i
sq2OQlzv8Q0fswBjH73/itNtfMODtG+aGdRpLU3/USu8NUxHD7rtZOfYYK/+q96bPMq2J7tLRVRB
dX+YUCZFzsTj68jUO7at7R49MbUvZgIqAbdGI9tPgbyzvERAnNfKD5Ivx+Q7/PIdSWARzoJXBoMf
m9KzYn/Bo8ZuOUKjgV11nCwMeHSRGNtgbMbL05cIYH7f6VPiHfuUHzB4jLcB1gphaYAdWUnBQote
xNZK4+QiSFI/9JpcY1/rPRIX5rsAi3GhjXCNBx8xmSyx7guzsnaiy8bLdU3RmWjdDgTAirjb7I1M
tRGOcDC+USZuu9KVKwifRs3Yay2qBDaXnVKNQdQlKrq2v5n5y0i4IxCLNHlYNEeDOzKVd8sqXtYu
twhCw6UzwY9abWygkjYdr83Mk69a8y9lyv8WUmv9dtLyOGnCg6n0aAXDy/t1yYggiLOVuilChp3e
yaB1Wy8fj1kyPeIsGiOPYOMKKVF6z9wFMgsdr23uCP+iQDNhg640JC7my6iCsM3yekyv0JBB6hwS
DOPlYL3iU9zjiMcEE2G7vqCRNECxSd19oY/f1lwEV1R5+laXQPYc2dtRa7Y1oD6z22pu84KA7hCN
s/ZU0ZAOixVx579vmnNDO+Q9DWpudizWZGzgky/kT6lNnsnFpZ3iRCgFD7c+HIUv5jwxBOPGocUN
iMANjS/3cpq1yNIqBGTWNr0ycukjOIXibZ7GAyy0pnrOEgXvyNh2BVIpKME6uRaZk2Bhuggbd4Dj
Qr1jjWDSmm+NzM+RQPaN3YLP7bykBlgC+3EarVdbM9AGDrzHOM2+U+sMiDt1w1UlNe8CO/rxGgE9
/06ST+7SEqcEXD4ox+tUhBWe7HuX3sDeZuQXMZhkoWMZs5uD0vqgh/OntcPkwqbpTdz5LSlcZgzI
Ef8JAJA677AN/Du1Vzo4VVusk8YP2rjebycXCpuOBUKNTi7U0nMwczXQq9IHSYQFThXiOBm8AixL
rwQ6tVt9rebI0uP8JnVlemX6HQGvI/0yJh76PLZk8BiTb5kmfhqD+Dgl7nW8On1kgPKZXezo8iZs
F/b1mAN55Xe3gpww1ALWZZdzfJgTu5m0/b3p2/XebADzGS1ChUbT9BdQxQwmh3N9zHvd3RWJlUQp
kPjnaSy7Bwb+yDCb6Xgvsgy9QhOcRmEbtLjctd3hADBeA+YKDkxk7yX8mIugWIgcazCg4lN7xw52
xfWkE5Z7URRRr26HiWmpEvHx2VlYW/3IMaOlOLttHdPLo6aVynBAy29MvUEiH+GwL1bsYRiAADzq
lWmjRUFX0XbGgixCt5tg5BnuLqUXRAbKhlg/2Gh/WC0sEnoxCo+uTslfI03vumVRJaBifYiKxBCe
X4cG2nZt7Cb0HDbE3zf279djqgginRSLQt05r9LdogYZvDZOVFYVCYhgNwCbCw5gjvyLdHXaD3aD
8XtiSdl20qyg4GWYF6g7+imS+MDbWjNJ7Agck7XLFpChBjydY1YxiKpXPb1CwDnbJb2LYfDQXXQ9
4cJFBGvXVGx+b6oZBUxevJ2pnFHm4qDSR1413oQdoARD7kXLV8ncpnuoesK1U6vD3YnRy8Zn9Q5/
la/oxBvIa0LozUwWnWuUX8EvYnDjggrNm0wLE3qTT6hN9IfV9a/LMS0ipgzvmC+gWDc574VXfjVT
7l3T5Rwtfrxe0dcyd8Yw01hpuif054hUGpH/dLSKglSrgxP6CqLMwnUKwL0ByBeMCLspCDglU5bg
VZOW+tUkbblvXHWaYhy1TQR5SZFxzgzVgJin2quLSfzoqgEzlZX4Voys87VliRdd11+ALObsKQi7
fSHalywrECWrOTPLjhsSHmRLOi5rGGgpU4AFcZd/flqy3pGE0CJEfqjmG5Ah4WBO7XYGWrBZ1Kmb
p2Z/sLPCY7MQLjJjIh+Q88pDnPtDKnX/2mgZ4A8l/xvIxL/oPXZonfIriN9ijR0HiMo0gL/BfMt9
l/TdTWaAIqpl3HAu8DU1x8hvRm1dQzEa/W5YGmV5HMPjxcdmh9mPvy9X99ldvG8VeN1tUdrmgd05
HuHUWDsiGKvYWfz92JakLBlp9Gm7o3W/woZAQ0zTOAUwaci3acXzTwNLUrTzOk676/8b71Nd6FvD
KCRLgPX+l5a2IlH+8j+7kyTn/fCjWx5+9Fg//B91S/Wb/68//JfEwQeUTgM9AcNV8JL/Xtvzf3dD
/fVb+rX8X3fd1+8/+vRnJuf//YB/UTm9/1Bqw7T7LQS28JQmufrHSS4wkK4mSgSOcS71GfwH5ykq
ujTd4X4y3vkvJqfp/gf8F7IUCKAkvjSn/h0mJxyzs0waCAT4chijEMGQND0XLhlqPAGApw6HzHGM
a6ds5FcBYplutLevK90/NOvY9TtsLYJjOjeAUjR3AuIik1YHBDxLquWgRYPftlb5ykkEbNVdaWAh
H/QAyCzMi2pb26Yqe1FEi9fCC8sBfb8JLBRQwckYjwYDcxjPkEhCp53biFy9u3Dm2f5m9drndQwQ
bgNsftvObn6JKCX6k2asfAOMIzYTHLmFOzzGbTNG06i3TYR3zdbL9JNEUGuABcpaZ9wIZF6jNRuP
qYTlgunIiMtv4V0E1vhQOn3yymSGir2xneSp9Ir6U2sr/M9QV3djbRF/4BUNLx2TCPTZ1sTc1J2+
C2gaXSNpbYdFkmQb6Tkr4PumtvbD2CrHNsd6ySjyK2/a10AGHjMkoZmMKtz/3AEgb6kKCQ01SpT+
TFMTNWx5ZwZj/8KYsX5Gc5k9bZRe/Ll3GnGZWCN+MXRKbnrfmMGLxdiOMqvb80znYhPAaTiso5HC
B6hTlFq8q7wW171bGLvad/BRsl1aEzW2P8yN1FMBDVb5ubiTZt29JLnbHkrEMfdoHCUvrTegC5FM
SF552dXcB4tqC9GS2HioM17IrDomRa1vOmQqongM0jdoZbD5V2RhbLOM9zNTon1cxXh7doMVBkb1
kJQmmgW9Qjnr6b3sxTdTIcbgE4snqzTsG5xEM5SiNZgpi21toVeBY0P2MmuxjC6y3DeB44j2WRY8
3oIkYzMipolElRjTyMX8hQG7M0YLU+vPo2lkTzhQmy9tTiMFLI+ebpux9bck9/n92kslTmhbV0zH
qc89T+7QxBRMlgBDe6mRP9d6z3ANLQo66EBV7MuMgUC5q6QbA9kv8WeTuCq5XqoD8g9y6yiq5jEI
JvDyJSJ2drkUFfiHoAaL3I5oVhj5JJxtq7XIxVo4or6nmd6sYG98jg3b1uyHOo3tch/EVfLaQgYE
oOTHCwZomrwTOSbkwHfrYcs7Q9TS6uzxa5r388HxnYomqXCzz4CI+osutskCp0bXGTq5XThVpnsw
DAlEvqYA2oCENl1ewhQ/SddcXplF+nJT4y6CuZ7eZBdIEVN7WmtX0MJc8srZid6zrs3KmK6nGbEO
q8ITol3tbL2xsmowHk0SHhQU7aVNInTQrODTiBvLYWlRAd6VAaqP27VOzBbHL0PD9qRMkF0+tH3v
6Le+ei7Frl0tjCtzSDX+Uw/XSCW3QAViXsorg3SIucuoHlZ6GGSKgUctph0fY1+hzN9e+IVfLbcG
jLRkW3npaNwmng+MQfOQGc2nvMUFRSnQD/r8IDP9PV9avF8KMHkThybyxIwaaEiam641MCYc+mU7
LvF6Q56HyaSVOfBobBllhbEARYXtgKqUOwHoDgbvkS49pmCaAU1W6Z9rJdZqdh4/kqcjFlGOn0xh
USa7jNRtAf46cL4bVXWox+4wzUm910q9UoNCc6sA8TuiaX2dmFZ96bJsHrDm0A7uPBZbJC14dAir
7mGuKV69MlMDuZJo9hafabQqYv+aahelNBt1r3rEXqRMEW02dTv9bmOGtfex7fuUSae+Ga3CuRhG
xcgLGkQkgnTYOGOf3Ba+8HZIrDYPXmc3NwzlAXsUDgZKjGsVOlGPn5NyfiwkYrcLxkGHZZhQ3fC8
7lK4qRLLwFjamy2MMpscCYDcwrPEKMi+cZLDPD6O3LhE7bKeig3gPGMzxvSlDDlct4ANWkgRtO1y
jNqfylTcjaIDJqWv02aArEQplsrbOC17Ut5FkvgCD3SqnMBgkhN122QZH2h54L3maY91LX4MQ3ZX
ANbZODFcp1LixFPnvXcrJbss8TVQn/wEoERRvzIaEAfNt57skfW/oGDlVPH30kBldaiDO9I2/UeX
Z6z0RlwJ18M7b8I7Sg8Qxe2K+d2r5dXANH7bThpvXmBjpeFQqoEyTzZrOUiwMg6yABa60FZGJbsu
TX/MU82DYYipJF2jeTt5HsDuxVlfNe47yvN4pci32z2qKNO1nxbQC3xtegSs/ujKOL8sncqD4FOO
tBo6b+fbs73DxaC+7/qs3+GfmWzAFaw3gOAGG23Z2blIjRi1ELr+Q4gDj6VvbRsR+qVsNY6F2Fxe
slw2m8WKp5sgwDDJLbxiF6SO80223btoLSvUB7+9nN3YilIDrRQ6RCigFGN15yBLC32zNy9nYMZv
jajrSKcRwpdHlvnOlnoC0hsdTFYCkVCCC9vFLbKRSINxosRxO90ts5ddtvG6HkzPSW6ElF/auk0h
2uoG/SJtfUF07drBI3mTOtV1WXtKbBkfgRoIGXnEp59yvLt/uos/W22cdx50BVFB9Am1/hNM5AzX
VsSIkpFfuIcTu9LPTAwwCkuG//5VyBQZakMUoRt3ViC36WqTMXnOgVG6gfuCgRaROpz+B1dxUHlH
3d3yfpts0thC5bt1nIOYRzuc9OTbos7Cv1/EOU8teWC+C8oTqRqHbrRq4v5UCRclyB4lSHJIs7xC
EmSS1+wGeV2rA/jvl0J37PxiyKUo7BdvSY1QT4p3P12sabo2zVM9PfhmP8owNqbKDWXWLLc9bLTn
qSFRFX0DB2my2hXDMrTrnupWW+izlsb3IUEa8Mg8xjB2hXRAO5kobUKjZGtD8zHmYTPpE3KxqRfT
agMKUqGUjE/6wRkqf7qdUfpAFLZYJ1y2rOJhga9oYW0XuKNzJbLVv17XobhLfTIVuxWx8uG1LMSl
Tdm/waBQJVzqfir6Be+uulgA/3ooG2xQ0PNhiHkQmoK46A/T5C37gcP7CtGqOSpxIdysWCqSLnvB
JfJHWBmZZIxWCdeURqR8QfFQhC7qwZsOnXfukV7UVlKxAFdxcugfJCXSb5jZAXreuhO6uxe+22l4
o40Gjas9cHfkE2dIuhedvjjV0bMznF06/B6ZzWs/wIIul31v2ocyadp129m69lAUrtjNjXRuq6W3
7norTR7RhtitONZHWYYKq1GvikyfG81thUn11oeNcguY3vlUa8IKR8tvEXBugdHIusc0EGiF0FMZ
WdjBp45fk1p/qfPlagzk10Ya+yGFy2QyvbsR+ds40m/TDP/YGHRCHEYiIbPr/iHVCximDQ9uBWdZ
D0pWiRmcdoH6dvaVwh62B7LvyI6Nl1KrH8xpyG7SuEqhiVju3ZilFx4J+4Gcodjq0i1fOk808YY0
vz2s3kCVsIh+3IkE+hyko/o1X4Ak6aZ4Q5vO2XadDbNxhaxvsDZvW6+lIkicbx6gpocmJayCdxtu
ekk9Eml+irOmT2tnPfiDYeOxMCJL9b1cbPHK5Ihuul94AVKX9ujciFWMJieu48yfgnU2hjCodPF1
QVbrMx5j9vr4n+yd2W7sVpZtfyV/gAb7BijUAxkdQwqFTqjXCyGdhn1PbjZfX4Oys1JHUkrleroX
KKcBO2FbFLvNtdeac0wjkNSC38+qJ89kAPqgaGF0YVedRohnYT4PSWAtZkDmjiGY92eaQi2GGFPA
mlI6Y+tIEHGtiIhSNU/MK02Tuu8aOi03VZ38Si3GPlpbSDm2BhkEXlb3BokjUXPoSemGTMbc/NHI
7fAk651+gEFHuVcPFHH9EK5MnUgC05Ts65qeqKvHmvmk4se0qBXGUNkNcp3t4wGYOXcTVqXbZlJ6
Il1vGDwG4hpJw00ay7RKFhWtTjXZrvmSVfWGS5kMpB6XBHxVDP/2KCzCC6BiDpdTTajpLAwvKTqh
b0XVzPfL5OknwYv9jrqa7MhJK5n+VnUC7YyZMC9CX+yqyZn5tNnYcteQ04pb08DdNYepztNi9qcw
cZz7vqXHFuc6ndUmCE+zRC6Lq8lNcTX3dXqtzDN3t46pO2Y9k/emPYAzq3UDlITdWudRmonCY3Nt
AGihIoyasnOVnCBpSWOY7AZC766yLrbup2D4pQdRra5Ki9jPusmKp0i3h/VgJMY2TafxERlnE5HO
gIIS4KudP2GDF1dEj+v3wWiRA6DmIqjcsFVt8pfwuu5oImuPcwpygJJDeiBhIznFSuA8VW09Xiv6
0uVmPpcy7VNJnaL9Ds87kUW2Zlylhq5SpmzatNn83pt6squkvqPVzWhtXBt92lM1lcyXPH3spkfZ
biTifSCIuEWQaI6rFkFKGGhSH/TeGlYy4Qo/5LzBoiR3rX1Hc6/p2G+pknZWpiSru7Eqk7nYDxOM
+WqMc6+SGkQUHV+LB1rN+ZUx2Kk/BLhU9RB5M5Y9nX65HhQwbBzqbHcQTrtn1YMJJU9izGAV1vnk
GuOgPnZWNaW7UR+i5ykp6a/lQSYOVTKTb0/iIC7E1GrnM5sdlEzmUng2sZWvNgjUrB90vpTzIDb7
fZSoTbplhD3f4jBVq7XSwbU3wlG6KVojuuzMwn4uR6W7wvzLPAL9U80dTcmRbpyQtzCHN807X/OQ
eA1t7HO8dSBmwRogOSDCMHS7LiQdkQlXeInLCAycHEvHKRlZ7S05Ql07zpn0q+v1AudprjrkKrey
cTE7Mf1+9A/iUOOJfZgjTXtmIjFh503U+id0/9RXajNIPfK0w/tiZMhF98QKQTPp+i81FoLMWHzF
7IxjmBx1bI3rALC9cJskrW8VhNGDJxVjvkZzZpcuX9Fh7aT2FFH7tSOygGjuztomcY7MNZwT16e4
GDqFPYXZNg95PShrO9AKSOKUphVxE3X1kHdlV7u53fUNScCxsVbCYfQboqe2Ws4SsEroaTFlQNcW
ukk1lkf4EPGxj9VwV0taa7uDHmq7poAr7WVWJiAYJGmnelGs00Iums65xV9KnIxRWjcKaNtndqla
CSAz1nW3BiM58SjEDU2LcaIn32HXnJrhXpXlKyF19XUuasJOemSCRyAwcnkp0jHaiVk1nqAELIHC
U9ZdxKE6+rUxwAAe1fa+r7X21xjKdr6ShtK+KmUMnpSF4e00ZHyKUmFFPsT4CMG9ZZMqiY813bDN
kQ5hiQVi01dS4Uc0o5kuatFNQ8bVfiq0rtmnIGsS0MgAxd2wsYcLglyao2XjgMrAa4I3yUcX01Dr
W6awHyBwjVcN9da4UiAV+GyEzXCjjFrmY9fJm01XT/lq7nk6sUlPpXWsFUa1KxxHwA9tMW3letCe
iFpufOAl5YWspKM7ONaEI7HRB5JL9IoSLGKOEbpOLY2XUkMOTpwZw3dLC7sfYZVJqDsTO2/wKJOT
DlGErxrNCoHPsegsD/tPvRKFpE7kBgwWdVEy3YZDQvYtl5g4UcepEjolVQQWaImhFS4x1aR8hmLW
VpJl1wR69921bmSJAj5mZAgmZxpJNyHgDxe1WH2wyTDfMu9fUBP9eF+VWpAecyk3eYabZd2sYqJg
Vyzo2lndMd2+BBJPGSDoc8TbsdYnCgyrXGIlKYvQzKnlGqPHwMOcObNb1V34fW5m7ay17VRe40ib
8SPnYRquckQKZ0g0axleJTke+yETUujDx2qiNTbz6bFyqNvkPslvxtqpfxrpYPsyHac7w0ijWzpP
PbHNqjxsB1lS/FJh9mKaNHynIrK9GYP2r1QZJvodKKzxyedFNnp1a4vVpAQtfWBD2vJNqleMI9ml
y2y1c9WiiRNOaYqW1DK+69hqFgtwZVzPjoJIWKVFEDrm3kICtZkyZs7Qg+YrMU7yRTbQLFWltHSd
oB2JNBqT8tSaTvC9nCusNUZTX2XyOFWrsG37TV92Et2ATotPM/1rNDVRdqc7krigXzxel5VVIB2d
cUxyreVjbCHGdYoqOLSZbOwFL/z11C1NaimbdqE1AqOLx+JXaVvF0VAb45rHnlI40fcKAzB/VILu
PuyEfpabynxmzQpic0PrfYw8IFs6rdiqae22lnFFUd58w+FRn8FkQSrYa+UuNWPzQebOPQcaQFR2
uMZGxHqzCmYlPa/6Ir5srclj+0feLrCh0B1UukgkP4e/bD26CdAH73SjWudNpiHIdQavpIuwnjSj
OQdb8uAIUEZ12g5bJ3KaNdNlAB8m0kQmbHcOCxaTqGrwjTb+rlgMEelFwWVsksrFHuMOhtrv1Yh8
OyIQsrPATsi4KaLYC5Uxe8Q4UBxmnSaxo7FH4OvQ7tC6dTvkHgRjdGSycD7txop1SL6g+Uo+np/v
4z7YMiLMQ5PGwmzx5xshCtyZdIylgqATuBF+pahbev6ARWh+fnGkD3bzfGllDA2qTefrRQz6ar9o
V0bZglZSfT1zqoP9Z0M/1iDM/v0z0ph2y4tiwbbfZamZ8RhN1awAxLWu554vKLhibUNDUP5bQREW
UlkZ/6jDqNtiOoSv9fftdhApSpDBM/QZ4+fVNwJ8cccrIus23aBS/EZtKsOFEQ6xOp+fI5vDd7tv
rqCM4EpXdECm5ptjS3w1i4H131dFrLJdWKrruHAkD0/9ACoYEkJPzgYoTsSgQ5RfZr2RP2XjSHRo
Z/QwB0M7JjYkG29gd/FAkqRNHa+81PTOS31PwhO1fizS6buxTF7Yj9rH5GVHoHSltguwC7kd/mkV
eemycaApaD4ha8pcI3VsXwrUG4amPS2PJsQpQ0M7nSfDlRKnXDRM7E7QJ7FRsZc9S77sXgBv8H+X
HQ18/y5a2zMf4qScaPUrA3ufZRdkL/shIN3xqqlyY6vWDa3mpbHtsWxIz9nLdmpcdlZkh5jPzrLb
Upd91yRN1UMNuWYid71nY1Y5kTpfmUabPhhqVj0RJCP3qwJG2Uh0Qs1FMsrMuOhmdpLbgQwqFMRO
Xd03QWUWP6TI7NkjGH34q9OwMlKHmNtEtN0zw98B+p3QnfZo24ViXqYyQJg1qK/hJKaSvgVMpQ4B
kuCzFOnidhhJDLgTk9qEmzxxaOprNNjqJ9PA87LSW8m4q+FMXCIbY8EwtezergmT0V6mBPkglGer
GIvCU+l23NGTJcao67QrVQzS9yYK2DD2dnhjyVq/RAmG8X0Xa4vdW+gHR47pVIIUurObkPUtjsZv
5JQlTIMwt66nWU7PgOs0K20qNepfLTwOgCW8DkHuybLy6Qz3jHbos5AqDjL8Rhuze1Ur5W+dGu6t
gShvdZmk0FKbvlcv4xW8j3zYJRxN0Xrgi3CqXmYx4ctchsaWTE9ymdaoem39gINoX45G2pzmcFbu
5FEkPzOUcC5zSGMfQgX3i1AGsTPDtCgFIePp1Fs+mNzgK//+u8kt1Re7e8RQKJlRuy4r3KsVrKok
u2/sQvcD444SFRfOF6/1+8V4OQD/018ENM6bViRW2FRQO+s++5AD+TRnczb5CZfy89Xjo/MgjJlV
H+MmTvw3a347m3IcUvH5JPH1u6Iqu6tUjhLIvBqYlGXKVyzzvrzpoy9WzHffAFZkbJo4Xzk8gv83
q1YU1WlhRNPgK7OsYMVVpoSsGd354jDvruNyGGwMKtnDaNec5Z+/ulFOWVdKn8iDz2Y93ZuzqP2x
bVYOEVufX8kPD2TZ/MEkGcHBmwNxEZN8qgzhRwAJMe7m+AHdwTTKOxrKQ/5Fe/etwBvPpolVYtEp
8BfNftMPr2n+ZYrV9H402kwL22PQVi6jFIIDSFDu0y9cmu9PjsMBfF2au7TF394sZKtzyGLa+2jh
arfTywNxc37ZhbefX8T3DwWaZ4QQlGBsdMh5+P1u9YCxiqgUvZ8zT7CnZm3k0xcixo9OZTkI32vL
hr/35rnLs7aXNRp9vkarpgNhy2Y6NlL8f3ktf//8dN4K4Ja7ZJPnx9FYKNCn/346KkOUTA8s0kSL
IB49w5D6TSmk9BAmfU0omd7Y/udHfHd2y5wE1CxHdLDZ28tz8+pxJ7ZtUoy6Mf2inmuvtdI7x1K4
Y9aXdce7W7UcCQ4smO/lgXDePIEOSdVzSHQR1n19x5h5sxi7Pz+ZDw8BkAv30bJSvHXGT4We9rUT
mn7UdM16Ms0aZYX9RajI+xWQJ4HHACMyMwzDenOP4P10mZSXsq/odovU3i73yeRc9fO4jRNaN0le
X9eykq8/P7d3LzAFo66SJsyXkzGMthR1r24U0gKeubqXfdQg5jrEiHRBWqY67QbaSNdJM/X6mthW
6Ys52nI2r7X7S52K6ok7h/iJ9Ozlarw67EhVYBszkgVpchoSzXKaQpgTSYvt2UyfE9aJLqgSRkBU
vNmBr43G6YtH9KMzR/ZkGqai8ga+XbrUyoB8mpoj67A5E//dJ/vREeYdpc1D18b6dyi7ze7zq/3B
a2EvryClOcsXqqvfT3uYZ6siPG3y68EJJbh8TITTGDknXuHk6vNjvXvprUXzihWG9QUN6pIU/foS
l+aASTsdJt/UmnYfR/BLyUj2ipFhyMzo/POjfXhmbDIdPnJc0xdt/asb2sZVn1PDTz4mtcnYloao
wITiSNuILvni4fngztm49NnooFdb5oq/n5mJQVpvyRj0RyN0G9KqFAWinyi9z0/pg9f+t8O8EfFa
AZPzqU5GX47iA5IJr4Kd+PkhPrpqr89kOdNXV812BIQxehG+cA5ST1Wr2+ckiX5+kA9WFhRQeBrZ
5S6mqDevOM1Fm7WzZpfrVEuJCLLEBDy5bheFmhBZBpuSt7xPguyLI39wer8d+c0jCEpJK5eRhK/0
2l5I2i5uvriAH9wjtCa4vEBtMgJ/+yg0fH46QUy5n04o/Qa2NKuEDePf/wBQmKLRREFk6fpbQgWa
zro2lUbz206C9SgH32bBvvrz2/TRqbw+yJsl0dGSWk8mofkF9r9HEK+SP2tB+8Vn5oNVATo7J7Fw
pjAvLL/FqycuHIqpKXJT9YVdSh6aKhpioySdNX0SecuL9b85q1fHWx6RV8cjoAEfZcPx2tCq3KGS
PSsaoi/e1PdfE4T9yPMUjcKaBsSb10iifi8bBiJ+t8gj1UUoSbw5E3Ajr4qbQVeLq1i3kQIV49jc
RIOuf1HMvb93C1Ofbd+yImlEHf5+lmxiIe9ple4vUVUP3aLKjAPJnL64mO8XPjZjNJFwvygK3ok3
71PllHrUMgv0zfxS6vuNOupfXMn3b+zv+8k3R0gNMweNx4lMYZNt1DrfhOVYubE+NV8c6YNLRpNo
2TqTbYN84O2RAibAHb1yfzYaiBt13UaASrXi+999qzgK33cafBhOMLf9fmesLsrbwuIw7PM9Gorb
3q6+2Lt+eCbLy0Shy0fpLUJvavJ6LkFR+HYD7rN9Hpv6q134V4dY/vmrtyiRKToZvOskPw3FcRR9
uTfC8PT5pXr/neBKAcRHcA7J/N0eXMcrHsTYOH3D2Wy68IGG1BfP70enoZqEm3InWLRfwAevTqMA
zyg6s9H9eREUNyiLo4pRx+en8cEjTB+SwlInIgkno/r7tZJR16UoXyzfCaGJOsc6bc4r8cU9/+og
b55eCMZIbRMO0vDT8yS+ieTRc0wG75+fzPt7AmUBMyZmBFtVX3wDr2+8NbaKHdopGq2p77exE9oe
4KZtbsvPfRBv2OvJ68gm1OTzw75faDgsorCl60Oj9MXf9OpGtXKfZ/JyWBHgFMZ9CQ6JtYDSliBy
Rb1CEGmvPj/k+yvKI2HiQbB1lSbJ2/VgMHPROoB2/CkJnMMom9WN+iIFX0Thnx/q/TeQQwEiwR6t
sQF4W4XX1kDeTpoYvl458JLiHtkhwW8WyUNuYwZi8/nhPrqYXELMtcs+X7ff1JGBw/abHi/3MFjF
DGl+fP7j379USxbYv378mxUuHCapCTp+PGPhbEcHEzABGvv/xUHYABsLV4136s1BejlCQNP0uo/+
xFfNStNgATNd/+Kj8A59AsUMwSPqWtYgLteLU+XVg4f2uBrhfPL9qaoidKMmTi90fK5n1ZSn20rC
2Y1ObMJbhp9gWJwF2uIxSIaioCeUMV0w+ui5XbwIQtTWF3fyo0tN2USlSbeLT9fyDL/67fRZksgG
QOSG8u+8ldRnw07qPy/B37JTHeLvDdnxv7r/+M0c9WJ4+m+r1H9elzl/vv1Xfvsv/t+xU0HZ4Ln/
93aqQ8w38il/a6L68z/77zw8Su9lgobNeKn0/3JQEYZnacRz8e+yi38hk/0Vhqfqf+gaDlP+wI9J
scHy+lcCrar8ASDBZBmg68tekmjqf/rJ/pIBc+3+rXkeYii3/l8NDfgZBkQclhTeRCpJQmF+fzQ0
tvOlUgZi17d1dFCVCLQRw8VTht4zbFBcB2I9mNZZpVQIwJuiclly4Am1tasYdHXmJO2RgFlXttId
VA3pD57lRzGPEy6NA4xuRJtkAyHa1n61Y5MeDVNQmCmxU132NlwSGiXZo9XGT2TRKxtIL8Z9ZKKr
L6yQSOacaNK4LVZMr55rZ1Dcvh+f1aAKQywphnmqExiO0YA5sc7v27C7LMwefJAVhagEyZPp03XU
MTSDIGj+Up058LFZZ3eN08vrrhvyC5vBE8Z1H1w/FBl9uGpb7aA5KWz2aa2UMzhyiJzIZcZfZqFk
MIMwy0RDdR9IjPH1dCCTp5MRpeZWfB5U89mopmcFeRbroeufcuDhq3JE+o8GUVtbRhetVB26gsxk
p5Ks4bJsE9jfcZ2vApl0eki7QOAgsZeANEX5nPYKxnqRngMBOyN2h3CEFlGGZtabbCjzdYKD5awX
5aqM4evVSRx5EOtPoEABT6W5RPRu0u2AJug4oo3m1o4uISRfw1SsPfY4rmM7l3o5fEMOtCLq764D
2rdLJaU5JJkT7+WIGNo8Xymlvsnk+RZZz06omdt00eC2QkkryE297joEkqxFL101IeKXTLfRsyAE
OjbZE+yH76bQL5UAIYseqseE3sFlggGde00ohVrmm0odrHOk+5i+LQBbij4MqzmQjyHc6XWsND5y
Pr+x0bvGjc40NOF+a1MsVl0ZLRkAYiH+BroXGxGR8GprrnKGSmEUOesMisFqIHXLJQ+BJi5uum99
Gj5C5Ro84pn4reW9PPUP9ZTepZOVb7uKAwN1zRPtNFuxepp06eTYoT/muJCRXiDrt3Vv1BcuPFEJ
rsg7AhhgEsO+GTcB/iJ3UtRsBfV7U/FdRotpCUScCLClWBr2zBejiwD+mjupVnCemdgt1ES6URkK
LqlKMPbBRqtTVHpV2DzreV94ilbeAGdR3KgbHqy0GX4ihS2IUdF/yk1wXrfqGVii/mpGIOoC3ick
StJtD+55sxZj7XfYP9aoBi9jQUIWVpELXWa+x+zqR8GAadtmPQ4RohzxXP2qRfqNuBfkQM3QL6Zu
ry55NnFqdR5CrNqlGE92DAJwOZflqurHbVJZBHeZP9K6vsuN6DQKDF1mD8qr5QHcoN9UDk2N3FZq
1Hxvx9Fa8HPMAROl0vuKdT6iZ4rtJlu3g5NfhsJal5Z8HCcKt7ZBsecZjXNvJ+NqKnuvnqLLOUdF
rUjdDpva3RBunTiXnqNSheSlO41ymRfw1q2ZGx9Jh8JG9EFu0pEO4D7Kfhm4b/SOdIcuko+SjDYV
vxGMKFRda4MFzcKj+TQkl50zwb8j4IQGDcQKVXGNyjoRhmd7zdgQbBZE57Eppk2nI9ZzTSXH9CFH
LJWgCuOf4cgkv2zWPU8jTj0VMuJwy4BhbQnJU8ODFkn1JheW286NV06WhzT0yEO4hD8B8DXm2xl2
2qlWNEJMIl6HGEt7f9KNMffDQT4NiAsAr8RXeVWS4SVHvHVK6pJ7v0ZdaHqtlKJ6gZ/RtJa9kTr9
V5XIBufaPWm5I50hzyfwKx88rR2YQ5wYfPlhUbXuGJj7sunvw3LSkblGIrrptLxOvG7W5G0ZJ4Rd
tLnMiqMq7e3Q5PK9PfUd0Dcyte8mw4IMk9NVfYgBTtEm19JkiwUtXM25LdYqgEYicuZylRGsBFEm
BQDXK9WvildtN0nsELY6BVG5w+Q/4yNAIr/BaGcho+tefjQylNyzcpTG/KqEYuO0LKLIa8sSbk5D
pLjH26smWzl0QgVZp1QMLtkSCZp9LQNZULGLqDe9EudA6Aga1zyRY8bsbBFcorucd63T2wuKrnye
8MJBaJxISEnqa60oz4w6sndoouZLYPsdziIAhK5ky8ZB6x1nrSuTwlejDrOTPZjSuY6g5DKQ0/g6
FKr1pEltGvN1AxiuhJ2zjRsl77fZZOs3Qx8YW8B4wUXYTzFYeXHvCC0vkfW32RmeMmPD5xpjhtw8
Fc5gXM5pPHXnltOhkCHEtFrrZm/f22jC3UKOzd2o1ioacSWN70VBtrOCbAMXbR9nu37W02NFHAEA
0kF7NGCok+2CQHadGLrhh5qRIaqlB3wDB7nNCfNz5F2VTvEhc8ofeppU16kqzes2JawK6bTuzmMj
+WXQz0+licFYzcy8JHjlwUj1O1souO+UUiVHuvg1CtRfGVJ0QMYdkSuSbS0UmFD6wQXProYaHZvH
lLhdJ5KAUFM6a7PXax5uMnVmTQ3XrVSnNw6+QCUAUd0B7dkQ0Ruv9Igo9ZWpBcUzWuBuIKUOrCaJ
iJThHt5o9Wh1SfVEqjj9m6xtr9XcCFDfGzzzaR6Yl4oaZkdb2o+qHlTbbNE+KehH7jQkdN44Jvlj
3WKhtTLerkYjH55opL6/wm7jYf1FMdw7sjiGcnBS7LpzSy2rwBHl2nwJBFdRjqYokC1rRO1UTZmu
X0qjaJoUYObiR0UTph7jEfh4KPykGevbym6xjFoSIm1Ur4PKJ8BzkvD+pWT9W7X7x1X5a8bBf/7P
yvvtz/LiKf/Z/v9T4LMp/PcF/nXDCKh5+qDA5z/7q8BX/9A0FSUBmATkf69rfOUP6HHQGMGLmHQL
F1Lfv2p8NqUU8lDO2FtryyjxnzW++ocDc4H5PXu2JWH372ESXua8/6rxEdcxndWZMLNvQFDsyMse
4NX2rypSCTu60u/0QJ+8HpE4OAB7lwvk9qTS3TMeC12BNtVDvzUx0+t+jqp6l9j2fW5l8imocY0Z
9fCjm2JMNvCv1t1o9itJUiS46nVxlVZye7ZknLilPRUrTPwtxJPkm1lJVF+qiHbFAg0Iw+qCOC0Q
evEUkQFp3JcOLhezn06lLv/Mq+wSdzKxNCGa9oJETkKepB/I3PEgQ143Sql+RDUawoPFNcaKhxWc
9GGOGorHuKWLQBgdFBWBMH8gUCs3w8sQQ/OK7E5pLdcTzg4tKc5JS9TOukSf95VUmedREYDmrCw9
X7Cy023ghNdynD4NkGpTsiIzGKUTCHg4UutkHAPKTkT7UT+RfK3q/YnIzC0fMf28MpXRV1Oj38zB
VK6w5TF2qRWk9a7VTyNOHkPpfym9c9FOoblmMmN9Q5Yoe04VraO6TbdTC3YXyVJxsJKSDtbYBs8a
6JidCcxzH7VqtYK+pSKsdSw/JR9pTwiz+dyZ02MzOkxCcmQL1SDaRQHL3xVa9dybjnQITCH7WPtN
N+6GZDVnhn6Y06bfGHn5M1FYKiWnto6NnMALZZyObF1BWiyXtpfSblunEXFjg1M3+zof1RPL0o+q
Iv6vZAp/HGhdQqCY7nW7ighaQs3VOglZo618rtdpv6Y8iWDZsB1JRfYLjES6s0rn0emIUKN8Iumt
y6ZoMyhADEQu78vl88i/RUoac5iz2MquMXlcW12b7G152ReGY3zdBkRnphZFfAuyDbYun1xwCran
IJUHGeho6yGOWq+r9BtLIw/FCiXj0Cf1Hc+r83Ncvt6yVOQXs1o2q5yW+1pU7XUgBSRdjGuzHNma
ze1twrcSSrhwtm2B1g8K3ENWjPIu6dqTYlQjpktmRGaitZscyfetHAp2haaNQNG5JoPrstAknlne
d09E4AtakWMTcgQJ4ePYhgHUc6SX23zukKsFMTaZkNjqS90csdkYkrSKmjQ7Oi0I61IPBz+PlWqD
g6450rYX+yDUY5hqgDCzKGI5c9rt3FWHJQEmIsS1gRBRlMmpTXR7q1ZYDSSjvVXCdrzCuxjuBxoR
O6ULMbPp5o0iJ+o2jUV+myVp7HGr2P8bk+gwkHXo+nsJZkdZiXWQqvV53LXhfp4GE5U7Tn+NnkCj
rvqg+VlWTbEKqcpIAJ2dCxNy8jfKYWdVjYQejUOveV1r7uk9akd2MADOAwO7jDPE3wYli3D62f1R
TmZYe5I5f+8mZxd3WOvNwSp3tpx0qcvH+VuQdqQTSnHoTgBeNiSbYidoA8sTcEZWaTcggjUr5Llq
ZBSgLzL4H5MkmytnkPq7qXXMmz7srV1tT8EdeR7Qh2TYY4bAaYKPJvJR5UxntWXEN05c1eeYRNFb
RuisTtmsSBfYJGdCObLkzizUO7bL3aZkfBa2IT67drysOqH+xOgkTkTzDPRsW3BR0OwgI4/lvLcj
CbR6Wz3HRj/8FFqbH61KG/DCmsOu6+wM7ibEDcnK0o0yh3e2nlUXBBefEa2BXxKPWEiWKxlZqK/w
+uGqr89GEZDygXkmWeVjSq0rIutMp/i9HOagOg+ULjlGsqN4pdyf92YsYDF09R0m0t5lM95c4Ivp
vWgivK6PCRrJWzYmIpmTG+Hwa2TDNJ+CaP42GkW+UtHkrsppiH18Kt/4DknsIwISGmUjfKZIn3dK
Jl2HYy3jni0IJlWL7limtrGy2SGtiKpGJazG5yNUgFMd6uU3I8F/kcc6jSTFkjzDslSXVJoAZqEy
oXU2HMWHN9mvsFYYqyC28y3uyYbIKvw15DJa5KSTxCYsjVU4Nn6SelesHDNTPGBG3/LG/B6rNjkS
CXtPVMUAP+UK0pegJ6z1FFuiD1heAjC5ZRHckqrAV3H5HeArYi2NCXktO0elouVtzgwV7VEwOwey
5eBQqMLQKSS1cHiWwh6mQwLy8Vqt7F/4OA/50LP6kmA7RPjBVPsoUMS7NHc0QEN2NGDYjfqNsFOg
DVJyskalOqC5Sm4rJrhrKnkMO3N0mxfm1pCGbMVQoik8U3IeYO0TnuFUP8qRB8pss2tRIyJPxokU
pEy+mMV8yB3E2nztkpu2a1Qf7rXjNcudttMp2GiCkt3OWXo6TLqFOj/3VvkoLDXgos5atM7oqa0t
0GAI0ot4TxbzJSDt5mDLTMRC4gtihPXeFAjbK7Gmruy+Bdk3FwUZd5a2a0XaXIeYolZzS8CICbti
p43lkyyxCpHXtQrUYG12xvNUqLtBN37Q9DC8oFPoUWjGn5OH/yt3/wd4MFSbzPz+fbm7evrRPP3j
qfjxj4un8Kn5x+5J/Mzid9Xvy0/5s/q1tD/UpVm9jBZ0E0UOheyfHW6LOhZZlcMx+bjxRFN4/rP6
lSmZUaZQnhmKQVn6r+JX/oMxq4kfQ4ZyzZRd+TsN7mVG9ar0BURGyP0yKmNB4xeR37S3k6RTRy3I
6MZisE+ScWvq0UZp1VU66ttX1+mv3vprxIayzJJeH8tkDugsOMQFRLtQjH8vs8NcqkioovPL53Yj
LHGa8nrXptamAOE4O/VDLhteN9w52kay5mOYz7IXafeo/V01Hs/GjI86T/8Xv9Wb+SS/Br8VJh5G
y/zNCxzudfEfVHHpADMP1lU0rbsURJY5kJOrWhsFj8KMe9qScs9kjmgTVosZcjUFOuHRYbU1Ok9X
v1IdYBd9f53Qp9mINpFgo3vheXn9G+WRVUmYpYJ1O/fRFrAaPSdDP8HRCY5jhD2+MqTsWGWib+Ca
zqSeECbVzQbVdiqYwUfFo9QUxjdWh+xM6+0A+RnfH6vYVGOPuaIYHq3xe8Y+REBmM8viYAo3Tgfc
78KdCsNVe/yaZNVpLW1WgmFbO6bDOa9qIAfQ5A9yLa3wXW4qvVglGb4OzOB9FO9N6TSodMkCvnv4
APWaIAx7Wlpy5IsQZS6r+9AMtn1dnremusON6NbNPTNnX4pqbxbPUnEGcocOzKDtK8o1Vd+lzq3o
xZ3oaaU3E4Es1Wj5encboLC2SS/KRLnVmm6VtxkOofDbDMXLSi4yvj4AoT2bmWJuBXsj6sjoCLAl
ZueTAflYFHtNszZjq+3MNMyhU3abOrGnjYRFFbnJCtEwtFWYRHpzEJG5AaA54la3dY6ZDVTsYqPV
JXCIO9N29iC0PKvAR50ZUN7wv8digwsPCGq5a9rBC7OWy8NhHH1V1cOpbIxv3E83QTzXd2buzoNY
WQYhTkmzUmrCoo9qUZ8XmNDj2PYG2Dqy7OwrnTdT2Gs5gTsUX6VDuZOaC1rdG2yCT4ISXtdpkZSP
bfsdCIob2rVLGvixpf/iTJfxf7F3Jk2NY2u3/isVNbijK0J9EzfOF/HZcgcGDIZMYKIwnfq+16+/
j2iqIJPMyirXgMEhcpSAbOSt3bzvWs8qkqVJWHxsGnPMwFPXKesT0dKyrV85N64RC8fwvVTbIFRA
yAJW3AHMx9RlaMkwAjeQJtI7V8kdyjMZNy1usoCaahI9lBhOz+TBTXeW4rPvUrTxoXHG9dzxVkar
bg2pli/1EIRd2br1dduMyWy01xZQT7Cq65HofomzMJlGQImoWyVsZuUQ5tDEgcKyZRWu55JeGnZV
oC6aJO1YcswyvdtpUOWWiRbTZ+nyxj32msxfK7VyCldQPyuGxjiv5Dh/7hn/d5H860WS4T9Sxn+8
SI5LY8Qa+c2y+PJ7L0Uh7QDhiwWCHm0AAgQdPc9L41d5KheNUX6MPURFb5ZFncoPXE3YmDLrnzIG
97wWhbQDvAIUiyB940/gtf7Ouggz7d0sTMkJShOlqlH8RxGKFev9LBxyZk2VcsCN7brRSaYWKSXH
silP8hFUUDvkAWZS29KjgsYiteFgt1A1ZlqHo5fWyaUOBnIeKT3+dSMYKVillBL36osQLK1yCq/B
Bd1SE39FapW20RMxOKrE+MRwdEjsuTVsqJawO3TM6LgnuhxunXep4WDHVm9pSyK74illJG3i9dpF
UXgerd82PtVrl1CKtq+di6xtZWFhaT0V3tIY8sT2Ei48YRvNKVA3sh5kMWTzaek7TbcQY9cLZg22
82sgLLlv8yylM20AVEn2sXlNhNlhGVW4TGXzvDYEgp/pI/SKbmdJD/WwMhLbFyNot3GyFhQX10Ys
ofuvlXNIomsvK7ZOYZi0z8WKapoGRQ/PysCBfhYSHz9RSCmmmRb0U8mLj8pBbY6cIl0bfsYt8nu8
1mBz2sQnE6kumNUpzEzyVnfvvEZrwb206lwAizC2DrSTtA+oLOFXn+u+aF07cMKPgsgTwdOThnTi
+0V84qm9s/Yxq9pdD2lCjNcpsFGb/pawyGlA7zq0qceBWUqTrjQXgUZgF1XzEeIGYlQIti6ZMHZU
WBTH6jHbqCdAuw3V5qwptJhitAKZMaujrZk7cAmU8GsdeoedxPfkMsiWspJ6VD3i26pxzmpidnRg
VrOgch5jpVMmbkrijNuA4As8I702fClaNKGFvBu2YzUE3bGexv6MPkITs0QPHLysSDqlHUMvT26W
WU3hDxacP2uHYt4KIalmTNyR1a4IWLc1J1kVlGOmtUaHvQyrTZA409DXbtv2krJJsxA8BxdbOwAa
DEDSUahzLxyckaepH6fzdOwzDCACKNdUG9OTYRJVmbJG6lxyJqGBmlQLz9EkW2hccZYlIGW7YOTc
y/1w4nxRISAde3l9qAghcTdeG4v3kpk80quB7ayDXlckuzPhmfbBRRgF7mFdW/mkybKJqEqYfIdg
KfT1mSBrDcDtsrus/UHDo2zM01ohnCWDQIVAy13GqettQYWfe0pz62gckl16FPOO5inbTR4vq4Vw
KjU3kTaAeHIAOMJbDxZmBc4ZXjMXhZt1QaPpXAlz1aNGqtZ2EHv9VoycAeZOWWULQOzuaQdyvu2/
5KZQLIZATzZtIQhTUjWPw8aBS8O+ITGvQ2iObtSfREGGP7hmp40Gay0M4nnfeRdIKIsjPrVAhNud
OumXMNkCSMqYRyxlqRkZIgsqqvD4ZqYfYLJtNLYAjbgOtZb2T9Mfp3mP+UW8RN0B+cviUBnL8jkx
w6tcFDBWZOKlTD7PlP2TBu2R0ThPvKRkW9BKixwyWqJJOxXoypEYlQNUtHXsnWZhdDiowyoepKUl
10xoVa5fNxBbRGYwf6bWlrm19GTuRnQMeWJJcUFf0tOcJ4zY7OjhWhqPOueQcm5aAOQmJBgHLcQB
Ys/sPOv0mI6fUvQkmnhxc5IYgTkVtVwDDk4NaLBlq9OsJShCiIgJx+TsK1qzgodJC7OKZAolrJap
WzTuWmYzQS2lBM4wqWla1tAukx4RYO6TmyW6AnIP0/N610bDl7uzeBjJvtC1OHEU6njczpIgXdCh
Uk4VoZGPTbfTzjrBkOaRpWCsA7h+Tk9aw/DPbleEqOtF0UwoJEIFHArTwOIyCtOkMrBjtDB4I4od
PGGG/LImiR0mSTQ1mka8GiJUcdh2Eol1og8Ca9oVUi6tC6WSz8Mq574k+Znh9AOZfEE7E8s+gyuX
LEvyUrHEVZdVs9YHAndcRzxGeZcdqz5HBJk8AmAYCkCZwnemokGTVnIwt2eW29lxmrUTxFOU85vg
Brx7O++D9k5KlHxqFnB5rV6mJZu3J2nFfAuk59Y3bhGgWIe9TFFbN3qZw4PVrpU0VyeBIS4MLz3j
hHKOdtayu8hEz0J+lhcb+tSNcfTXuWocVXqnL6PUITnPVw4dUziHIxVOdV9S1gIjciYO2V1UpsL4
GUH16TNlUnjthkF2OUiZ/6hBaVqV9dBAmE6HI8gEnFrA/32RTLHHIZL3j1YqufqUqHha/2VRiQHB
Jb7hPgtp/7v7+7Xd3087gse7ZGwJfrD5+7MjqB5Q7Ua9BwwEcT3Mqj82f9RE2BRa5HqrSAufnD+v
NRHtgOYcakB0pJgxlBFU8br5Uw7IGh+Vv1RNxnSmv6X6Y5v33eaPozdRyZRXnkx23xzBtbwEuARO
cJlGobCsQliqrm8dokzDvVi5hLlC9roIQTUuVKJRpq43dJcxLqIt6UhfXU03CEC0zPvR/X4oK7F6
XTbqmZTE+URRzFOH+WIix06wlLtUpMVEzQ9NLIuibMbHxLoRGAscEVC4u4zC8lxIQs6KKdeYaU0A
e6GJNoFJ/3GCKTyE9qX3Fa3AZAHHSQd75FukD9ADvLB61rjOqRzOl312zLzVeXZDIvRyIEhl4cP+
XgoJZumlVVrdlr2Dd+Vn2QNE28SwXYK8iKXwgxtfDm4hgiFn8KJj8FgnQaJDa0qjHWX6eN7CeLdL
RS3tRO0fUXlF1EdcEDQ5nMm01pbAm2jrwOU4D+CIUTDQln3Nqa+NR+Cvr7EPLFoq0HohTYkSL+0A
9DDzvl4adFcweZiUKJy6E5i/csMODGjjE7EmgUVldlO1AuVKW8XZOWWrAhqIQ6yR1yNispr4Gjr2
qVmKN7HUUXIunaRZ9DIETWTK7pb0Op8KgxGdNZEuLKKWfZGdqY54prWGmaHIa+n7AsBDchZy+sBR
Oii0Ts1IHXuaMHafdpUOPUnUP4HA7gKcE/6BPBdWxbg9RY2ZMh+78wyKx7pgr+HzVMyBT8P+1No1
5Ob2SBOTIzkIvSO6tcEMFGE3Bbzo2VCErKmcWAS2sI8exg01EZnlWk+QwuS5TOm+qbQpuD34V52z
4GwiH4LeqB4kJD+XLIbpLFfI5ZiFZU4OYRlKoxqtSa16qg9+vyjZwPi2LuIInoz4mXSqZlIQbv2+
lNojbJLxNApaThkamd+dRd4E1Z/Ytiw3+eKNpxQO+eqk5ODip0Vw1LuSuoFAB+LKdNzkume1hxZp
DHMtbQmBQTDq03bOg9Mmq817Fz4MmYvBWRGl8iFPS2KnbhxIx2zxwpP4aeKunifxCv/SOkZGcOSx
EJ+CORQWBu3CO9NphAVhJdUGBCZPieG6d07ug/eDI1ff9JooTxuzkU+pI4hnPmEjdipJt2rkSEux
K2M21BotczkuNhHDaeLDmY5iIlNZhw/FFpq9AVLtyHSJydXxAM3I+SNCTbZRJpmTvOrXWYUm1x26
GXfuK5xUgpxD3+EvIduAXW6DOEi6iK0qnYZ1twS5DY4iIiK6U+5dUWrnei7c5fTdPdj90iLzqkOF
1EEI9etIlo7K2PnquIoNGnBFqMktjQTOBtaJiMVzgntEm3dDfR97nXSCV+2BDijtljpTbckQi7nZ
CeaSVOod2Mny0BurPwQGePc9HPvDRjfLszjF3QunfYCi55vI3UJz0TTlHVMx5T5NuW+gKM0FOkNT
usgm0lHfP1KhRg5AARdxL0onSW4dB8XQTxW8RbMkEXobc1g6V6rMgRJEE4k96kCjsaab1URkzMiH
odqyhzXZ1hIYlGZldTxkUkEXq+8XhpqxG+1k5LJOdxxJkk96isypUsLozHlMP6FVKp2FWlJutMSd
KVbjr2BYRVNUfxWTTwJcWseLgKpNiNSHEqLjTB4VdGHjgnMZVXXqqK+LSxz4SiyPmjvUd8Gow8vb
bqR7jeq8ThvVdHrXy1+NJ/leMyr5fM2vvmC0Rd6HfDl4LAc0f+WT/A9ftHfZSoXWTmWN7FszFPVJ
QF7c1FU9d9bAWcKUGxWTPC9yu6uJYIoiQ5s0wKkI0llbGtvivG0pJMa0x1vrKk8IMoQtRrnPc9ZJ
ndy6g7XNBCrBrb6UrUUmN+606HWvmsLHrc7q2FnlnfvIPGunJhXrRtzIFalASWeeiSLLSoqyllK7
OA81uYMPnd0qw1lcNXZp8juSlF3FghyclaK4gvbu221Be53fSC+zAmq6lTsZqCPBmehCuTH1nmKv
2awazWSxGk9QteJdlJHuEoTAwx6GBnNzpEBlhB+LgJsH0+ohFktxWk57gOvATwUhBi+/AKXo0QdN
iRM13MMetuiCRA7bgBUKmsFSUtDPSXpMPIJ15ZMAIABztmFkNGSuZsm2qYN5qEYIpBWjmoqJxVpa
NdomGrRzo2+9Q1kOoEA65oriJW1xVTnpUm6zZmwJ/KIOIrScKamgTCoAUn0Q4ZSEXbAsc8XudGhR
EQpsGgr3EUw8co2lLW61G8VrwToP5BWqpXkhoO15aCvjijXFhPLgPj4V0v678fy1jScO4R+XHY8f
XHJ7dv23YrSx7sgv/iFGM5jyqRHiiiTPY0wpe647mtYBTReCJyVr9Ne9M5zoB/TJ4DpgXgJMwNTx
59ZTOxgTyjHhs2W1JIhKf6fuCMTh3dZzFKMhbAN1/mSwH/FM7+uOdNcrLIiGviysAq+BnIOymBAo
i0dDsnzvvguj6JCDVJetaCDVW+S0pjvTWykY5jDBlcs8CEieqHSdU6wegj2NEdWTvNhWXb6IBU+5
tErU2k7bimAuBRJpFC2hN22QYowDQVUDa4lQ2CSmujfzbC0KabfqycqGL+MyiZkOAJFSMzj3E/5Z
TetaEi4sxPFHZm3UV6QK48cOTGsmiVE4zRPzXGTRh/ktnvR92kxIG8gJMi+b4i4H4gxRDVlHzrnb
dddiUFoVBU5pWGtemUV2q1LYJDSKsMMhipdGXcSnuezLS0czO9vVBmXZA8daymo+5kb3HeEgUa+f
tZ5iXZipZS5aKWyPMzOypkEfNxPoHSLMxDibEKrDTtrT2U3TxfvSpGZbnzu4oo1JXqbnkiVkNF4y
v49nKZ1YcS1z9EUOlLTNGXAa6LBuwmK7zv0qaBcOpgSFs2jEHGclTMB2KTkQ8FwBDQc75aCiIST1
JV2tBnj52SCRonBauKaenEmqyGmXKFu4JGGA62/lZaY0rGqxIhPJYRmgohdQoZrVNZg2xAhedNVE
MlYN0KmVjPQFNAnqJhLEpnIth/1EGcqmnjt62SyMSvTuxTRzjWmcxdYiKWrpi+a0VmG7ouuO6dOP
ltUd1UKbb+TElNdp0WfUY0VhKdASvAKF2U3IBNkQfqhPKGlUTJBdbB0rRWvHfe6fUb6lrC1G8SQl
RRrTtwaRtFST8l5Bvb9MZcHzF34z+JIdpWJuw483Lyj+wFHvDfRAduxX5pZAqX7dElYKN9rXcPlU
0bYKKaDTJgJbiVZqQepieigaCGuE0nJnom8eUgse0XHScOFA8503eaod6mjNJl4gLMAVY1Yx62mY
luW2VwPIfTSRTgVXcrAZtm4MOpO+kRoVfThJU89gHYr5/0WKgmRNm4E9X0Adt0cZtS5ydqUjTtS/
YLTWRymtC+K5ZfQ9RHn6Aeb6sM0maLxtInP0SZS59cpt2vDUYpN6TagRi6abOlI5deUOsWXPUUmc
DAJ2Hir4IEhj40vn+/FZ3qeLFMztLLdwFcVB499D2mtnhWlk27h2S+otdcB9D/qFHrj59ahxX0XC
UB9nVf+Q1jVEkKyX45nJ6Q/DUhDM9cIQQkxVrb5tUzTvlNlD4ybr4VTPxFhXVyN8lqpoVyMHRfKj
C3LNcTOv5yKblQXZMBiCOo3yt6Qgc+oCMkUKN1pGlnAokpnEDBNTk9bE+soRS9RDpRttXAAlh2UW
YArqPQuHRu7s1LZBv/7fZfEpF++XlsUx0/fHy6K9i3fJk2QFivL3VZnxl1+UKqMeRSZgBaEuxZQ3
S6MhHrAkvhGxUK95rcqIB3yHBwHpBLnjpsXlXqsyiFh00B1oGIAxabTr/s7SaFHeeacfgbCqqMjE
+QdaSvtOpl0IeasmkjqTAv+xNvQTo9AWmW5dBA7TlRiQQ9XTimmQpwLdPssG/doo3EVt3XgtogJJ
oCLhDV/CWl/gR59LgjAL1kNQHFatRvhmRAm1OfZa8Usug+cdD+yDtgiGAo3tNPVorUfZkVRMsZDM
9ZbfzZN1FBRLmLqrUFfO9EI7wUy6aHP1THWkE5VTv+7edq437zNrxt56awrZduicmcNyq2JfC8kZ
iarbIdr2LsaSmHSFDr+62h4bmQmVOF5LmXqSqN2XTCFjr0o2PF6zjBNSFHOuQPZAOfZi6Nnymo56
UerusmiD09hRSXHzLNo6WrEcHNoClF3OKtdYKlkJBlprbqrCuoDMfxWo3DJXVBeKo69w+swo5dwJ
lULhOV6rzEBvRt5HIiBGw/cf4ggJgykoMWoYSG/FLX1cyKUnCuqMlCvbZT2JDYLm2vxU6/tTo8DW
5XmooAdjJtTIgflkfv4GnoBVb1VIo+IJ1ptIx5nWM9XC92+ABijbAtl3ZgL2wAylAKDNeSdy7mp6
DWysJ5+qTqgvamcYXZhfmsRX1mi0hFWsK/7EmDz0ePzmA4qgKdJEf25ITjxz0gG4WbEk+4F6tukK
KxEFbjygoIE9HtsLCLqgUQt0/2YbzVrFojyBgyhNHW3pWMpR3hGFRv4MlfJSvuuhgWPIHM5q0V8M
JWmsPHtflVw+QonP+ac+IispPwQ+6T7zLP/W+eLXfCw//Knxtf5ws38OpzoTGh87qERZHechoFJ/
MWN+JPL77X9R/f1wMv3wJf5UAMqGTPsDoiZEUomZ7UUBOM6rOGC0UXbIieOt/4V5VVWgAfEN3jbC
wbfzqqjie2CyxpjMJf+W/0X6NtVYfZ5YRRqqukrPzfrmyJGj9Q1cfVBnTntJXu2xdSHNKa0qVGYn
lFfJMGe6FMtz5RKFMoVDpM5l7qMg+up0lQ0QaWo26lQM4xvLaQh7oO1TTgjiNUyC3cDnOmW88szb
vlNtrJ9YJ/yvdXsj+9VMAGSMhWCrZEC+5P5U8Yq5IhwiCC66abR09ItGPnHvPUxhibYmig7dz3Fa
1ACuHtH5EkwvY19FZERwV1DFBPlIJ02c2H0rTCPIeLFOdRwePm5kROvCArVwMcfN4U7TOjrpvJsE
Qr+etLeilaD7Fc9A/ni27wIB0xT8gqVB3kxyV0WnuonEv25CUloCgsYR9ZKpMKFo2hryRgoQA0TD
SlGKudjLS0GND6n8RFM9Xisde8Qyy07LGn5Z7hbI8YWZHoibCHBVl1G5hqb2oFE0nSa5ei2ybeVj
mjWpO6N3OwmclsJCOO+xJhWI+QPyHukJHJMut6lAvpHzdhcaOv453mvbA73OJJldZH+ZCsNcjq2Z
y5FuEpgq5mid/a3ecFVCRjduDI0gt0oMwaZ/kqNSQ1Pw89lWepLJfD/disA/2FVAY/hmbIWNWHZ+
Klizbogvi0qgvqyWm64hoa7VZ1Ckcjsy9MOK5kWUnWpxt9Ak9aiK0b33otJgkcEr4hCfrGPKDAVx
7tftvAhCZ1I7ykZpUnas2lahBYB8tbRzxT/KkyOxVhdFlhxJPcu8OUv6McVhONMib2kabKMl66Ti
I8x6/1EFCq2F1wK32WHFQRgydwOiDIlZLVhg83Y8e5Vr00IS2OFZKoRlNoibQivmjaJuetFa66p7
3GF2srp4EXvVRUDVkyHJlvlQlW50bTS314e5PpyIYJ4mQkq3xyA9iYI7BaseXWbDMoSlKY8WglNA
NzNv46pfRhGs6ZbwDHzidB/qYT101YzE0B0g4DneyLEoh0JR9DFDS/0h08VXWXZpzlzIRXFMSuiS
Iv5F0t0MgdYdIbxIaZNLxnXuKNhGOEQKhGJ7mcQZgiHS6ioKO2uZK8W92PEeGwI3XZRElPJTDXWH
Uh/lbU7U4HDz82Eij6v+t6MErZUCtAM9rPW0aL9x4A0pUKKiTZC4p+GDi/PE4fY5hXSTFwAbmuIQ
FvF57oQnQ417tCxWQdsh4iFxlbYGQSUG4gcrsIMyWxWDderJMXNXdV6aFqKnKtwEXvOYaclfjG71
CQH29n2zS8ZhQK1UY4HB3viNpLmkSZU1ErLL3CiAwMs0tdEADaQ8QakDA4EaFGy/uYASYmeuvhRi
Jqlcqom/mncZYQ9e1E8MAQ93kbfDNDMMxqwrU3DwqXUECJ/16ASQw5aJdaFE3cYPaoq/0uWgjOkh
8r2r4Q/AU+EoZmWn2Gsmjk+xttCrdNaZJlNjIz+KtYdlqqqEtRK3NJCGjEDmrD33mmbTmvVRpjvu
xNcTlJOEj+u6dUPDRpooYXNBuvwpYbfDpNayx0QIvJmmZBdtJTyC8o+mpq8/6kK0LfXgiv7MogCn
OdekxyzyFx61GCvhHbj5qiixKprWFJzRF3p+C3hTWP6K29YTVj1NhzRuZ8isXLGdig1Ek5CgOPJC
cKfhyezQelXHouBviDEMJnjTsYNYS4FgnIlX11/ZB1/mosw8rl4NYX7p+t0pzP3BbuqKDBTwHsB8
cldcajgxNa9dii7+7yq4c8RsG9FtqWXF1mWe90DjtG9u3ERcoZDYtKppy5G5jSUZ4zKRg7VozSyJ
KFNXm7ueOOejX5NEOmtJ5tM7/2vU5cvGwP0JykLrj8V0XRHtCTd1XlkRIUT+RCqvgmE77v9D37S9
+sjKwhXCq69IVYNFb7j+lELPPE/ihRmSCtom8QQtyCN4g2lX6ZtaVO28CK5zzHATqwySpYzYZToo
2L8D3ai+BrFxlqKimQjsr5MCgaKVNRtfCyi24YIX5EccQStHsL6qJY0SIb1nszrP6iEZ96LrhMeQ
lkG6qfJwKQ/aPEgpOLT6eegGR6qMX2ZA1JsPGl4ZtsyOUNlWWs+BSNmOC4cmCq8CucW60i3jGuk4
Xhi08lV8qXjJlVtq665QvgAuTfH/XWlDftHFdTVjVK9yx3gcZOXIqT191pZYgSLJJWsLK1iNk9Wm
VBbNNHVYhy6rlk6wYM72wijEnVoO0Uxui/NU6XdhTh0lrKsrYn5QatGmnvoonwu1umwG87AxMo/K
FpyIcBXK2hfdwEFTSR2FwOBCKvWrWq6PxK67jXHlTYQksqVIWQptZ3eiuMEva4ea8yVGdmIWdK5V
6xyIx7EbXg/5gLe3nlqOd1I2/hlG01nPaFeD7HHwSZrjjnWdte165auc+4u0GlYofc4dovhC89Ea
xJsOzRJ1oTn+17sAobcfkz7hatq5Yz3EBksG7AThpDBPMulEU06T+py60KagG1sr2CsV7JTypArM
y5g835BdRzqQhKsDy8g6Ww4egCFwDDHpBF8Z1kWreXjsVILBHikr25J8Xbtbw40XullAwDij4YdO
DqV6LTNchONAPO9kP5t4w1p0oonRkyzJGuVTOCqMOTLGWYiI0woIrtBPpfYOVfk0NpSrqjYnes9z
HcpXwHTijvj26Ex0UZAxV37NHcIWa8p9rn/blqNB9JHMICqV1m2nKNGogbjFlQVhFu6OL903bUDJ
2fLiSZhadk9HcqJZrS2j4Kys1FwFFLUm5KBgmHTjL36PGreTe/VeKICTmNDtUhQf8xbxkFYkF56L
mmAIpAsrFK7Tvv9KyOeTI3VwSJ9qMkRyCpbWlVuFJB9FZjIz9KS2IdPepfWwMAdjScLZRI99+uIm
2ynX67aCSju5EEkah/oQB+2u0tkOQ+nRW0ea1qR0D7pxGzcgz1rvAS7IBZlG2TQP5GUQoElLS7Ym
RISHM2eMY5YFB1ROdREphElBlGKjjlBVeSRwcBpIC7fSD1U1BUFUHFN9ZPZVkVVq1NqrhcmJkdQr
xZ0XKmFsaqsJdptbvl1phTAtVauaoW/pJ//XGxzoqjXbtEyzNqE8epPN+sIX46ticClMpl7IaHDO
FU865N74M+h3Y1+bY2pq0GwDs11PRJrdEzXWt0+7g791JP2YvrDHSfPl1e1dtZs9FdrO6oeiP3+g
l1D9QQgbv7tJ/aS6SP/ZD72ixj6+0G8Pb0p8DJikGt+Bi1/nXZVu3FO/q+49vaWn9/uzK0S7yq/q
+4f//C7DX9Bkjona2MEav37/LUoT9+XbhjWW6XBlQVl7+nrW9r+5Qz+6Bz//855v5s9/5t0fsLuP
EXhQ1y/8u+rtLTBgEwI8/7Xb8M1V3t0GmGZY0Iznm/DtbZAO0PkjSeNHnr/eDtOPP8Ff+RN/5Wd+
7TZQmaWVqbLJ/JXh8OP7YB6Au4B3ASzt6YtayNvhYBxIkgZ0m57m09enGw40aRnBe90DSTswwDlL
JsbH1w/77T2wDixdo1ZElsHT1/Mj+IkeCVST34owfzAt/Hgc6EwLKh5q7sIH98CSD0yy17lBL7PG
p7sHL8/DL06PP7wPCpU2INJYcD9+HvQDuvIjZfJl3uDwytj7RGOBfJS950a0tcz/1LFR5Y5f7+cE
k2+jSKDk+PxCn+iPp2ZpPX8iz1TPPybq7xfIH44ASTzAhm1BFH+Z8r5ZIPUDVWRZUKWXAfIJbwIi
ahxxe08J0oFMjQ4DGWWYD4aBfIDwkklB/Hx3gF7OvgujAjuW5sDYyPzorzeM0cgvw4P/rPskic7o
OAz2XR1l5YD2GL0HeF1PX1Rt36yOzAYaDwMUgpeF49PNiBIf077PgoRHQRJVePMfjwb9QGLKZML8
tMvjaJ/Yc5/ESACyxtqHneiDCcEwD8ZwP5r8LxPnp9sjKPTJGL17bRbl0XXMvADA7qObYIo8Djon
rNen5dPdBOQS8vMufo810jrAqwPBjx3hRyOBx0E0R5DGy14SheTn2iVxrBP/ha0iMQYcC0ZQ/psZ
0dAO2ByY4MFf9oifbgiM/ed9/3qeAw18I2yS1xP0+5uACQtVzhhG9TxCPt0QYMXSn9/UHs+BdCCy
zgKdfL8oMhWy/xqlwM9z7qfaIj9vC/adBzkoseiL3MSXCsk3d8A64K9X2DV81imAzw1kEiv2nguC
ZBywHI5y7+/uAN3Lcfv8Mgs+3/FPNBRACo3ZHPsth+NzTm1ENN5PgqZxYBnMsqBUn7/+xvP/C7fo
j6rs1POj+6d6rP9QflS2/dEPvJYiv//+S/1tdf+f30cJw7sfHBWYz6/9Z7n2f94dJZ9qAW+++Vob
eHqdl19/+QO/f+l3r/X6V73+59J/KHbFHeSpp0rxy9sc8cH/+R01kgeKbFPs7h9K72259Lk+9ucb
+s/v797um4//p9cvy/e5Hc8lp30vO/G9XfH23T5XL/a97HJX9Ltk9/bCCJ3GTJ69r+zHuzt8JR/e
6edT574vcbiL4/q3/7OLs//329Gu9GgXvb7vpyFJ3Z4pa99XOdoVCQ2N8P1Nej4p7X1txmn0zYWf
6jL7Xni9C0tvd98+PGSvd+Dplhgcbl7/40ON9B9T3M/G+PHu3us/foaeD0/7vv3Te5+3//pGx3cu
oxT5Fz7MTX1f33kPRdG/uzjJaNLrf/zz27Kpk2B3+3qdp3f9vHne93ac74JdWXm7dw2ul63pvtfe
+mHovwsaQk40bsb2vfDFLvYjcI/39eu1xjvyspfc9+KXVQVF8oNJ/OXguu/1vz6U1W+ThwQg17t3
/7wP2Pfqxzsmcyas6j0A/uW8ue/VF3XA1T/uBO597fTdUzl2GHWZAuK+12VV/sNuceLfpbd8uqty
hKGVrxcfRw+FI3ig/8I88L9Fnfx4eRJpkTxpLvf9s34e4/Wmjf1Pdho/jxDY8+J/C9i652v9Bfdu
z6v/nKuy78X/wju75+Xth8jz3z4Af/ay9x2aP1Tkv7zEv7AeTlmx7n1wv++32c/t+H/hIZ563q6q
/PK7V3ip5/8Li9jTOrMLxz/k3cfw8gr/wl7qkKXgh9enI7Hv53zxwCzqfrvH//NEv+/117t77s/r
+3yapOlxUO0gnwR9DCYMgLCv3/7ne6uP56N/4i356SP50Xnzj6b196fQV5HKR7/2/og9/sRd9LAr
/uf/AwAA//8=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NULL"/><Relationship Id="rId1" Type="http://schemas.openxmlformats.org/officeDocument/2006/relationships/customXml" Target="../ink/ink1.xml"/><Relationship Id="rId6" Type="http://schemas.openxmlformats.org/officeDocument/2006/relationships/image" Target="NUL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5.xml"/><Relationship Id="rId42" Type="http://schemas.openxmlformats.org/officeDocument/2006/relationships/image" Target="../media/image21.png"/><Relationship Id="rId47" Type="http://schemas.openxmlformats.org/officeDocument/2006/relationships/customXml" Target="../ink/ink28.xml"/><Relationship Id="rId63" Type="http://schemas.openxmlformats.org/officeDocument/2006/relationships/customXml" Target="../ink/ink36.xm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customXml" Target="../ink/ink49.xml"/><Relationship Id="rId16" Type="http://schemas.openxmlformats.org/officeDocument/2006/relationships/image" Target="../media/image8.png"/><Relationship Id="rId11" Type="http://schemas.openxmlformats.org/officeDocument/2006/relationships/customXml" Target="../ink/ink10.xml"/><Relationship Id="rId32" Type="http://schemas.openxmlformats.org/officeDocument/2006/relationships/image" Target="../media/image16.png"/><Relationship Id="rId37" Type="http://schemas.openxmlformats.org/officeDocument/2006/relationships/customXml" Target="../ink/ink23.xml"/><Relationship Id="rId53" Type="http://schemas.openxmlformats.org/officeDocument/2006/relationships/customXml" Target="../ink/ink31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4.xml"/><Relationship Id="rId5" Type="http://schemas.openxmlformats.org/officeDocument/2006/relationships/customXml" Target="../ink/ink7.xml"/><Relationship Id="rId90" Type="http://schemas.openxmlformats.org/officeDocument/2006/relationships/image" Target="../media/image45.png"/><Relationship Id="rId95" Type="http://schemas.openxmlformats.org/officeDocument/2006/relationships/customXml" Target="../ink/ink52.xml"/><Relationship Id="rId22" Type="http://schemas.openxmlformats.org/officeDocument/2006/relationships/image" Target="../media/image11.png"/><Relationship Id="rId27" Type="http://schemas.openxmlformats.org/officeDocument/2006/relationships/customXml" Target="../ink/ink18.xml"/><Relationship Id="rId43" Type="http://schemas.openxmlformats.org/officeDocument/2006/relationships/customXml" Target="../ink/ink26.xm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customXml" Target="../ink/ink39.xml"/><Relationship Id="rId80" Type="http://schemas.openxmlformats.org/officeDocument/2006/relationships/image" Target="../media/image40.png"/><Relationship Id="rId85" Type="http://schemas.openxmlformats.org/officeDocument/2006/relationships/customXml" Target="../ink/ink47.xml"/><Relationship Id="rId3" Type="http://schemas.openxmlformats.org/officeDocument/2006/relationships/customXml" Target="../ink/ink6.xml"/><Relationship Id="rId12" Type="http://schemas.openxmlformats.org/officeDocument/2006/relationships/image" Target="../media/image6.png"/><Relationship Id="rId17" Type="http://schemas.openxmlformats.org/officeDocument/2006/relationships/customXml" Target="../ink/ink13.xml"/><Relationship Id="rId25" Type="http://schemas.openxmlformats.org/officeDocument/2006/relationships/customXml" Target="../ink/ink17.xml"/><Relationship Id="rId33" Type="http://schemas.openxmlformats.org/officeDocument/2006/relationships/customXml" Target="../ink/ink21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4.xml"/><Relationship Id="rId67" Type="http://schemas.openxmlformats.org/officeDocument/2006/relationships/customXml" Target="../ink/ink38.xml"/><Relationship Id="rId20" Type="http://schemas.openxmlformats.org/officeDocument/2006/relationships/image" Target="../media/image10.png"/><Relationship Id="rId41" Type="http://schemas.openxmlformats.org/officeDocument/2006/relationships/customXml" Target="../ink/ink25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42.xml"/><Relationship Id="rId83" Type="http://schemas.openxmlformats.org/officeDocument/2006/relationships/customXml" Target="../ink/ink46.xml"/><Relationship Id="rId88" Type="http://schemas.openxmlformats.org/officeDocument/2006/relationships/image" Target="../media/image44.png"/><Relationship Id="rId91" Type="http://schemas.openxmlformats.org/officeDocument/2006/relationships/customXml" Target="../ink/ink50.xml"/><Relationship Id="rId96" Type="http://schemas.openxmlformats.org/officeDocument/2006/relationships/image" Target="../media/image48.png"/><Relationship Id="rId1" Type="http://schemas.openxmlformats.org/officeDocument/2006/relationships/customXml" Target="../ink/ink5.xml"/><Relationship Id="rId6" Type="http://schemas.openxmlformats.org/officeDocument/2006/relationships/image" Target="../media/image3.png"/><Relationship Id="rId15" Type="http://schemas.openxmlformats.org/officeDocument/2006/relationships/customXml" Target="../ink/ink12.xml"/><Relationship Id="rId23" Type="http://schemas.openxmlformats.org/officeDocument/2006/relationships/customXml" Target="../ink/ink16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9.xml"/><Relationship Id="rId57" Type="http://schemas.openxmlformats.org/officeDocument/2006/relationships/customXml" Target="../ink/ink33.xml"/><Relationship Id="rId10" Type="http://schemas.openxmlformats.org/officeDocument/2006/relationships/image" Target="../media/image5.png"/><Relationship Id="rId31" Type="http://schemas.openxmlformats.org/officeDocument/2006/relationships/customXml" Target="../ink/ink20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7.xml"/><Relationship Id="rId73" Type="http://schemas.openxmlformats.org/officeDocument/2006/relationships/customXml" Target="../ink/ink41.xml"/><Relationship Id="rId78" Type="http://schemas.openxmlformats.org/officeDocument/2006/relationships/image" Target="../media/image39.png"/><Relationship Id="rId81" Type="http://schemas.openxmlformats.org/officeDocument/2006/relationships/customXml" Target="../ink/ink45.xm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4" Type="http://schemas.openxmlformats.org/officeDocument/2006/relationships/image" Target="../media/image2.png"/><Relationship Id="rId9" Type="http://schemas.openxmlformats.org/officeDocument/2006/relationships/customXml" Target="../ink/ink9.xml"/><Relationship Id="rId13" Type="http://schemas.openxmlformats.org/officeDocument/2006/relationships/customXml" Target="../ink/ink11.xml"/><Relationship Id="rId18" Type="http://schemas.openxmlformats.org/officeDocument/2006/relationships/image" Target="../media/image9.png"/><Relationship Id="rId39" Type="http://schemas.openxmlformats.org/officeDocument/2006/relationships/customXml" Target="../ink/ink24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32.xml"/><Relationship Id="rId76" Type="http://schemas.openxmlformats.org/officeDocument/2006/relationships/image" Target="../media/image38.png"/><Relationship Id="rId97" Type="http://schemas.openxmlformats.org/officeDocument/2006/relationships/customXml" Target="../ink/ink53.xml"/><Relationship Id="rId7" Type="http://schemas.openxmlformats.org/officeDocument/2006/relationships/customXml" Target="../ink/ink8.xml"/><Relationship Id="rId71" Type="http://schemas.openxmlformats.org/officeDocument/2006/relationships/customXml" Target="../ink/ink40.xm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customXml" Target="../ink/ink19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7.xml"/><Relationship Id="rId66" Type="http://schemas.openxmlformats.org/officeDocument/2006/relationships/image" Target="../media/image33.png"/><Relationship Id="rId87" Type="http://schemas.openxmlformats.org/officeDocument/2006/relationships/customXml" Target="../ink/ink48.xml"/><Relationship Id="rId61" Type="http://schemas.openxmlformats.org/officeDocument/2006/relationships/customXml" Target="../ink/ink35.xml"/><Relationship Id="rId82" Type="http://schemas.openxmlformats.org/officeDocument/2006/relationships/image" Target="../media/image41.png"/><Relationship Id="rId19" Type="http://schemas.openxmlformats.org/officeDocument/2006/relationships/customXml" Target="../ink/ink14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22.xml"/><Relationship Id="rId56" Type="http://schemas.openxmlformats.org/officeDocument/2006/relationships/image" Target="../media/image28.png"/><Relationship Id="rId77" Type="http://schemas.openxmlformats.org/officeDocument/2006/relationships/customXml" Target="../ink/ink43.xml"/><Relationship Id="rId8" Type="http://schemas.openxmlformats.org/officeDocument/2006/relationships/image" Target="../media/image4.png"/><Relationship Id="rId51" Type="http://schemas.openxmlformats.org/officeDocument/2006/relationships/customXml" Target="../ink/ink30.xml"/><Relationship Id="rId72" Type="http://schemas.openxmlformats.org/officeDocument/2006/relationships/image" Target="../media/image36.png"/><Relationship Id="rId93" Type="http://schemas.openxmlformats.org/officeDocument/2006/relationships/customXml" Target="../ink/ink51.xml"/><Relationship Id="rId98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98593</xdr:colOff>
      <xdr:row>4</xdr:row>
      <xdr:rowOff>140702</xdr:rowOff>
    </xdr:from>
    <xdr:to>
      <xdr:col>11</xdr:col>
      <xdr:colOff>432803</xdr:colOff>
      <xdr:row>19</xdr:row>
      <xdr:rowOff>126665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99E06EE-55C6-F6AB-42E6-61E81A0488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1753" y="872222"/>
              <a:ext cx="4509970" cy="2729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312056</xdr:colOff>
      <xdr:row>41</xdr:row>
      <xdr:rowOff>107042</xdr:rowOff>
    </xdr:from>
    <xdr:to>
      <xdr:col>7</xdr:col>
      <xdr:colOff>442685</xdr:colOff>
      <xdr:row>56</xdr:row>
      <xdr:rowOff>74385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34F43AB-606B-BC63-E4F9-9B5F30E9F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1816" y="7605122"/>
              <a:ext cx="4474029" cy="2710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257969</xdr:colOff>
      <xdr:row>57</xdr:row>
      <xdr:rowOff>37306</xdr:rowOff>
    </xdr:from>
    <xdr:to>
      <xdr:col>7</xdr:col>
      <xdr:colOff>400844</xdr:colOff>
      <xdr:row>72</xdr:row>
      <xdr:rowOff>42069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388E29-E45E-CBF4-B11F-8EE4D162C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616980</xdr:colOff>
      <xdr:row>680</xdr:row>
      <xdr:rowOff>0</xdr:rowOff>
    </xdr:from>
    <xdr:to>
      <xdr:col>10</xdr:col>
      <xdr:colOff>635700</xdr:colOff>
      <xdr:row>680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48D1703-EF2E-4F44-A07D-DBFE45117744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616980</xdr:colOff>
      <xdr:row>827</xdr:row>
      <xdr:rowOff>0</xdr:rowOff>
    </xdr:from>
    <xdr:ext cx="1872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BEE7CFB-F211-4CB6-8BB5-59B32808403A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616980</xdr:colOff>
      <xdr:row>993</xdr:row>
      <xdr:rowOff>0</xdr:rowOff>
    </xdr:from>
    <xdr:ext cx="1872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8B52214-9749-4D87-A1DF-E2B7FC8EF936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895320</xdr:colOff>
      <xdr:row>0</xdr:row>
      <xdr:rowOff>120600</xdr:rowOff>
    </xdr:from>
    <xdr:to>
      <xdr:col>0</xdr:col>
      <xdr:colOff>895680</xdr:colOff>
      <xdr:row>0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CDD30C6-0730-405C-8FE1-05256DEE8C4A}"/>
                </a:ext>
              </a:extLst>
            </xdr14:cNvPr>
            <xdr14:cNvContentPartPr/>
          </xdr14:nvContentPartPr>
          <xdr14:nvPr macro=""/>
          <xdr14:xfrm>
            <a:off x="895320" y="120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FFE4CA-6049-5394-6F66-992D8FC59B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9200" y="114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400320</xdr:colOff>
      <xdr:row>0</xdr:row>
      <xdr:rowOff>152280</xdr:rowOff>
    </xdr:from>
    <xdr:to>
      <xdr:col>1</xdr:col>
      <xdr:colOff>126300</xdr:colOff>
      <xdr:row>5</xdr:row>
      <xdr:rowOff>105964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A24E8C19-7AB1-E79A-9AC4-3937EC8868F4}"/>
                </a:ext>
              </a:extLst>
            </xdr14:cNvPr>
            <xdr14:cNvContentPartPr/>
          </xdr14:nvContentPartPr>
          <xdr14:nvPr macro=""/>
          <xdr14:xfrm>
            <a:off x="400320" y="152280"/>
            <a:ext cx="336240" cy="8773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A24E8C19-7AB1-E79A-9AC4-3937EC8868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4200" y="146160"/>
              <a:ext cx="348480" cy="88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539580</xdr:colOff>
      <xdr:row>0</xdr:row>
      <xdr:rowOff>126720</xdr:rowOff>
    </xdr:from>
    <xdr:to>
      <xdr:col>3</xdr:col>
      <xdr:colOff>566461</xdr:colOff>
      <xdr:row>3</xdr:row>
      <xdr:rowOff>61418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D6F4DBDA-B25E-E517-1A08-AD5E60A19051}"/>
                </a:ext>
              </a:extLst>
            </xdr14:cNvPr>
            <xdr14:cNvContentPartPr/>
          </xdr14:nvContentPartPr>
          <xdr14:nvPr macro=""/>
          <xdr14:xfrm>
            <a:off x="1149840" y="126720"/>
            <a:ext cx="1247400" cy="4888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D6F4DBDA-B25E-E517-1A08-AD5E60A1905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3720" y="120600"/>
              <a:ext cx="1259640" cy="50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224401</xdr:colOff>
      <xdr:row>0</xdr:row>
      <xdr:rowOff>177840</xdr:rowOff>
    </xdr:from>
    <xdr:to>
      <xdr:col>5</xdr:col>
      <xdr:colOff>102661</xdr:colOff>
      <xdr:row>2</xdr:row>
      <xdr:rowOff>95665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5A9914E7-914B-B76B-F640-BA563DE028D5}"/>
                </a:ext>
              </a:extLst>
            </xdr14:cNvPr>
            <xdr14:cNvContentPartPr/>
          </xdr14:nvContentPartPr>
          <xdr14:nvPr macro=""/>
          <xdr14:xfrm>
            <a:off x="2665440" y="177840"/>
            <a:ext cx="488520" cy="28728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5A9914E7-914B-B76B-F640-BA563DE028D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59320" y="171712"/>
              <a:ext cx="500760" cy="299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171901</xdr:colOff>
      <xdr:row>6</xdr:row>
      <xdr:rowOff>21316</xdr:rowOff>
    </xdr:from>
    <xdr:to>
      <xdr:col>4</xdr:col>
      <xdr:colOff>51961</xdr:colOff>
      <xdr:row>7</xdr:row>
      <xdr:rowOff>108749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7EA47560-FB48-C29A-D31D-6CEEBB570275}"/>
                </a:ext>
              </a:extLst>
            </xdr14:cNvPr>
            <xdr14:cNvContentPartPr/>
          </xdr14:nvContentPartPr>
          <xdr14:nvPr macro=""/>
          <xdr14:xfrm>
            <a:off x="2002680" y="1129680"/>
            <a:ext cx="490320" cy="2721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7EA47560-FB48-C29A-D31D-6CEEBB57027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96560" y="1123560"/>
              <a:ext cx="50256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550981</xdr:colOff>
      <xdr:row>4</xdr:row>
      <xdr:rowOff>163251</xdr:rowOff>
    </xdr:from>
    <xdr:to>
      <xdr:col>5</xdr:col>
      <xdr:colOff>82861</xdr:colOff>
      <xdr:row>6</xdr:row>
      <xdr:rowOff>139396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F84C6C5D-7647-A2FE-EC30-FD680C38A418}"/>
                </a:ext>
              </a:extLst>
            </xdr14:cNvPr>
            <xdr14:cNvContentPartPr/>
          </xdr14:nvContentPartPr>
          <xdr14:nvPr macro=""/>
          <xdr14:xfrm>
            <a:off x="2381760" y="902160"/>
            <a:ext cx="752400" cy="3456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F84C6C5D-7647-A2FE-EC30-FD680C38A41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375640" y="896034"/>
              <a:ext cx="764640" cy="357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35401</xdr:colOff>
      <xdr:row>1</xdr:row>
      <xdr:rowOff>1033</xdr:rowOff>
    </xdr:from>
    <xdr:to>
      <xdr:col>6</xdr:col>
      <xdr:colOff>231842</xdr:colOff>
      <xdr:row>4</xdr:row>
      <xdr:rowOff>135171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4F4BF52E-619B-ED98-07A8-091A669DAA7C}"/>
                </a:ext>
              </a:extLst>
            </xdr14:cNvPr>
            <xdr14:cNvContentPartPr/>
          </xdr14:nvContentPartPr>
          <xdr14:nvPr macro=""/>
          <xdr14:xfrm>
            <a:off x="2476440" y="185760"/>
            <a:ext cx="1416960" cy="68832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4F4BF52E-619B-ED98-07A8-091A669DAA7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470320" y="179643"/>
              <a:ext cx="1429200" cy="7005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182941</xdr:colOff>
      <xdr:row>4</xdr:row>
      <xdr:rowOff>66771</xdr:rowOff>
    </xdr:from>
    <xdr:to>
      <xdr:col>6</xdr:col>
      <xdr:colOff>89642</xdr:colOff>
      <xdr:row>7</xdr:row>
      <xdr:rowOff>105509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D0B37CD3-F966-5A29-DEEC-5B43DF4E8133}"/>
                </a:ext>
              </a:extLst>
            </xdr14:cNvPr>
            <xdr14:cNvContentPartPr/>
          </xdr14:nvContentPartPr>
          <xdr14:nvPr macro=""/>
          <xdr14:xfrm>
            <a:off x="3234240" y="805680"/>
            <a:ext cx="516960" cy="59292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D0B37CD3-F966-5A29-DEEC-5B43DF4E813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228124" y="799560"/>
              <a:ext cx="529191" cy="60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397740</xdr:colOff>
      <xdr:row>3</xdr:row>
      <xdr:rowOff>103178</xdr:rowOff>
    </xdr:from>
    <xdr:to>
      <xdr:col>2</xdr:col>
      <xdr:colOff>156841</xdr:colOff>
      <xdr:row>4</xdr:row>
      <xdr:rowOff>130491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33E27125-4304-D796-3C2F-3982B9797355}"/>
                </a:ext>
              </a:extLst>
            </xdr14:cNvPr>
            <xdr14:cNvContentPartPr/>
          </xdr14:nvContentPartPr>
          <xdr14:nvPr macro=""/>
          <xdr14:xfrm>
            <a:off x="1008000" y="657360"/>
            <a:ext cx="369360" cy="21204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33E27125-4304-D796-3C2F-3982B979735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01880" y="651240"/>
              <a:ext cx="38160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337980</xdr:colOff>
      <xdr:row>3</xdr:row>
      <xdr:rowOff>130898</xdr:rowOff>
    </xdr:from>
    <xdr:to>
      <xdr:col>3</xdr:col>
      <xdr:colOff>491941</xdr:colOff>
      <xdr:row>6</xdr:row>
      <xdr:rowOff>147316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C27B1AEC-AFB5-B43C-02D2-6EA5EAF3784C}"/>
                </a:ext>
              </a:extLst>
            </xdr14:cNvPr>
            <xdr14:cNvContentPartPr/>
          </xdr14:nvContentPartPr>
          <xdr14:nvPr macro=""/>
          <xdr14:xfrm>
            <a:off x="948240" y="685080"/>
            <a:ext cx="1374480" cy="57060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C27B1AEC-AFB5-B43C-02D2-6EA5EAF3784C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42120" y="678960"/>
              <a:ext cx="1386720" cy="58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458220</xdr:colOff>
      <xdr:row>6</xdr:row>
      <xdr:rowOff>121756</xdr:rowOff>
    </xdr:from>
    <xdr:to>
      <xdr:col>2</xdr:col>
      <xdr:colOff>362041</xdr:colOff>
      <xdr:row>7</xdr:row>
      <xdr:rowOff>76709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95E7B26C-EBE2-8E5E-7AF5-539E0C2625AA}"/>
                </a:ext>
              </a:extLst>
            </xdr14:cNvPr>
            <xdr14:cNvContentPartPr/>
          </xdr14:nvContentPartPr>
          <xdr14:nvPr macro=""/>
          <xdr14:xfrm>
            <a:off x="1068480" y="1230120"/>
            <a:ext cx="514080" cy="13968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95E7B26C-EBE2-8E5E-7AF5-539E0C2625A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62356" y="1224000"/>
              <a:ext cx="526329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206169</xdr:colOff>
      <xdr:row>10</xdr:row>
      <xdr:rowOff>61026</xdr:rowOff>
    </xdr:from>
    <xdr:to>
      <xdr:col>3</xdr:col>
      <xdr:colOff>24741</xdr:colOff>
      <xdr:row>14</xdr:row>
      <xdr:rowOff>21441</xdr:rowOff>
    </xdr:to>
    <xdr:sp macro="" textlink="">
      <xdr:nvSpPr>
        <xdr:cNvPr id="387" name="Rectangle 386">
          <a:extLst>
            <a:ext uri="{FF2B5EF4-FFF2-40B4-BE49-F238E27FC236}">
              <a16:creationId xmlns:a16="http://schemas.microsoft.com/office/drawing/2014/main" id="{BA72F005-49E4-5456-01F3-23C23B644CE3}"/>
            </a:ext>
          </a:extLst>
        </xdr:cNvPr>
        <xdr:cNvSpPr/>
      </xdr:nvSpPr>
      <xdr:spPr>
        <a:xfrm>
          <a:off x="816429" y="1908299"/>
          <a:ext cx="1039091" cy="6993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421920</xdr:colOff>
      <xdr:row>21</xdr:row>
      <xdr:rowOff>156600</xdr:rowOff>
    </xdr:from>
    <xdr:to>
      <xdr:col>1</xdr:col>
      <xdr:colOff>173100</xdr:colOff>
      <xdr:row>23</xdr:row>
      <xdr:rowOff>11066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13078661-2BE6-6FF8-6E92-B980A9472971}"/>
                </a:ext>
              </a:extLst>
            </xdr14:cNvPr>
            <xdr14:cNvContentPartPr/>
          </xdr14:nvContentPartPr>
          <xdr14:nvPr macro=""/>
          <xdr14:xfrm>
            <a:off x="421920" y="4035873"/>
            <a:ext cx="361440" cy="22392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13078661-2BE6-6FF8-6E92-B980A947297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15806" y="4029753"/>
              <a:ext cx="373668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295860</xdr:colOff>
      <xdr:row>22</xdr:row>
      <xdr:rowOff>31273</xdr:rowOff>
    </xdr:from>
    <xdr:to>
      <xdr:col>1</xdr:col>
      <xdr:colOff>381900</xdr:colOff>
      <xdr:row>22</xdr:row>
      <xdr:rowOff>71233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34ACE23B-2299-82E8-3BE1-D129B1D7DC81}"/>
                </a:ext>
              </a:extLst>
            </xdr14:cNvPr>
            <xdr14:cNvContentPartPr/>
          </xdr14:nvContentPartPr>
          <xdr14:nvPr macro=""/>
          <xdr14:xfrm>
            <a:off x="906120" y="4095273"/>
            <a:ext cx="86040" cy="3996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34ACE23B-2299-82E8-3BE1-D129B1D7DC8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00000" y="4089153"/>
              <a:ext cx="9828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542820</xdr:colOff>
      <xdr:row>21</xdr:row>
      <xdr:rowOff>93960</xdr:rowOff>
    </xdr:from>
    <xdr:to>
      <xdr:col>3</xdr:col>
      <xdr:colOff>288901</xdr:colOff>
      <xdr:row>23</xdr:row>
      <xdr:rowOff>19346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8BE3060D-AE8F-48C1-245B-C7B38A2000EF}"/>
                </a:ext>
              </a:extLst>
            </xdr14:cNvPr>
            <xdr14:cNvContentPartPr/>
          </xdr14:nvContentPartPr>
          <xdr14:nvPr macro=""/>
          <xdr14:xfrm>
            <a:off x="1153080" y="3973233"/>
            <a:ext cx="966600" cy="29484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8BE3060D-AE8F-48C1-245B-C7B38A2000E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46960" y="3967120"/>
              <a:ext cx="978840" cy="3070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337620</xdr:colOff>
      <xdr:row>24</xdr:row>
      <xdr:rowOff>18218</xdr:rowOff>
    </xdr:from>
    <xdr:to>
      <xdr:col>1</xdr:col>
      <xdr:colOff>439140</xdr:colOff>
      <xdr:row>24</xdr:row>
      <xdr:rowOff>81578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549D48F2-8D0D-217D-E370-3040C2587534}"/>
                </a:ext>
              </a:extLst>
            </xdr14:cNvPr>
            <xdr14:cNvContentPartPr/>
          </xdr14:nvContentPartPr>
          <xdr14:nvPr macro=""/>
          <xdr14:xfrm>
            <a:off x="947880" y="4451673"/>
            <a:ext cx="101520" cy="6336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549D48F2-8D0D-217D-E370-3040C258753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941782" y="4445553"/>
              <a:ext cx="113717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430560</xdr:colOff>
      <xdr:row>23</xdr:row>
      <xdr:rowOff>148226</xdr:rowOff>
    </xdr:from>
    <xdr:to>
      <xdr:col>3</xdr:col>
      <xdr:colOff>216901</xdr:colOff>
      <xdr:row>28</xdr:row>
      <xdr:rowOff>93989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539899D6-004C-379F-CA7E-06BCBD89695E}"/>
                </a:ext>
              </a:extLst>
            </xdr14:cNvPr>
            <xdr14:cNvContentPartPr/>
          </xdr14:nvContentPartPr>
          <xdr14:nvPr macro=""/>
          <xdr14:xfrm>
            <a:off x="430560" y="4396953"/>
            <a:ext cx="1617120" cy="86940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539899D6-004C-379F-CA7E-06BCBD89695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24440" y="4390833"/>
              <a:ext cx="1629360" cy="88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284400</xdr:colOff>
      <xdr:row>43</xdr:row>
      <xdr:rowOff>78792</xdr:rowOff>
    </xdr:from>
    <xdr:to>
      <xdr:col>1</xdr:col>
      <xdr:colOff>182100</xdr:colOff>
      <xdr:row>46</xdr:row>
      <xdr:rowOff>2690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74E4F365-F424-F5E1-082C-9D98D27ACA46}"/>
                </a:ext>
              </a:extLst>
            </xdr14:cNvPr>
            <xdr14:cNvContentPartPr/>
          </xdr14:nvContentPartPr>
          <xdr14:nvPr macro=""/>
          <xdr14:xfrm>
            <a:off x="284400" y="8022065"/>
            <a:ext cx="507960" cy="47808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74E4F365-F424-F5E1-082C-9D98D27ACA4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78284" y="8015945"/>
              <a:ext cx="520191" cy="49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110341</xdr:colOff>
      <xdr:row>43</xdr:row>
      <xdr:rowOff>10392</xdr:rowOff>
    </xdr:from>
    <xdr:to>
      <xdr:col>6</xdr:col>
      <xdr:colOff>211682</xdr:colOff>
      <xdr:row>49</xdr:row>
      <xdr:rowOff>153029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EA74529F-6A12-3755-F06C-10B7E2FC6154}"/>
                </a:ext>
              </a:extLst>
            </xdr14:cNvPr>
            <xdr14:cNvContentPartPr/>
          </xdr14:nvContentPartPr>
          <xdr14:nvPr macro=""/>
          <xdr14:xfrm>
            <a:off x="1941120" y="7953665"/>
            <a:ext cx="1932120" cy="12510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EA74529F-6A12-3755-F06C-10B7E2FC6154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934999" y="7947547"/>
              <a:ext cx="1944362" cy="12632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479820</xdr:colOff>
      <xdr:row>42</xdr:row>
      <xdr:rowOff>102960</xdr:rowOff>
    </xdr:from>
    <xdr:to>
      <xdr:col>3</xdr:col>
      <xdr:colOff>559261</xdr:colOff>
      <xdr:row>47</xdr:row>
      <xdr:rowOff>72843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8EE1C1AF-BED0-537E-C899-E9DA862340DB}"/>
                </a:ext>
              </a:extLst>
            </xdr14:cNvPr>
            <xdr14:cNvContentPartPr/>
          </xdr14:nvContentPartPr>
          <xdr14:nvPr macro=""/>
          <xdr14:xfrm>
            <a:off x="1090080" y="7861505"/>
            <a:ext cx="1299960" cy="89352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8EE1C1AF-BED0-537E-C899-E9DA862340DB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83962" y="7855385"/>
              <a:ext cx="1312197" cy="90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83820</xdr:colOff>
      <xdr:row>51</xdr:row>
      <xdr:rowOff>127800</xdr:rowOff>
    </xdr:from>
    <xdr:to>
      <xdr:col>2</xdr:col>
      <xdr:colOff>241441</xdr:colOff>
      <xdr:row>53</xdr:row>
      <xdr:rowOff>50306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10A149E3-2DE8-4181-AD59-6C34AAEF13D9}"/>
                </a:ext>
              </a:extLst>
            </xdr14:cNvPr>
            <xdr14:cNvContentPartPr/>
          </xdr14:nvContentPartPr>
          <xdr14:nvPr macro=""/>
          <xdr14:xfrm>
            <a:off x="694080" y="9548891"/>
            <a:ext cx="767880" cy="2919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10A149E3-2DE8-4181-AD59-6C34AAEF13D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87960" y="9542763"/>
              <a:ext cx="780120" cy="3042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128520</xdr:colOff>
      <xdr:row>52</xdr:row>
      <xdr:rowOff>63673</xdr:rowOff>
    </xdr:from>
    <xdr:to>
      <xdr:col>0</xdr:col>
      <xdr:colOff>489600</xdr:colOff>
      <xdr:row>54</xdr:row>
      <xdr:rowOff>166898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E3579435-B093-A06B-07CB-5CD6723EDEA1}"/>
                </a:ext>
              </a:extLst>
            </xdr14:cNvPr>
            <xdr14:cNvContentPartPr/>
          </xdr14:nvContentPartPr>
          <xdr14:nvPr macro=""/>
          <xdr14:xfrm>
            <a:off x="128520" y="9669491"/>
            <a:ext cx="361080" cy="4726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E3579435-B093-A06B-07CB-5CD6723EDEA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22400" y="9663371"/>
              <a:ext cx="373320" cy="48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194641</xdr:colOff>
      <xdr:row>52</xdr:row>
      <xdr:rowOff>172753</xdr:rowOff>
    </xdr:from>
    <xdr:to>
      <xdr:col>3</xdr:col>
      <xdr:colOff>301861</xdr:colOff>
      <xdr:row>54</xdr:row>
      <xdr:rowOff>13178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730CC302-0B0F-249C-B0CE-DF397F6569B2}"/>
                </a:ext>
              </a:extLst>
            </xdr14:cNvPr>
            <xdr14:cNvContentPartPr/>
          </xdr14:nvContentPartPr>
          <xdr14:nvPr macro=""/>
          <xdr14:xfrm>
            <a:off x="1415160" y="9778571"/>
            <a:ext cx="717480" cy="20988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730CC302-0B0F-249C-B0CE-DF397F6569B2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409037" y="9772461"/>
              <a:ext cx="729726" cy="222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202980</xdr:colOff>
      <xdr:row>53</xdr:row>
      <xdr:rowOff>51026</xdr:rowOff>
    </xdr:from>
    <xdr:to>
      <xdr:col>1</xdr:col>
      <xdr:colOff>602220</xdr:colOff>
      <xdr:row>54</xdr:row>
      <xdr:rowOff>121538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671D357F-C740-4F06-E4A1-E1DBD1EB1F78}"/>
                </a:ext>
              </a:extLst>
            </xdr14:cNvPr>
            <xdr14:cNvContentPartPr/>
          </xdr14:nvContentPartPr>
          <xdr14:nvPr macro=""/>
          <xdr14:xfrm>
            <a:off x="813240" y="9841571"/>
            <a:ext cx="399240" cy="25524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671D357F-C740-4F06-E4A1-E1DBD1EB1F78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07126" y="9835442"/>
              <a:ext cx="411469" cy="267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316321</xdr:colOff>
      <xdr:row>53</xdr:row>
      <xdr:rowOff>153266</xdr:rowOff>
    </xdr:from>
    <xdr:to>
      <xdr:col>3</xdr:col>
      <xdr:colOff>481501</xdr:colOff>
      <xdr:row>57</xdr:row>
      <xdr:rowOff>49756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9E0F35E7-6A3A-1CA6-88F4-2B5EC185FC4F}"/>
                </a:ext>
              </a:extLst>
            </xdr14:cNvPr>
            <xdr14:cNvContentPartPr/>
          </xdr14:nvContentPartPr>
          <xdr14:nvPr macro=""/>
          <xdr14:xfrm>
            <a:off x="1536840" y="9943811"/>
            <a:ext cx="775440" cy="63540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9E0F35E7-6A3A-1CA6-88F4-2B5EC185FC4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530723" y="9937691"/>
              <a:ext cx="787674" cy="64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158161</xdr:colOff>
      <xdr:row>52</xdr:row>
      <xdr:rowOff>53233</xdr:rowOff>
    </xdr:from>
    <xdr:to>
      <xdr:col>5</xdr:col>
      <xdr:colOff>258541</xdr:colOff>
      <xdr:row>54</xdr:row>
      <xdr:rowOff>172658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695CF274-DD61-3A4A-5CF1-591A89C49835}"/>
                </a:ext>
              </a:extLst>
            </xdr14:cNvPr>
            <xdr14:cNvContentPartPr/>
          </xdr14:nvContentPartPr>
          <xdr14:nvPr macro=""/>
          <xdr14:xfrm>
            <a:off x="2599200" y="9659051"/>
            <a:ext cx="710640" cy="4888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695CF274-DD61-3A4A-5CF1-591A89C4983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593080" y="9652936"/>
              <a:ext cx="722880" cy="5011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48841</xdr:colOff>
      <xdr:row>53</xdr:row>
      <xdr:rowOff>102146</xdr:rowOff>
    </xdr:from>
    <xdr:to>
      <xdr:col>2</xdr:col>
      <xdr:colOff>193561</xdr:colOff>
      <xdr:row>57</xdr:row>
      <xdr:rowOff>93676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44697D1A-53CA-C4C9-114E-DE195F1736B9}"/>
                </a:ext>
              </a:extLst>
            </xdr14:cNvPr>
            <xdr14:cNvContentPartPr/>
          </xdr14:nvContentPartPr>
          <xdr14:nvPr macro=""/>
          <xdr14:xfrm>
            <a:off x="1269360" y="9892691"/>
            <a:ext cx="144720" cy="73044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44697D1A-53CA-C4C9-114E-DE195F1736B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263240" y="9886571"/>
              <a:ext cx="156960" cy="74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439200</xdr:colOff>
      <xdr:row>60</xdr:row>
      <xdr:rowOff>120240</xdr:rowOff>
    </xdr:from>
    <xdr:to>
      <xdr:col>3</xdr:col>
      <xdr:colOff>22501</xdr:colOff>
      <xdr:row>65</xdr:row>
      <xdr:rowOff>96603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4C7C035C-BA13-A851-1A3D-1654CE691E83}"/>
                </a:ext>
              </a:extLst>
            </xdr14:cNvPr>
            <xdr14:cNvContentPartPr/>
          </xdr14:nvContentPartPr>
          <xdr14:nvPr macro=""/>
          <xdr14:xfrm>
            <a:off x="439200" y="11203876"/>
            <a:ext cx="1414080" cy="90000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4C7C035C-BA13-A851-1A3D-1654CE691E8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33080" y="11197758"/>
              <a:ext cx="1426320" cy="9122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219061</xdr:colOff>
      <xdr:row>60</xdr:row>
      <xdr:rowOff>156240</xdr:rowOff>
    </xdr:from>
    <xdr:to>
      <xdr:col>4</xdr:col>
      <xdr:colOff>589441</xdr:colOff>
      <xdr:row>65</xdr:row>
      <xdr:rowOff>52683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B6F45A93-F1E6-004B-9AD5-7032F6125BFE}"/>
                </a:ext>
              </a:extLst>
            </xdr14:cNvPr>
            <xdr14:cNvContentPartPr/>
          </xdr14:nvContentPartPr>
          <xdr14:nvPr macro=""/>
          <xdr14:xfrm>
            <a:off x="2049840" y="11239876"/>
            <a:ext cx="980640" cy="82008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B6F45A93-F1E6-004B-9AD5-7032F6125BF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043720" y="11233753"/>
              <a:ext cx="992880" cy="8323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196261</xdr:colOff>
      <xdr:row>60</xdr:row>
      <xdr:rowOff>142560</xdr:rowOff>
    </xdr:from>
    <xdr:to>
      <xdr:col>6</xdr:col>
      <xdr:colOff>73082</xdr:colOff>
      <xdr:row>63</xdr:row>
      <xdr:rowOff>176258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D8F5C0B4-503E-C7D7-046F-00964B734BC2}"/>
                </a:ext>
              </a:extLst>
            </xdr14:cNvPr>
            <xdr14:cNvContentPartPr/>
          </xdr14:nvContentPartPr>
          <xdr14:nvPr macro=""/>
          <xdr14:xfrm>
            <a:off x="3247560" y="11226196"/>
            <a:ext cx="487080" cy="58788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D8F5C0B4-503E-C7D7-046F-00964B734BC2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241440" y="11220076"/>
              <a:ext cx="499320" cy="60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268500</xdr:colOff>
      <xdr:row>76</xdr:row>
      <xdr:rowOff>164832</xdr:rowOff>
    </xdr:from>
    <xdr:to>
      <xdr:col>1</xdr:col>
      <xdr:colOff>354900</xdr:colOff>
      <xdr:row>77</xdr:row>
      <xdr:rowOff>169105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F50E1428-E866-4C1E-015E-556121E7CD28}"/>
                </a:ext>
              </a:extLst>
            </xdr14:cNvPr>
            <xdr14:cNvContentPartPr/>
          </xdr14:nvContentPartPr>
          <xdr14:nvPr macro=""/>
          <xdr14:xfrm>
            <a:off x="878760" y="14204105"/>
            <a:ext cx="86400" cy="18900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F50E1428-E866-4C1E-015E-556121E7CD2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72640" y="14197985"/>
              <a:ext cx="9864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317880</xdr:colOff>
      <xdr:row>76</xdr:row>
      <xdr:rowOff>10392</xdr:rowOff>
    </xdr:from>
    <xdr:to>
      <xdr:col>1</xdr:col>
      <xdr:colOff>83820</xdr:colOff>
      <xdr:row>78</xdr:row>
      <xdr:rowOff>160778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9AB980D7-5DC8-F234-5B5D-FCBC35159FE0}"/>
                </a:ext>
              </a:extLst>
            </xdr14:cNvPr>
            <xdr14:cNvContentPartPr/>
          </xdr14:nvContentPartPr>
          <xdr14:nvPr macro=""/>
          <xdr14:xfrm>
            <a:off x="317880" y="14049665"/>
            <a:ext cx="376200" cy="51984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9AB980D7-5DC8-F234-5B5D-FCBC35159FE0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11760" y="14043545"/>
              <a:ext cx="388440" cy="53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522601</xdr:colOff>
      <xdr:row>77</xdr:row>
      <xdr:rowOff>55705</xdr:rowOff>
    </xdr:from>
    <xdr:to>
      <xdr:col>3</xdr:col>
      <xdr:colOff>7021</xdr:colOff>
      <xdr:row>78</xdr:row>
      <xdr:rowOff>39098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513CF792-FF23-6F6A-34A6-EC54BE8A9C59}"/>
                </a:ext>
              </a:extLst>
            </xdr14:cNvPr>
            <xdr14:cNvContentPartPr/>
          </xdr14:nvContentPartPr>
          <xdr14:nvPr macro=""/>
          <xdr14:xfrm>
            <a:off x="1743120" y="14279705"/>
            <a:ext cx="94680" cy="16812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513CF792-FF23-6F6A-34A6-EC54BE8A9C59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737000" y="14273585"/>
              <a:ext cx="1069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97801</xdr:colOff>
      <xdr:row>75</xdr:row>
      <xdr:rowOff>138960</xdr:rowOff>
    </xdr:from>
    <xdr:to>
      <xdr:col>2</xdr:col>
      <xdr:colOff>371761</xdr:colOff>
      <xdr:row>78</xdr:row>
      <xdr:rowOff>59978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A92E796F-4E36-09B4-7858-D3A7508B39FE}"/>
                </a:ext>
              </a:extLst>
            </xdr14:cNvPr>
            <xdr14:cNvContentPartPr/>
          </xdr14:nvContentPartPr>
          <xdr14:nvPr macro=""/>
          <xdr14:xfrm>
            <a:off x="1318320" y="13993505"/>
            <a:ext cx="273960" cy="47520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A92E796F-4E36-09B4-7858-D3A7508B39F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312200" y="13987390"/>
              <a:ext cx="286200" cy="487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606900</xdr:colOff>
      <xdr:row>79</xdr:row>
      <xdr:rowOff>112850</xdr:rowOff>
    </xdr:from>
    <xdr:to>
      <xdr:col>2</xdr:col>
      <xdr:colOff>134881</xdr:colOff>
      <xdr:row>80</xdr:row>
      <xdr:rowOff>127923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661CC6EB-EB2A-A094-E42F-AC6144D2DAAE}"/>
                </a:ext>
              </a:extLst>
            </xdr14:cNvPr>
            <xdr14:cNvContentPartPr/>
          </xdr14:nvContentPartPr>
          <xdr14:nvPr macro=""/>
          <xdr14:xfrm>
            <a:off x="1217160" y="14706305"/>
            <a:ext cx="138240" cy="19980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661CC6EB-EB2A-A094-E42F-AC6144D2DAAE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211040" y="14700185"/>
              <a:ext cx="15048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445201</xdr:colOff>
      <xdr:row>79</xdr:row>
      <xdr:rowOff>86570</xdr:rowOff>
    </xdr:from>
    <xdr:to>
      <xdr:col>3</xdr:col>
      <xdr:colOff>295021</xdr:colOff>
      <xdr:row>80</xdr:row>
      <xdr:rowOff>72843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2021EF94-74FF-C0B2-B8A8-88116BD2416E}"/>
                </a:ext>
              </a:extLst>
            </xdr14:cNvPr>
            <xdr14:cNvContentPartPr/>
          </xdr14:nvContentPartPr>
          <xdr14:nvPr macro=""/>
          <xdr14:xfrm>
            <a:off x="1665720" y="14680025"/>
            <a:ext cx="460080" cy="17100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2021EF94-74FF-C0B2-B8A8-88116BD2416E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659605" y="14673918"/>
              <a:ext cx="472310" cy="1832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183781</xdr:colOff>
      <xdr:row>76</xdr:row>
      <xdr:rowOff>105072</xdr:rowOff>
    </xdr:from>
    <xdr:to>
      <xdr:col>6</xdr:col>
      <xdr:colOff>79922</xdr:colOff>
      <xdr:row>82</xdr:row>
      <xdr:rowOff>170309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46F76426-B8F9-389E-D952-6C5E9FDA6380}"/>
                </a:ext>
              </a:extLst>
            </xdr14:cNvPr>
            <xdr14:cNvContentPartPr/>
          </xdr14:nvContentPartPr>
          <xdr14:nvPr macro=""/>
          <xdr14:xfrm>
            <a:off x="2014560" y="14144345"/>
            <a:ext cx="1726920" cy="1173600"/>
          </xdr14:xfrm>
        </xdr:contentPart>
      </mc:Choice>
      <mc:Fallback xmlns=""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46F76426-B8F9-389E-D952-6C5E9FDA638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2008439" y="14138223"/>
              <a:ext cx="1739163" cy="11858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529140</xdr:colOff>
      <xdr:row>84</xdr:row>
      <xdr:rowOff>135000</xdr:rowOff>
    </xdr:from>
    <xdr:to>
      <xdr:col>3</xdr:col>
      <xdr:colOff>45541</xdr:colOff>
      <xdr:row>85</xdr:row>
      <xdr:rowOff>168433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8A941640-63A5-146F-1C34-F3352C3A0385}"/>
                </a:ext>
              </a:extLst>
            </xdr14:cNvPr>
            <xdr14:cNvContentPartPr/>
          </xdr14:nvContentPartPr>
          <xdr14:nvPr macro=""/>
          <xdr14:xfrm>
            <a:off x="1139400" y="15652091"/>
            <a:ext cx="736920" cy="21816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8A941640-63A5-146F-1C34-F3352C3A0385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133277" y="15645971"/>
              <a:ext cx="749166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85441</xdr:colOff>
      <xdr:row>84</xdr:row>
      <xdr:rowOff>184680</xdr:rowOff>
    </xdr:from>
    <xdr:to>
      <xdr:col>4</xdr:col>
      <xdr:colOff>125761</xdr:colOff>
      <xdr:row>85</xdr:row>
      <xdr:rowOff>71953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548" name="Ink 547">
              <a:extLst>
                <a:ext uri="{FF2B5EF4-FFF2-40B4-BE49-F238E27FC236}">
                  <a16:creationId xmlns:a16="http://schemas.microsoft.com/office/drawing/2014/main" id="{240AF770-5D1B-A774-4FA3-14BC03337DDD}"/>
                </a:ext>
              </a:extLst>
            </xdr14:cNvPr>
            <xdr14:cNvContentPartPr/>
          </xdr14:nvContentPartPr>
          <xdr14:nvPr macro=""/>
          <xdr14:xfrm>
            <a:off x="2526480" y="15701771"/>
            <a:ext cx="40320" cy="72000"/>
          </xdr14:xfrm>
        </xdr:contentPart>
      </mc:Choice>
      <mc:Fallback xmlns="">
        <xdr:pic>
          <xdr:nvPicPr>
            <xdr:cNvPr id="548" name="Ink 547">
              <a:extLst>
                <a:ext uri="{FF2B5EF4-FFF2-40B4-BE49-F238E27FC236}">
                  <a16:creationId xmlns:a16="http://schemas.microsoft.com/office/drawing/2014/main" id="{240AF770-5D1B-A774-4FA3-14BC03337DDD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2520305" y="15695651"/>
              <a:ext cx="5267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237421</xdr:colOff>
      <xdr:row>84</xdr:row>
      <xdr:rowOff>168840</xdr:rowOff>
    </xdr:from>
    <xdr:to>
      <xdr:col>3</xdr:col>
      <xdr:colOff>562501</xdr:colOff>
      <xdr:row>85</xdr:row>
      <xdr:rowOff>176713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8F4F3798-BE6D-26C1-FF04-D367F66FBB2A}"/>
                </a:ext>
              </a:extLst>
            </xdr14:cNvPr>
            <xdr14:cNvContentPartPr/>
          </xdr14:nvContentPartPr>
          <xdr14:nvPr macro=""/>
          <xdr14:xfrm>
            <a:off x="2068200" y="15685931"/>
            <a:ext cx="325080" cy="192600"/>
          </xdr14:xfrm>
        </xdr:contentPart>
      </mc:Choice>
      <mc:Fallback xmlns="">
        <xdr:pic>
          <xdr:nvPicPr>
            <xdr:cNvPr id="549" name="Ink 548">
              <a:extLst>
                <a:ext uri="{FF2B5EF4-FFF2-40B4-BE49-F238E27FC236}">
                  <a16:creationId xmlns:a16="http://schemas.microsoft.com/office/drawing/2014/main" id="{8F4F3798-BE6D-26C1-FF04-D367F66FBB2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2062087" y="15679811"/>
              <a:ext cx="337306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256441</xdr:colOff>
      <xdr:row>84</xdr:row>
      <xdr:rowOff>127440</xdr:rowOff>
    </xdr:from>
    <xdr:to>
      <xdr:col>5</xdr:col>
      <xdr:colOff>225421</xdr:colOff>
      <xdr:row>85</xdr:row>
      <xdr:rowOff>127393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B4CB84C5-6D8E-688B-6B31-A65CAC2375D2}"/>
                </a:ext>
              </a:extLst>
            </xdr14:cNvPr>
            <xdr14:cNvContentPartPr/>
          </xdr14:nvContentPartPr>
          <xdr14:nvPr macro=""/>
          <xdr14:xfrm>
            <a:off x="2697480" y="15644531"/>
            <a:ext cx="579240" cy="18468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B4CB84C5-6D8E-688B-6B31-A65CAC2375D2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2691360" y="15638411"/>
              <a:ext cx="59148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72241</xdr:colOff>
      <xdr:row>87</xdr:row>
      <xdr:rowOff>24338</xdr:rowOff>
    </xdr:from>
    <xdr:to>
      <xdr:col>2</xdr:col>
      <xdr:colOff>482641</xdr:colOff>
      <xdr:row>89</xdr:row>
      <xdr:rowOff>8764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571" name="Ink 570">
              <a:extLst>
                <a:ext uri="{FF2B5EF4-FFF2-40B4-BE49-F238E27FC236}">
                  <a16:creationId xmlns:a16="http://schemas.microsoft.com/office/drawing/2014/main" id="{77F40072-57BA-8A87-7C2E-71F1346C4BC1}"/>
                </a:ext>
              </a:extLst>
            </xdr14:cNvPr>
            <xdr14:cNvContentPartPr/>
          </xdr14:nvContentPartPr>
          <xdr14:nvPr macro=""/>
          <xdr14:xfrm>
            <a:off x="1292760" y="16095611"/>
            <a:ext cx="410400" cy="353880"/>
          </xdr14:xfrm>
        </xdr:contentPart>
      </mc:Choice>
      <mc:Fallback xmlns="">
        <xdr:pic>
          <xdr:nvPicPr>
            <xdr:cNvPr id="571" name="Ink 570">
              <a:extLst>
                <a:ext uri="{FF2B5EF4-FFF2-40B4-BE49-F238E27FC236}">
                  <a16:creationId xmlns:a16="http://schemas.microsoft.com/office/drawing/2014/main" id="{77F40072-57BA-8A87-7C2E-71F1346C4BC1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286635" y="16089491"/>
              <a:ext cx="422651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333241</xdr:colOff>
      <xdr:row>86</xdr:row>
      <xdr:rowOff>116906</xdr:rowOff>
    </xdr:from>
    <xdr:to>
      <xdr:col>2</xdr:col>
      <xdr:colOff>435841</xdr:colOff>
      <xdr:row>87</xdr:row>
      <xdr:rowOff>34418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0D68C35E-12AB-792A-C9FF-2303EF5F95B9}"/>
                </a:ext>
              </a:extLst>
            </xdr14:cNvPr>
            <xdr14:cNvContentPartPr/>
          </xdr14:nvContentPartPr>
          <xdr14:nvPr macro=""/>
          <xdr14:xfrm>
            <a:off x="1553760" y="16003451"/>
            <a:ext cx="102600" cy="10224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0D68C35E-12AB-792A-C9FF-2303EF5F95B9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547640" y="15997331"/>
              <a:ext cx="11484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65701</xdr:colOff>
      <xdr:row>87</xdr:row>
      <xdr:rowOff>5258</xdr:rowOff>
    </xdr:from>
    <xdr:to>
      <xdr:col>4</xdr:col>
      <xdr:colOff>26761</xdr:colOff>
      <xdr:row>88</xdr:row>
      <xdr:rowOff>41571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B35981D8-E681-AFA3-3A88-A2EFDB7F7CC9}"/>
                </a:ext>
              </a:extLst>
            </xdr14:cNvPr>
            <xdr14:cNvContentPartPr/>
          </xdr14:nvContentPartPr>
          <xdr14:nvPr macro=""/>
          <xdr14:xfrm>
            <a:off x="1896480" y="16076531"/>
            <a:ext cx="571320" cy="221040"/>
          </xdr14:xfrm>
        </xdr:contentPart>
      </mc:Choice>
      <mc:Fallback xmlns="">
        <xdr:pic>
          <xdr:nvPicPr>
            <xdr:cNvPr id="585" name="Ink 584">
              <a:extLst>
                <a:ext uri="{FF2B5EF4-FFF2-40B4-BE49-F238E27FC236}">
                  <a16:creationId xmlns:a16="http://schemas.microsoft.com/office/drawing/2014/main" id="{B35981D8-E681-AFA3-3A88-A2EFDB7F7CC9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890360" y="16070411"/>
              <a:ext cx="58356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418561</xdr:colOff>
      <xdr:row>85</xdr:row>
      <xdr:rowOff>72673</xdr:rowOff>
    </xdr:from>
    <xdr:to>
      <xdr:col>2</xdr:col>
      <xdr:colOff>522961</xdr:colOff>
      <xdr:row>85</xdr:row>
      <xdr:rowOff>138913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244FD3DC-AB2F-5E03-1B8C-1C2620DE57D5}"/>
                </a:ext>
              </a:extLst>
            </xdr14:cNvPr>
            <xdr14:cNvContentPartPr/>
          </xdr14:nvContentPartPr>
          <xdr14:nvPr macro=""/>
          <xdr14:xfrm>
            <a:off x="1639080" y="15774491"/>
            <a:ext cx="104400" cy="66240"/>
          </xdr14:xfrm>
        </xdr:contentPart>
      </mc:Choice>
      <mc:Fallback xmlns="">
        <xdr:pic>
          <xdr:nvPicPr>
            <xdr:cNvPr id="586" name="Ink 585">
              <a:extLst>
                <a:ext uri="{FF2B5EF4-FFF2-40B4-BE49-F238E27FC236}">
                  <a16:creationId xmlns:a16="http://schemas.microsoft.com/office/drawing/2014/main" id="{244FD3DC-AB2F-5E03-1B8C-1C2620DE57D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632960" y="15768371"/>
              <a:ext cx="1166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311641</xdr:colOff>
      <xdr:row>88</xdr:row>
      <xdr:rowOff>130131</xdr:rowOff>
    </xdr:from>
    <xdr:to>
      <xdr:col>2</xdr:col>
      <xdr:colOff>401641</xdr:colOff>
      <xdr:row>89</xdr:row>
      <xdr:rowOff>25684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AE2815D4-2567-D41A-0D38-5A1264681769}"/>
                </a:ext>
              </a:extLst>
            </xdr14:cNvPr>
            <xdr14:cNvContentPartPr/>
          </xdr14:nvContentPartPr>
          <xdr14:nvPr macro=""/>
          <xdr14:xfrm>
            <a:off x="1532160" y="16386131"/>
            <a:ext cx="90000" cy="8028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AE2815D4-2567-D41A-0D38-5A1264681769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526040" y="16380011"/>
              <a:ext cx="10224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217621</xdr:colOff>
      <xdr:row>91</xdr:row>
      <xdr:rowOff>54313</xdr:rowOff>
    </xdr:from>
    <xdr:to>
      <xdr:col>3</xdr:col>
      <xdr:colOff>602461</xdr:colOff>
      <xdr:row>92</xdr:row>
      <xdr:rowOff>119786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40BA50F-09A3-CA05-E9F7-C61ED4BED728}"/>
                </a:ext>
              </a:extLst>
            </xdr14:cNvPr>
            <xdr14:cNvContentPartPr/>
          </xdr14:nvContentPartPr>
          <xdr14:nvPr macro=""/>
          <xdr14:xfrm>
            <a:off x="2048400" y="16864495"/>
            <a:ext cx="384840" cy="250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40BA50F-09A3-CA05-E9F7-C61ED4BED728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042280" y="16858375"/>
              <a:ext cx="39708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383700</xdr:colOff>
      <xdr:row>91</xdr:row>
      <xdr:rowOff>56833</xdr:rowOff>
    </xdr:from>
    <xdr:to>
      <xdr:col>2</xdr:col>
      <xdr:colOff>130561</xdr:colOff>
      <xdr:row>92</xdr:row>
      <xdr:rowOff>127706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CC09D06-22E3-43DE-BECD-2E61C478F3F1}"/>
                </a:ext>
              </a:extLst>
            </xdr14:cNvPr>
            <xdr14:cNvContentPartPr/>
          </xdr14:nvContentPartPr>
          <xdr14:nvPr macro=""/>
          <xdr14:xfrm>
            <a:off x="993960" y="16867015"/>
            <a:ext cx="357120" cy="2556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CC09D06-22E3-43DE-BECD-2E61C478F3F1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987840" y="16860904"/>
              <a:ext cx="369360" cy="267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359580</xdr:colOff>
      <xdr:row>94</xdr:row>
      <xdr:rowOff>12771</xdr:rowOff>
    </xdr:from>
    <xdr:to>
      <xdr:col>2</xdr:col>
      <xdr:colOff>330001</xdr:colOff>
      <xdr:row>95</xdr:row>
      <xdr:rowOff>136924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FCD68E38-703E-E14D-E371-1E4BA0FA455D}"/>
                </a:ext>
              </a:extLst>
            </xdr14:cNvPr>
            <xdr14:cNvContentPartPr/>
          </xdr14:nvContentPartPr>
          <xdr14:nvPr macro=""/>
          <xdr14:xfrm>
            <a:off x="969840" y="17377135"/>
            <a:ext cx="580680" cy="3088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FCD68E38-703E-E14D-E371-1E4BA0FA455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963720" y="17371015"/>
              <a:ext cx="59292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438420</xdr:colOff>
      <xdr:row>93</xdr:row>
      <xdr:rowOff>18579</xdr:rowOff>
    </xdr:from>
    <xdr:to>
      <xdr:col>1</xdr:col>
      <xdr:colOff>537780</xdr:colOff>
      <xdr:row>93</xdr:row>
      <xdr:rowOff>106419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38F33EB-104D-5128-26E3-BB88E0BEAED4}"/>
                </a:ext>
              </a:extLst>
            </xdr14:cNvPr>
            <xdr14:cNvContentPartPr/>
          </xdr14:nvContentPartPr>
          <xdr14:nvPr macro=""/>
          <xdr14:xfrm>
            <a:off x="1048680" y="17198215"/>
            <a:ext cx="99360" cy="878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38F33EB-104D-5128-26E3-BB88E0BEAED4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042560" y="17192095"/>
              <a:ext cx="11160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156781</xdr:colOff>
      <xdr:row>92</xdr:row>
      <xdr:rowOff>132026</xdr:rowOff>
    </xdr:from>
    <xdr:to>
      <xdr:col>3</xdr:col>
      <xdr:colOff>567541</xdr:colOff>
      <xdr:row>95</xdr:row>
      <xdr:rowOff>15244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555D0BC-DD3E-3DFC-05C7-04B2ABAA80EE}"/>
                </a:ext>
              </a:extLst>
            </xdr14:cNvPr>
            <xdr14:cNvContentPartPr/>
          </xdr14:nvContentPartPr>
          <xdr14:nvPr macro=""/>
          <xdr14:xfrm>
            <a:off x="1987560" y="17126935"/>
            <a:ext cx="410760" cy="4374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2555D0BC-DD3E-3DFC-05C7-04B2ABAA80EE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981440" y="17120810"/>
              <a:ext cx="423000" cy="44965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7T16:47:31.70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7T16:47:31.70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7T16:47:31.70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7T16:47:31.710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48:49.76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120 148 24575,'-5'-1'0,"0"1"0,0 1 0,0-1 0,0 1 0,0-1 0,1 1 0,-10 4 0,11-4 0,1 1 0,-1-1 0,1 1 0,0 0 0,-1 0 0,1 0 0,0-1 0,0 1 0,1 1 0,-1-1 0,0 0 0,1 1 0,0 0 0,-1-1 0,0 4 0,-6 15 0,0 1 0,2-2 0,1 2 0,0 0 0,2 0 0,0 0 0,2 0 0,0 0 0,1 1 0,2-1 0,4 24 0,-5-40 0,1 0 0,-1 0 0,1-1 0,0 0 0,0 1 0,1-1 0,0 0 0,0 0 0,0 0 0,1 0 0,5 7 0,-5-9 0,-1 0 0,1 0 0,0-1 0,0 1 0,0-1 0,0 0 0,0 0 0,0-1 0,1 0 0,-1 0 0,1 1 0,-1-1 0,1-1 0,-1 1 0,8-1 0,4 0 0,0-1 0,-1-1 0,1-1 0,-1 1 0,1-2 0,-1 0 0,0-1 0,26-14 0,-19 8 0,-1-1 0,0-1 0,0-1 0,34-32 0,-48 40 0,0-1 0,0-1 0,-1 0 0,0 0 0,0 0 0,-1-1 0,-1 0 0,0 1 0,0-1 0,0-1 0,-1 1 0,0-1 0,-1 0 0,2-14 0,-3 12 0,-1-1 0,0 0 0,-1 1 0,0 0 0,-1-1 0,-1 1 0,0 0 0,0 0 0,-2 0 0,1 1 0,-7-14 0,5 13 0,-1 0 0,0 0 0,-1 1 0,-1 0 0,0 0 0,0 1 0,-1 0 0,-12-9 0,18 15 0,0 1 0,0 1 0,-1-1 0,1 0 0,-1 1 0,1 0 0,-1 0 0,0 1 0,1-1 0,-1 1 0,0 0 0,0 0 0,0 0 0,0 1 0,-1 0 0,1 0 0,0 0 0,0 1 0,0-1 0,0 1 0,0 0 0,0 1 0,1-1 0,-1 1 0,-8 4 0,5-1 9,1 0 1,-1 0-1,1 0 0,0 1 0,0 0 1,1 1-1,0 0 0,0 0 0,0 0 0,1 1 1,0 0-1,-5 10 0,3-1-257,1-1 1,0 1-1,1-1 1,1 1-1,-4 25 1,4-2-6579</inkml:trace>
  <inkml:trace contextRef="#ctx0" brushRef="#br0" timeOffset="519.11">345 441 24575,'-1'1'0,"0"4"0,-4 3 0,-3 6 0,-2 4 0,-2 3 0,-1 4 0,1 3 0,-1 0 0,0 2 0,1-2 0,2-3 0,0-3 0,2-5 0,3-4-8191</inkml:trace>
  <inkml:trace contextRef="#ctx0" brushRef="#br0" timeOffset="760.9">267 559 24575,'4'2'0,"4"5"0,3 4 0,4 6 0,3 4 0,3 0 0,3 1 0,0 0 0,0-3 0,-1-3 0,-3-2 0,-5 0 0,-5-4-8191</inkml:trace>
  <inkml:trace contextRef="#ctx0" brushRef="#br0" timeOffset="1521.33">322 680 24575,'0'0'0,"0"1"0,0-1 0,0 0 0,0 0 0,0 0 0,0 0 0,0 0 0,0 0 0,0 0 0,0 0 0,1 0 0,-1 0 0,0 0 0,0 0 0,0 0 0,0 0 0,0 0 0,0 0 0,0 0 0,0 0 0,0 0 0,0 0 0,0 0 0,0 0 0,0 0 0,1 0 0,-1 0 0,0 0 0,0 0 0,0 0 0,4 15 0,4 24 0,7 142 0,-9 197 0,-1 14 0,-1-307 0,-35-262 0,22 153 0,2 20 0,6 4 0,1 1 0,-1-1 0,1 0 0,-1 1 0,1-1 0,-1 0 0,1 0 0,-1 0 0,1 1 0,-1-1 0,1 1 0,-1-1 0,1 1 0,0-1 0,-1 1 0,1-1 0,0 1 0,-1 0 0,-4 10 0,1 1 0,0-1 0,1 0 0,0 1 0,-2 18 0,-1 61 0,6-90 0,0 0 0,0 0 0,0 0 0,0 0 0,0 0 0,0 0 0,0 0 0,0 0 0,0 0 0,1 0 0,-1 0 0,0 0 0,1 0 0,-1 0 0,1 0 0,-1-1 0,2 2 0,-2-2 0,1 0 0,-1 1 0,1-1 0,-1 0 0,1 0 0,-1 0 0,1 0 0,-1 0 0,1 0 0,-1 0 0,1 0 0,-1 0 0,1 0 0,-1 0 0,1 0 0,-1 0 0,1 0 0,-1-1 0,0 1 0,1 0 0,-1 0 0,1 0 0,-1-1 0,1 1 0,0-1 0,4-2 0,1-2 0,-1 0 0,9-11 0,-8 9 0,-1 2 0,0 0 0,0 0 0,0 0 0,1 1 0,-1 0 0,1 1 0,0 0 0,0-1 0,1 1 0,-1 1 0,1-1 0,-1 1 0,1 0 0,0 1 0,0-1 0,0 1 0,0 1 0,0-1 0,0 1 0,0 0 0,-2 1 0,2 0 0,0 0 0,0 0 0,9 4 0,-12-4-151,0 0-1,-1 0 0,1 0 0,0-1 1,0 1-1,-1-1 0,1 0 1,5-1-1,-1 0-6674</inkml:trace>
  <inkml:trace contextRef="#ctx0" brushRef="#br0" timeOffset="2331.06">308 2089 24575,'1'16'0,"0"1"0,2 1 0,0-1 0,7 23 0,28 65 0,-22-63 0,1 3 0,-11-33 0,-13-33 0,-12-37 0,-3 1 0,-54-102 0,76 159 0,29 35 0,-27-32 0,0-1 0,1 0 0,0 0 0,-1 0 0,1 0 0,6 2 0,-8-3 0,0-1 0,0 1 0,0-1 0,0 0 0,0 0 0,0 0 0,0 1 0,0-1 0,0 0 0,0 0 0,0-1 0,0 1 0,0 0 0,0 0 0,0 0 0,0-1 0,0 1 0,0 0 0,0-1 0,0 1 0,0-1 0,1 0 0,0 0 0,-1-1 0,0 1 0,0-1 0,0 1 0,0 0 0,0-1 0,0 0 0,0 1 0,-1-1 0,1 1 0,-1-1 0,1 0 0,-1 1 0,1-1 0,-1 0 0,0-2 0,0-31 0,-1 20 0,2 14 0,3 8 0,3 10 0,8 18 0,1 0 0,1 0 0,26 38 0,-43-72-108,1 0 70,-1-1 0,0 1 0,0-1 0,0 0-1,0 1 1,0-1 0,1 0 0,-1 1 0,0-1 0,0 0 0,1 1 0,-1-1 0,0 0 0,0 0 0,1 1-1,-1-1 1,0 0 0,1 0 0,-1 0 0,0 1 0,1-1 0,-1 0 0,0 0 0,1 0 0,-1 0 0,0 0 0,1 0-1,-1 0 1,1 0 0,-1 1 0,0-1 0,1-1 0</inkml:trace>
  <inkml:trace contextRef="#ctx0" brushRef="#br0" timeOffset="2672.07">468 2124 24575,'-1'-1'0,"1"0"0,0 0 0,0 0 0,0 0 0,0 0 0,0 0 0,0 0 0,0 0 0,0 0 0,1 0 0,-1 0 0,0 0 0,0 0 0,1 0 0,-1 0 0,1 0 0,-1 0 0,1 1 0,-1-1 0,1 0 0,0 0 0,-1 0 0,1 1 0,0 0 0,0-1 0,-1 1 0,1-1 0,0 0 0,0 1 0,0-1 0,0 1 0,0 0 0,0-1 0,0 1 0,0 0 0,0-1 0,0 1 0,0 0 0,0 0 0,0 0 0,0 0 0,0 0 0,0 0 0,0 0 0,0 0 0,1 1 0,3 0 0,-1 0 0,0 1 0,1-1 0,-1 0 0,0 1 0,0 1 0,0-1 0,-1 1 0,6 3 0,-2 2 0,0-1 0,0 0 0,-1 1 0,0 1 0,6 8 0,-10-13 0,1 1 0,-1-1 0,0 1 0,0 0 0,0 0 0,-1 0 0,1 0 0,-1 0 0,0 0 0,-1 0 0,1 8 0,-4-10 0,-1-8 0,-2-9 0,0-4 0,0 0 0,-4-28 0,8 36 0,1 1 0,0-1 0,1 0 0,0 2 0,1-2 0,2-18 0,-2 26-97,-1 1-1,1-1 1,-1 1-1,1-1 1,-1 1-1,1-1 1,0 1-1,0 0 1,0-1-1,0 1 1,0 0-1,0 0 0,2-2 1,4 0-6729</inkml:trace>
  <inkml:trace contextRef="#ctx0" brushRef="#br0" timeOffset="2845.32">665 2038 24575,'-1'0'0,"0"-1"0,1-2 0</inkml:trace>
  <inkml:trace contextRef="#ctx0" brushRef="#br0" timeOffset="3272.99">697 1899 24575,'2'1'0,"1"0"0,-1 0 0,1-1 0,-1 1 0,0 1 0,1-1 0,-1 1 0,0-1 0,0 1 0,0 0 0,2 2 0,4 3 0,6 4 0,36 27 0,80 47 0,-130-85 0,0 0 0,0 1 0,0-1 0,0 0 0,1 0 0,-1 0 0,0 0 0,0 0 0,0 0 0,0 0 0,0 0 0,0 0 0,0 0 0,0 0 0,1 0 0,-1 0 0,0 0 0,0 0 0,0 0 0,0 0 0,0 0 0,0 0 0,0 0 0,1 0 0,-1 0 0,0 0 0,0 0 0,0 0 0,0 0 0,0 0 0,0 0 0,0 0 0,0 0 0,1 0 0,-1-1 0,0 1 0,0 0 0,0 0 0,0 0 0,0 0 0,0 0 0,0 0 0,0 0 0,0 0 0,0 0 0,0-1 0,0 1 0,0 0 0,0 0 0,0 0 0,0 0 0,0 0 0,0 0 0,0 0 0,0-1 0,0 1 0,0 0 0,0 0 0,0 0 0,-2-13 0,-11-24 0,8 24 0,-10-41 0,10 34 0,-1 1 0,-12-31 0,16 51 0,1 6 0,0 9 0,0 31-341,-2 0 0,-3-1-1,-17 74 1,18-104-6485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48:53.62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105 285 24575,'3'-9'0,"3"-3"0,-4 10 0,-1 7 0,1 30 0,-2 0 0,-8 59 0,3-38 0,2-28 0,-43 653 0,43-644 0,0 8 0,2-59-1365,1-7-5461</inkml:trace>
  <inkml:trace contextRef="#ctx0" brushRef="#br0" timeOffset="737.87">50 303 24575,'0'-2'0,"0"0"0,0 0 0,0 0 0,0 0 0,0-1 0,0 1 0,1 0 0,-1 0 0,1 0 0,0 0 0,0 0 0,0 0 0,0 0 0,0 0 0,0 0 0,0 1 0,0-1 0,1 0 0,-1 1 0,1-1 0,-1 1 0,1-1 0,0 1 0,-1 0 0,1 0 0,0 0 0,0 0 0,0 0 0,0 0 0,3-1 0,24-10 0,0 1 0,1 1 0,36-6 0,96-11 0,-144 24 0,487-45 0,6 31 0,-510 16 0,1 1 0,-1 0 0,0 0 0,0 0 0,1 0 0,-1 0 0,0 0 0,1 0 0,-1 1 0,0-1 0,0 0 0,1 1 0,-1-1 0,0 1 0,0-1 0,0 1 0,1-1 0,-1 1 0,0 0 0,0 0 0,0 0 0,1 1 0,-1 0 0,0 1 0,-1-1 0,1 0 0,-1 1 0,0-1 0,0 0 0,0 1 0,0-1 0,0 1 0,-1 2 0,0 9 0,-5 176 0,8-1 0,8 0 0,49 271 0,-52-430 0,-4-19 0,-1-1 0,0 0 0,0 1 0,-1 0 0,0-1 0,-1 1 0,0 0 0,-3 12 0,3-21 0,-1 0 0,0 0 0,0 0 0,0-1 0,0 1 0,0 0 0,0-1 0,0 1 0,0-1 0,-1 1 0,1-1 0,-1 0 0,1 0 0,-1 1 0,1-1 0,-1 0 0,0 0 0,1-1 0,-1 1 0,0 0 0,0 0 0,0-1 0,1 1 0,-1-1 0,-3 1 0,-6 0 0,1-1 0,-1 1 0,-16-3 0,14 1 0,-14 0 0,-563-20 0,-148 22 0,722-1 0,11 0 0,0 1 0,1-1 0,-1 0 0,0 0 0,0-1 0,0 1 0,0-1 0,1 0 0,-1-1 0,0 1 0,-5-3 0,10 3 3,0 1-1,0-1 1,0 1-1,0-1 0,0 1 1,0-1-1,0 1 1,0-1-1,0 1 1,1 0-1,-1-1 1,0 1-1,0-1 0,1 1 1,-1 0-1,0-1 1,0 1-1,1-1 1,-1 1-1,0 0 0,1 0 1,-1-1-1,1 1 1,-1 0-1,0 0 1,2-1-1,14-11-518,-13 10-399,7-6-5911</inkml:trace>
  <inkml:trace contextRef="#ctx0" brushRef="#br0" timeOffset="1274.08">526 601 24575,'0'0'0,"0"0"0,0 0 0,0 0 0,0 0 0,0 0 0,0 0 0,0 0 0,-1 0 0,1 0 0,0 0 0,0 0 0,0 0 0,0 0 0,0 0 0,0 0 0,0 0 0,0 0 0,0 0 0,-1 0 0,1 0 0,0 0 0,0 0 0,0 0 0,0 0 0,0 0 0,0 0 0,0 0 0,0 0 0,0 0 0,0 0 0,0 0 0,-1 0 0,1 0 0,0 0 0,0 0 0,0-1 0,0 1 0,0 0 0,0 0 0,0 0 0,0 0 0,0 0 0,0 0 0,0 0 0,0 0 0,-4 11 0,-41 285 0,44-294 0,0-6 0,0-13 0,0-25 0,2 25 0,8-125 0,-7 117 0,2-1 0,1 1 0,12-34 0,-17 58 0,0 0 0,0 0 0,1 0 0,-1 0 0,1 0 0,-1 0 0,0 0 0,1 0 0,-1 1 0,1-1 0,0 0 0,-1 0 0,1 0 0,0 1 0,-1-1 0,1 0 0,0 1 0,1-2 0,-1 2 0,-1 0 0,1 0 0,-1 1 0,1-1 0,-1 0 0,1 0 0,-1 0 0,1 0 0,-1 1 0,1-1 0,-1 0 0,0 0 0,1 1 0,-1-1 0,1 0 0,-1 1 0,0-1 0,1 1 0,-1-1 0,0 0 0,0 1 0,1-1 0,-1 1 0,0-1 0,1 1 0,12 39 0,63 224 0,-72-246 120,-4-18-152,0 1 1,0-1-1,0 0 1,0 1-1,0-1 0,0 0 1,-1 1-1,1-1 1,0 0-1,0 1 0,0-1 1,0 0-1,0 0 1,-1 1-1,1-1 0,0 0 1,0 0-1,-1 1 1,1-1-1,0 0 0,0 0 1,-1 0-1,1 1 1,0-1-1,-1 0 0,1 0 1,0 0-1,-1 0 1,1 0-1,0 0 0,0 0 1,-1 0-1,1 1 1,0-1-1,-1 0 1,1 0-1,0-1 0,-1 1 1,1 0-1,0 0 1,-1 0-1,1 0 0,0 0 1,-1 0-1,1 0 1,-1-1-1,-8-1-6794</inkml:trace>
  <inkml:trace contextRef="#ctx0" brushRef="#br0" timeOffset="1452.89">430 752 24575,'-2'2'0,"0"0"0,4 0 0,4-1 0,7-3 0,6-6 0,5-4 0,3-1 0,0-2 0,-3 1 0,-3-1 0,-6 3-8191</inkml:trace>
  <inkml:trace contextRef="#ctx0" brushRef="#br0" timeOffset="2017.37">650 601 24575,'-1'29'0,"2"-1"0,0 1 0,2-1 0,2 1 0,12 45 0,-26-102 0,2 0 0,-7-49 0,12 56 0,0 0 0,1 0 0,2 0 0,0 0 0,4-22 0,-4 40 0,-1 0 0,1 0 0,1-1 0,-1 1 0,0 0 0,1 0 0,-1 1 0,1-1 0,0 0 0,0 0 0,3-3 0,-4 6 0,-1-1 0,1 1 0,-1-1 0,1 1 0,0 0 0,0-1 0,-1 1 0,1-1 0,0 1 0,-1 0 0,1 0 0,0-1 0,0 1 0,0 0 0,-1 0 0,1 0 0,0 0 0,0 0 0,1 0 0,-1 1 0,1-1 0,-1 1 0,0-1 0,0 1 0,0 0 0,0-1 0,0 1 0,0 0 0,0 0 0,0 0 0,0 0 0,0 0 0,0 0 0,0 0 0,0 0 0,0 2 0,2 3 0,0 1 0,0-1 0,-1 1 0,1 0 0,-2 0 0,1 0 0,-1 0 0,1 13 0,-2-17 0,1 0 0,-1 0 0,0 1 0,0-1 0,0 0 0,-1 0 0,1 1 0,-1-1 0,0 0 0,0 0 0,0 0 0,0 0 0,0 0 0,-1 0 0,1 0 0,-1 0 0,0-1 0,-4 6 0,7-8 0,-1-1 0,1 1 0,0-1 0,-1 1 0,1 0 0,0-1 0,0 1 0,-1 0 0,1 0 0,0 0 0,0 0 0,-1 0 0,1 0 0,0 0 0,0 0 0,-1 0 0,1 0 0,0 0 0,0 0 0,-1 0 0,1 0 0,0 1 0,0-1 0,-1 0 0,2 1 0,0 1 0,0-1 0,0 1 0,0 0 0,0-1 0,0 1 0,-1 0 0,1 0 0,1 3 0,0 0 0,0-1 0,-1 1 0,1 0 0,-1 0 0,0 1 0,-1-1 0,2 7 0,-3-9 0,0 0 0,0 0 0,0 0 0,-1 0 0,0 0 0,1 0 0,-1 0 0,0 0 0,-1 0 0,1 0 0,0-1 0,-1 1 0,0 0 0,1-1 0,-1 1 0,0-1 0,0 0 0,-4 4 0,3-4 0,0 1 0,1-1 0,-1 0 0,0 0 0,-1 0 0,1 0 0,0-1 0,0 1 0,-1-1 0,1 0 0,-1 0 0,1 0 0,-1 0 0,1-1 0,-7 1 0,9-1-42,0 0-1,0 0 0,0-1 1,0 1-1,0 0 0,0-1 1,0 1-1,0-1 0,1 1 1,-1-1-1,0 1 0,0-1 1,0 0-1,0 1 0,1-1 1,-1 0-1,0 0 0,1 1 1,-1-1-1,0 0 0,1 0 1,-1 0-1,1 0 0,0 0 1,-1 0-1,1 0 0,0 0 1,-1 0-1,1 0 0,0 0 1,0-1-1,-2-11-6783</inkml:trace>
  <inkml:trace contextRef="#ctx0" brushRef="#br0" timeOffset="2291.77">906 592 24575,'0'-1'0,"0"-1"0,0 1 0,0 0 0,-1-1 0,1 1 0,0 0 0,-1 0 0,1 0 0,-1-1 0,0 1 0,1 0 0,-1 0 0,0 0 0,0 0 0,1 0 0,-1 0 0,0 0 0,0 1 0,0-1 0,0 0 0,0 0 0,-1 1 0,1-1 0,0 0 0,0 1 0,0-1 0,0 1 0,-1 0 0,1-1 0,0 1 0,-1 0 0,1 0 0,0 0 0,0 0 0,-1 0 0,1 0 0,0 0 0,-1 0 0,1 1 0,0-1 0,0 0 0,0 1 0,-1-1 0,1 1 0,0-1 0,0 1 0,0 0 0,0-1 0,0 1 0,0 0 0,0 0 0,0 0 0,0 0 0,-1 1 0,-3 4 0,1 1 0,0 0 0,0 1 0,0-1 0,1 1 0,0-1 0,-3 15 0,4-16 0,1-1 0,0 1 0,0 0 0,1-1 0,0 1 0,0 0 0,0 0 0,0-1 0,1 1 0,0 0 0,0-1 0,2 6 0,-1-7 5,0-1 0,0 0 0,0 0-1,1 0 1,-1 0 0,1 0 0,0 0 0,0-1-1,0 1 1,0-1 0,0 0 0,0 0 0,0 0-1,1 0 1,-1-1 0,1 0 0,-1 1-1,1-1 1,0 0 0,0-1 0,-1 1 0,1-1-1,0 1 1,6-1 0,0 0-170,0-1 0,-1 0 0,1 0 0,0-1 0,-1 0 0,0-1 0,1 0 0,12-6 0,-3-1-6661</inkml:trace>
  <inkml:trace contextRef="#ctx0" brushRef="#br0" timeOffset="2854.69">1085 427 24575,'1'8'0,"0"1"0,0-1 0,5 14 0,1 12 0,0 75 0,-6-60 0,-1-48 0,0 1 0,0-1 0,0 1 0,0-1 0,0 1 0,1-1 0,-1 1 0,1-1 0,-1 1 0,1-1 0,-1 0 0,1 1 0,0-1 0,0 1 0,-1-1 0,2 1 0,-1-1 0,-1-1 0,1 0 0,0 1 0,-1-1 0,1 0 0,0 0 0,-1 1 0,1-1 0,0 0 0,-1 0 0,1 0 0,0 0 0,-1 0 0,1 0 0,0 0 0,-1 0 0,1 0 0,0 0 0,-1 0 0,1 0 0,0-1 0,-1 1 0,1 0 0,0-1 0,3-1 0,-1 0 0,1 0 0,-1 0 0,0-1 0,0 0 0,0 1 0,-1-1 0,1 0 0,-1-1 0,4-4 0,-3 4 0,8-15 0,0-1 0,12-29 0,-21 45 0,0-1 0,-1 0 0,1 0 0,-1 0 0,0 0 0,-1 0 0,1-1 0,-1 1 0,0 0 0,0 0 0,0 0 0,-1 0 0,0-1 0,0 1 0,0 0 0,-3-6 0,4 10 0,0 1 0,0-1 0,-1 1 0,1 0 0,0-1 0,0 1 0,0-1 0,0 1 0,-1 0 0,1-1 0,0 1 0,0 0 0,-1-1 0,1 1 0,0 0 0,-1-1 0,1 1 0,0 0 0,-1 0 0,1-1 0,0 1 0,-1 0 0,1 0 0,0 0 0,-1 0 0,1-1 0,-1 1 0,1 0 0,-1 0 0,-5 10 0,1 20 0,5-21 0,1 1 0,-1-1 0,2 1 0,0-1 0,0 0 0,0 0 0,7 15 0,-1-2 0,-6-13-1365,-2-4-5461</inkml:trace>
  <inkml:trace contextRef="#ctx0" brushRef="#br0" timeOffset="3005.78">1186 541 24575,'0'-1'0,"1"-1"0,2-2 0,4 1 0,3-2 0,2 1 0,2 0 0,0 0 0,-3 0-8191</inkml:trace>
  <inkml:trace contextRef="#ctx0" brushRef="#br0" timeOffset="3457.07">1319 505 24575,'0'-1'0,"0"0"0,0 1 0,0-1 0,0 0 0,-1 1 0,1-1 0,0 0 0,0 1 0,-1-1 0,1 0 0,0 1 0,-1-1 0,1 1 0,0-1 0,-1 1 0,1-1 0,-1 0 0,1 1 0,-1 0 0,1-1 0,-1 1 0,0-1 0,1 1 0,-1 0 0,1-1 0,-1 1 0,0 0 0,1 0 0,-1-1 0,0 1 0,1 0 0,-1 0 0,0 0 0,1 0 0,-1 0 0,0 0 0,-1 0 0,1 0 0,0 0 0,0 0 0,0 0 0,0 0 0,0 1 0,0-1 0,0 0 0,0 1 0,0-1 0,0 1 0,0-1 0,0 1 0,0-1 0,0 1 0,0-1 0,0 1 0,0 0 0,1 0 0,-1-1 0,0 1 0,0 0 0,1 0 0,-1 0 0,0 1 0,0 2 0,0-1 0,0 1 0,1 0 0,-1 0 0,1 0 0,0-1 0,0 1 0,0 0 0,1 0 0,1 6 0,-2-9 0,0 0 0,0 1 0,1-1 0,-1 0 0,0 0 0,1 1 0,0-1 0,-1 0 0,1 0 0,0 0 0,-1 1 0,1-1 0,0 0 0,0 0 0,0 0 0,0-1 0,0 1 0,0 0 0,0 0 0,0 0 0,0-1 0,1 1 0,-1 0 0,0-1 0,0 1 0,1-1 0,-1 0 0,0 1 0,1-1 0,-1 0 0,0 0 0,3 0 0,-3 0 0,0-1 0,0 1 0,0-1 0,0 1 0,0-1 0,0 1 0,0-1 0,-1 0 0,1 1 0,0-1 0,0 0 0,-1 0 0,1 1 0,0-1 0,-1 0 0,1 0 0,-1 0 0,1 0 0,-1 0 0,1 0 0,-1 0 0,0 0 0,1 0 0,-1 0 0,0 0 0,0 0 0,0-1 0,0 1 0,0-1 0,0-38 0,0 33 0,-8-99 0,9 182 0,3-48-682,15 50-1,-14-61-6143</inkml:trace>
  <inkml:trace contextRef="#ctx0" brushRef="#br0" timeOffset="4128.76">1424 395 24575,'0'-2'0,"2"-1"0,2-1 0,7-3 0,7 0 0,9-3 0,8 1 0,7 1 0,5 3 0,2 1 0,0 5 0,0 5 0,-5 3 0,-4 1 0,-9 2 0,-9 1 0,-8-1 0,-7-2-8191</inkml:trace>
  <inkml:trace contextRef="#ctx0" brushRef="#br0" timeOffset="4407.76">1864 289 24575,'1'0'0,"2"0"0,4 1 0,4 2 0,0 4 0,2 5 0,-2 5 0,-3 4 0,-2 3 0,-3 2 0,-2-1 0,-3-3 0,-4-2 0,-2-4 0,-2-2 0,4-5 0,3-4 0</inkml:trace>
  <inkml:trace contextRef="#ctx0" brushRef="#br0" timeOffset="4954.8">2153 432 24575,'0'-6'0,"0"-1"0,0 1 0,0-1 0,-1 1 0,-1-7 0,2 12 0,0 1 0,0-1 0,0 0 0,0 1 0,-1-1 0,1 1 0,0-1 0,0 0 0,0 1 0,-1-1 0,1 1 0,0-1 0,-1 0 0,1 1 0,-1-1 0,1 1 0,0 0 0,-1-1 0,1 1 0,-1-1 0,1 1 0,-1 0 0,0-1 0,1 1 0,-1 0 0,1-1 0,-1 1 0,0 0 0,1 0 0,-1 0 0,1 0 0,-1-1 0,0 1 0,1 0 0,-1 0 0,0 0 0,1 0 0,-1 1 0,0-1 0,1 0 0,-1 0 0,1 0 0,-1 0 0,0 1 0,1-1 0,-1 0 0,1 0 0,-1 1 0,0-1 0,0 1 0,-1 1 0,-1 0 0,1 0 0,0 0 0,0 1 0,0-1 0,0 0 0,0 1 0,0 0 0,1-1 0,-1 1 0,1 0 0,-1 0 0,1 0 0,0 0 0,1 0 0,-1 0 0,0 0 0,1 0 0,0 0 0,-1 0 0,2 4 0,-2-5 0,1 0 0,0 0 0,1-1 0,-1 1 0,0 0 0,0 0 0,1 0 0,-1 0 0,1 0 0,0-1 0,0 1 0,-1 0 0,1 0 0,0-1 0,0 1 0,0-1 0,1 1 0,-1-1 0,0 1 0,1-1 0,-1 0 0,1 0 0,-1 1 0,1-1 0,-1 0 0,1-1 0,0 1 0,0 0 0,-1 0 0,1-1 0,0 1 0,0-1 0,0 1 0,0-1 0,2 0 0,-2 0 0,0 0 0,0 0 0,0-1 0,0 1 0,0-1 0,0 0 0,0 1 0,-1-1 0,1 0 0,0 0 0,0 0 0,0 0 0,-1-1 0,1 1 0,-1 0 0,1-1 0,-1 1 0,1-1 0,-1 1 0,0-1 0,0 0 0,0 0 0,0 1 0,0-1 0,0 0 0,0 0 0,-1 0 0,1-3 0,3-6 0,-2 0 0,0 0 0,2-20 0,-1-10 0,-2 1 0,-5-61 0,4 101 0,0 0 0,0-1 0,0 1 0,0 0 0,0-1 0,0 1 0,0 0 0,0-1 0,0 1 0,0 0 0,0 0 0,0-1 0,0 1 0,0 0 0,0-1 0,0 1 0,0 0 0,0-1 0,0 1 0,-1 0 0,1-1 0,0 1 0,0 0 0,0 0 0,0-1 0,-1 1 0,1 0 0,0 0 0,0-1 0,-1 1 0,1 0 0,0 0 0,-1 0 0,-4 11 0,0 24 0,4-7 0,4 48 0,-2-66 0,0 0 0,1 0 0,0-1 0,1 1 0,0-1 0,1 0 0,-1 1 0,9 12 0,-12-21-23,1 0-1,-1 0 1,1-1-1,-1 1 1,1 0-1,-1 0 0,1-1 1,-1 1-1,1 0 1,0-1-1,0 1 1,-1-1-1,1 1 1,0-1-1,0 1 1,-1-1-1,1 1 1,0-1-1,0 0 0,0 1 1,0-1-1,0 0 1,-1 0-1,1 0 1,0 0-1,0 1 1,0-1-1,0-1 1,0 1-1,0 0 1,0 0-1,0 0 0,0 0 1,-1-1-1,1 1 1,0 0-1,0-1 1,0 1-1,0 0 1,-1-1-1,1 1 1,0-1-1,0 0 0,-1 1 1,1-1-1,0 0 1,-1 1-1,1-1 1,-1 0-1,1 0 1,-1 1-1,1-1 1,-1 0-1,0 0 1,1 0-1,-1 0 0,0-1 1,6-10-6803</inkml:trace>
  <inkml:trace contextRef="#ctx0" brushRef="#br0" timeOffset="5246.05">2285 354 24575,'1'0'0,"-1"1"0,1 0 0,-1 0 0,1-1 0,-1 1 0,1 0 0,-1-1 0,1 1 0,-1-1 0,1 1 0,0-1 0,-1 1 0,1-1 0,0 1 0,0-1 0,-1 0 0,1 1 0,0-1 0,0 0 0,0 0 0,-1 1 0,1-1 0,0 0 0,0 0 0,0 0 0,1 0 0,23 1 0,-24-2 0,1 1 0,-1-1 0,1 1 0,0-1 0,-1 1 0,1-1 0,-1 0 0,0 0 0,1 0 0,-1 0 0,0 0 0,1 0 0,-1 0 0,0 0 0,0 0 0,0-1 0,0 1 0,0 0 0,0-1 0,-1 1 0,1-1 0,0 1 0,-1-1 0,1 1 0,-1-1 0,1 0 0,-1 1 0,0-1 0,1-2 0,-1 3 0,0-1 0,0 0 0,0 1 0,0-1 0,0 1 0,0-1 0,0 0 0,-1 1 0,1-1 0,-1 1 0,1-1 0,-1 1 0,1-1 0,-1 1 0,0-1 0,0 1 0,1 0 0,-1-1 0,0 1 0,0 0 0,-1 0 0,1-1 0,0 1 0,0 0 0,-1 0 0,1 0 0,0 1 0,-1-1 0,-2-1 0,3 2 0,0 0 0,0 0 0,0 0 0,0 0 0,0 0 0,0 0 0,0 0 0,-1 0 0,1 1 0,0-1 0,0 0 0,0 1 0,0-1 0,0 1 0,0-1 0,0 1 0,0-1 0,0 1 0,1 0 0,-1-1 0,0 1 0,0 0 0,0 0 0,1 0 0,-1 0 0,0 0 0,1-1 0,-1 1 0,1 0 0,-1 0 0,1 1 0,0-1 0,-1 0 0,1 2 0,-3 4 0,1 0 0,1 0 0,-2 14 0,2-18 0,1 1 0,0-1 0,0 0 0,0 1 0,0-1 0,0 0 0,1 0 0,0 1 0,-1-1 0,1 0 0,0 0 0,1 0 0,-1 0 0,1 0 0,-1 0 0,1 0 0,3 4 0,-2-4 0,-1-1 0,1 0 0,0 0 0,0 0 0,0-1 0,0 1 0,0-1 0,0 0 0,0 1 0,1-1 0,-1-1 0,0 1 0,1 0 0,-1-1 0,0 0 0,1 0 0,4 0 0,11-2-1365,-4-1-5461</inkml:trace>
  <inkml:trace contextRef="#ctx0" brushRef="#br0" timeOffset="5666.81">2542 243 24575,'-2'1'0,"0"-1"0,0 0 0,-1 1 0,1-1 0,0 1 0,0 0 0,0 0 0,0 0 0,0 0 0,0 0 0,1 0 0,-1 0 0,0 1 0,0-1 0,1 1 0,-1-1 0,1 1 0,-1-1 0,1 1 0,0 0 0,0 0 0,0 0 0,0 0 0,0 0 0,0 0 0,0 0 0,1 0 0,-1 0 0,0 4 0,0-3 0,0 1 0,1-1 0,-1 0 0,1 1 0,0-1 0,0 1 0,0-1 0,1 0 0,-1 1 0,1-1 0,0 0 0,-1 1 0,2-1 0,-1 0 0,0 0 0,1 0 0,-1 0 0,4 5 0,-4-7 0,0 0 0,0 1 0,0-1 0,0 0 0,1 0 0,-1 0 0,0 0 0,1 0 0,-1 0 0,0 0 0,1 0 0,-1-1 0,1 1 0,-1 0 0,1-1 0,0 1 0,-1-1 0,1 0 0,0 0 0,-1 1 0,1-1 0,0 0 0,-1 0 0,1-1 0,-1 1 0,1 0 0,0 0 0,-1-1 0,1 1 0,0-1 0,-1 0 0,3 0 0,-1-2 0,0 1 0,0-1 0,0 1 0,-1-1 0,1 0 0,-1 0 0,1 0 0,-1 0 0,0-1 0,0 1 0,-1-1 0,3-6 0,-4 18 0,0 0 0,0-1 0,1 1 0,-1 0 0,2-1 0,-1 1 0,1-1 0,0 1 0,4 7 0,-6-15-20,0 0-1,0 0 1,0 0 0,0 0-1,0 0 1,0 0 0,0 0-1,0 0 1,0-1-1,0 1 1,0 0 0,0 0-1,1 0 1,-1 0 0,0 0-1,0 0 1,0 0-1,0 0 1,0 0 0,0 0-1,0 0 1,0 0 0,0 0-1,0-1 1,0 1-1,0 0 1,0 0 0,0 0-1,1 0 1,-1 0 0,0 0-1,0 0 1,0 0-1,0 0 1,0 0 0,0 0-1,0 0 1,0 0-1,0 0 1,0 0 0,1 0-1,-1 0 1,0 0 0,0 0-1,0 0 1,0 0-1,0 0 1,0 0 0,0 0-1,0 1 1,0-1 0,0 0-1,0 0 1,1 0-1,-1 0 1,0 0 0,0 0-1,0 0 1,0 0 0,0 0-1,0 0 1,0 0-1,0 0 1,0 0 0,0 1-1,0-1 1</inkml:trace>
  <inkml:trace contextRef="#ctx0" brushRef="#br0" timeOffset="5821.03">2625 83 24575,'0'3'0,"4"2"0,3 4 0,1 4 0,-1-1-8191</inkml:trace>
  <inkml:trace contextRef="#ctx0" brushRef="#br0" timeOffset="6237.78">2725 230 24575,'-1'0'0,"-1"0"0,0 0 0,1 1 0,-1-1 0,1 1 0,-1-1 0,0 1 0,1 0 0,-1 0 0,1-1 0,-1 1 0,1 0 0,0 0 0,-1 0 0,1 1 0,0-1 0,0 0 0,0 0 0,0 1 0,0-1 0,0 1 0,0-1 0,0 1 0,1-1 0,-1 1 0,0 2 0,0-2 0,1-1 0,-1 0 0,1 1 0,0-1 0,-1 0 0,1 1 0,0-1 0,0 1 0,0-1 0,0 0 0,1 1 0,-1-1 0,0 0 0,0 1 0,1-1 0,-1 0 0,1 1 0,-1-1 0,1 0 0,0 0 0,-1 0 0,1 1 0,0-1 0,0 0 0,0 0 0,0 0 0,0 0 0,0 0 0,0-1 0,0 1 0,0 0 0,0 0 0,2 0 0,1 0 0,-1 1 0,1 0 0,-1 0 0,1 0 0,-1 0 0,0 0 0,0 0 0,3 4 0,-5-5 0,-1-1 0,0 0 0,1 1 0,-1 0 0,0-1 0,1 1 0,-1-1 0,0 1 0,0-1 0,0 1 0,1-1 0,-1 1 0,0 0 0,0-1 0,0 1 0,0 0 0,0-1 0,0 1 0,0-1 0,0 1 0,0 0 0,-1 0 0,1 0 0,-1 1 0,0-1 0,0 0 0,0 0 0,0 0 0,0 0 0,0 0 0,0 0 0,0 0 0,0 0 0,0 0 0,-1 0 0,-1 0 0,-16 8 120,18-9-175,1 0 0,-1 1 0,1-1 0,-1 0 0,0 0 0,1 0 0,-1 1 0,0-1 0,0 0 0,1 0 0,-1 0 0,0 0 0,1 0 0,-1-1 0,0 1 0,1 0 0,-1 0 0,0 0 0,1-1 0,-1 1 0,1 0 0,-1 0 0,0-1 0,1 1 0,-1-1 0,0 1 0</inkml:trace>
  <inkml:trace contextRef="#ctx0" brushRef="#br0" timeOffset="6391.89">2904 179 24575,'0'3'0,"0"3"0,0 3 0,-1 3 0,0 2 0,0 0 0,0 2 0,1-1 0,0-2 0,-1 0 0,0-3 0,-3-5 0</inkml:trace>
  <inkml:trace contextRef="#ctx0" brushRef="#br0" timeOffset="6528.9">2941 1 24575,'0'1'0,"0"0"0,1 5 0,3 2 0,3 3 0,1 1-8191</inkml:trace>
  <inkml:trace contextRef="#ctx0" brushRef="#br0" timeOffset="7143.73">3138 189 24575,'-1'-3'0,"1"0"0,0 0 0,-1 0 0,1 0 0,-1 0 0,0 0 0,0 1 0,0-1 0,-1 0 0,1 0 0,-1 1 0,1-1 0,-1 1 0,0 0 0,0-1 0,0 1 0,0 0 0,0 0 0,0 0 0,-3-1 0,3 2 0,1 0 0,0 0 0,-1 1 0,1-1 0,0 1 0,-1-1 0,1 1 0,0 0 0,-1-1 0,1 1 0,-1 0 0,1 0 0,-1 0 0,1 0 0,-1 0 0,1 0 0,0 1 0,-1-1 0,1 0 0,-1 1 0,1-1 0,0 1 0,-1-1 0,1 1 0,0 0 0,0-1 0,-1 1 0,1 0 0,0 0 0,0 0 0,0 0 0,0 0 0,0 0 0,0 0 0,1 1 0,-1-1 0,0 0 0,0 0 0,1 1 0,-1-1 0,0 3 0,0-1 0,-1 1 0,1-1 0,0 1 0,0-1 0,1 1 0,-1 0 0,1-1 0,0 1 0,0 0 0,0 0 0,0-1 0,1 1 0,1 5 0,-2-8 0,0 1 0,1-1 0,-1 0 0,1 1 0,-1-1 0,1 0 0,0 1 0,0-1 0,0 0 0,-1 0 0,1 0 0,0 0 0,1 0 0,-1 0 0,0 0 0,0 0 0,0 0 0,0 0 0,1 0 0,-1-1 0,0 1 0,1-1 0,-1 1 0,1-1 0,-1 1 0,0-1 0,1 0 0,-1 0 0,1 1 0,-1-1 0,1 0 0,-1 0 0,1-1 0,-1 1 0,1 0 0,1-1 0,0 0 0,0-1 0,0 1 0,-1-1 0,1 1 0,0-1 0,-1 0 0,1 0 0,-1 0 0,0 0 0,0-1 0,0 1 0,0 0 0,0-1 0,0 0 0,-1 1 0,1-1 0,-1 0 0,0 0 0,2-6 0,-2 6 0,0-1 0,1 1 0,0-1 0,-1 1 0,1 0 0,0 0 0,1 0 0,-1 0 0,0 0 0,1 0 0,0 0 0,-1 1 0,6-4 0,-7 6 0,0-1 0,0 1 0,-1 0 0,1-1 0,0 1 0,0 0 0,0 0 0,0-1 0,0 1 0,0 0 0,0 0 0,0 0 0,0 0 0,0 0 0,-1 1 0,1-1 0,0 0 0,0 0 0,0 1 0,0-1 0,0 0 0,0 1 0,-1-1 0,2 2 0,0-1 0,0 1 0,0 0 0,-1-1 0,1 1 0,-1 0 0,0 0 0,1 0 0,-1 0 0,1 4 0,1 2 0,0 0 0,-1 0 0,0 0 0,2 13 0,-4-3 0,0-11 0,5-18 0,-2 3 0,16-38 0,-18 44 0,0 0 0,0-1 0,1 1 0,-1 0 0,1 0 0,-1 0 0,1 0 0,0 0 0,0 0 0,0 0 0,0 0 0,0 1 0,0-1 0,1 1 0,2-2 0,-4 3 0,0 0 0,0 0 0,0 0 0,0 0 0,0 0 0,0 0 0,0 1 0,0-1 0,0 0 0,0 0 0,0 1 0,0-1 0,0 1 0,-1-1 0,1 1 0,0-1 0,0 1 0,0-1 0,0 1 0,-1 0 0,1 0 0,0-1 0,-1 1 0,1 0 0,-1 0 0,1 0 0,-1-1 0,1 1 0,-1 0 0,1 0 0,-1 0 0,1 2 0,9 34 0,-10-36 0,1 5-108,1-1-6,-1 1 0,0 0-1,0-1 1,0 1 0,-1 0-1,0-1 1,0 1 0,-1 0 0,1 0-1,-3 7 1</inkml:trace>
  <inkml:trace contextRef="#ctx0" brushRef="#br0" timeOffset="7944.17">2079 853 24575,'5'-2'0,"0"1"0,0-1 0,0 1 0,1 0 0,-1 1 0,8-1 0,8-1 0,16-3 0,-8 1 0,0-1 0,34-10 0,-61 15 0,0-1 0,0 1 0,-1-1 0,1 0 0,0 0 0,-1 1 0,1-1 0,-1 0 0,1 0 0,-1-1 0,1 1 0,-1 0 0,0 0 0,0-1 0,1 1 0,0-3 0,-1 3 0,-1 0 0,0 0 0,0 0 0,1 0 0,-1 0 0,0 0 0,0-1 0,0 1 0,0 0 0,0 0 0,-1 0 0,1 0 0,0 0 0,0 0 0,-1 0 0,1 0 0,-1 0 0,1 0 0,-1 0 0,0-1 0,-4-4 0,0-1 0,0 1 0,-1 1 0,1-1 0,-12-7 0,10 8 0,30 20 0,-8-5 0,23 21 0,-34-28 0,-1 1 0,1-1 0,-1 1 0,0-1 0,0 1 0,-1 0 0,1 0 0,-1 0 0,0 1 0,0-1 0,0 0 0,1 6 0,-3-8 6,0 0 0,0-1 0,0 1 0,0-1 0,0 1 0,-1 0 0,1-1 0,0 1 0,-1-1 0,1 1 0,-1-1 0,0 1 0,1-1 0,-1 1 0,0-1 0,0 0 0,0 1 0,0-1 0,-1 2 0,-25 18-1491</inkml:trace>
  <inkml:trace contextRef="#ctx0" brushRef="#br0" timeOffset="8553.22">2689 729 24575,'-4'10'0,"0"0"0,2 1 0,-1-1 0,1 1 0,1-1 0,0 1 0,0 0 0,2 16 0,-1-11 0,0 1 0,-4 20 0,-1-25 0,0-17 0,0-22 0,6 2 0,2 1 0,0-1 0,1 1 0,1 0 0,2 0 0,0 0 0,2 1 0,0 0 0,2 1 0,16-27 0,-25 45 0,1 0 0,0 0 0,0 0 0,1 0 0,-1 0 0,7-5 0,-9 9 0,-1 0 0,1-1 0,-1 1 0,1 0 0,0-1 0,-1 1 0,1 0 0,0-1 0,-1 1 0,1 0 0,0 0 0,-1 0 0,1 0 0,0 0 0,-1 0 0,1 0 0,0 0 0,0 0 0,-1 0 0,1 0 0,0 0 0,0 1 0,0 0 0,0-1 0,0 1 0,0 0 0,0 0 0,-1 0 0,1-1 0,0 1 0,-1 0 0,1 0 0,-1 0 0,1 0 0,-1 0 0,1 0 0,-1 0 0,0 0 0,0 1 0,1 0 0,0 3 0,-1-1 0,0 1 0,0 0 0,0 0 0,0-1 0,0 1 0,-1 0 0,0-1 0,0 1 0,-1-1 0,1 1 0,-1-1 0,0 0 0,0 1 0,0-1 0,0 0 0,-1 0 0,0-1 0,0 1 0,-3 3 0,1-2 0,1 0 0,-1-1 0,0 1 0,0-1 0,-1 0 0,1-1 0,-1 1 0,0-1 0,0 0 0,0-1 0,0 1 0,0-1 0,-12 2 0,17-4 0,1 0 0,0 1 0,-1-1 0,1 0 0,-1 0 0,1 0 0,0 0 0,-1 0 0,1 0 0,-1 0 0,1 1 0,0-1 0,-1 0 0,1-1 0,-1 1 0,1 0 0,0 0 0,-1 0 0,1 0 0,-1 0 0,1 0 0,0 0 0,-1-1 0,1 1 0,-1 0 0,1 0 0,0 0 0,-1-1 0,1 1 0,0 0 0,0-1 0,-1 1 0,1 0 0,0-1 0,0 1 0,-1 0 0,1-1 0,0 1 0,0 0 0,0-1 0,-1 1 0,1-1 0,1 1 0,-1-1 0,1 1 0,-1 0 0,1 0 0,-1-1 0,1 1 0,-1 0 0,1 0 0,-1 0 0,1 0 0,-1 0 0,1 0 0,0 0 0,-1 0 0,1 0 0,-1 0 0,1 0 0,-1 0 0,1 0 0,-1 0 0,1 0 0,0 1 0,-1-1 0,1 0 0,-1 0 0,1 1 0,-1-1 0,0 0 0,1 1 0,-1-1 0,1 0 0,-1 1 0,0-1 0,1 1 0,0 0 0,10 9 0,0 1 0,-1 1 0,0 0 0,-1 0 0,8 14 0,11 14 0,-5-9 0,-5-7 0,24 26 0,-32-44-69,-4-10 241,-4-18-1640,-2 4-5358</inkml:trace>
  <inkml:trace contextRef="#ctx0" brushRef="#br0" timeOffset="9081">2899 821 24575,'8'0'0,"1"0"0,0 0 0,1 0 0,15-4 0,-24 4 0,1 0 0,-1 0 0,0 0 0,0 0 0,0-1 0,0 1 0,0 0 0,0-1 0,-1 1 0,1 0 0,0-1 0,0 1 0,0-1 0,0 0 0,0 1 0,-1-1 0,1 0 0,0 1 0,0-1 0,-1 0 0,1 0 0,-1 0 0,1 0 0,-1 1 0,1-1 0,-1 0 0,1 0 0,-1 0 0,0 0 0,1 0 0,-1 0 0,0 0 0,0 0 0,0 0 0,0 0 0,0 0 0,0 0 0,0 0 0,0 0 0,0 0 0,-1 0 0,1 0 0,0 0 0,-1-1 0,1 1 0,0 0 0,-1 0 0,1 0 0,0 0 0,-1 0 0,1 0 0,-1 0 0,1 0 0,-1 1 0,1-1 0,-1 0 0,1 0 0,-1 1 0,0-1 0,1 0 0,-1 1 0,0-1 0,0 1 0,0-1 0,1 1 0,-1-1 0,0 1 0,0 0 0,0-1 0,0 1 0,0 0 0,0 0 0,0-1 0,0 1 0,0 0 0,0 0 0,0 0 0,1 0 0,-1 0 0,0 0 0,0 1 0,0-1 0,0 0 0,0 0 0,0 1 0,0-1 0,0 1 0,0-1 0,1 1 0,-1-1 0,0 1 0,-1 0 0,0 1 0,0-1 0,0 1 0,1 0 0,-1 0 0,0 0 0,1 0 0,-1 0 0,1 0 0,-1 0 0,1 0 0,0 1 0,0-1 0,0 0 0,0 1 0,1-1 0,-1 1 0,0 3 0,1-5 0,0 1 0,0 0 0,0-1 0,1 1 0,-1 0 0,0-1 0,1 1 0,-1-1 0,1 1 0,-1-1 0,1 1 0,0-1 0,0 1 0,0-1 0,0 1 0,0-1 0,0 0 0,0 0 0,0 0 0,2 2 0,0-1 0,-1-1 0,1 0 0,-1 1 0,1-1 0,-1 0 0,1 0 0,0-1 0,-1 1 0,1-1 0,0 1 0,4-1 0,-3 0 0,0 0 0,0 0 0,0 0 0,0-1 0,0 1 0,0-1 0,0 0 0,0 0 0,-1-1 0,1 1 0,0-1 0,-1 0 0,1 0 0,-1 0 0,0 0 0,0-1 0,5-4 0,-5 3 0,0-1 0,0 1 0,-1-1 0,0 1 0,0-1 0,0 0 0,0 0 0,-1 0 0,0 0 0,0 0 0,0 0 0,0-7 0,-3 8 0,-3 9 0,-2 11 0,2 6 0,0-1 0,2 1 0,-2 29 0,5 69 0,1-69 0,0-27 0,0-18 0,-1 0 0,1 0 0,-1 0 0,-1 0 0,1 0 0,-1 0 0,0 0 0,-2 8 0,3-14 0,-1 0 0,1 0 0,0 0 0,0 0 0,0 0 0,-1 0 0,1 0 0,0 0 0,0 0 0,0 0 0,-1 0 0,1 0 0,0 0 0,0 0 0,0 0 0,-1 0 0,1 0 0,0 0 0,0 0 0,0 0 0,-1 0 0,1 0 0,0 0 0,0-1 0,0 1 0,0 0 0,-1 0 0,1 0 0,0 0 0,0 0 0,0-1 0,0 1 0,0 0 0,0 0 0,-1 0 0,1 0 0,0-1 0,0 1 0,0 0 0,0 0 0,0 0 0,0-1 0,0 1 0,0 0 0,0 0 0,0 0 0,0-1 0,0 1 0,0 0 0,0 0 0,0-1 0,-5-13 0,1-3-190,0-1-1,2 0 0,-1-21 1,3 29-413,-2-33-6223</inkml:trace>
  <inkml:trace contextRef="#ctx0" brushRef="#br0" timeOffset="9997.78">3032 802 24575,'1'-2'0,"4"-7"0,1 1 0,-1-1 0,1 1 0,0 0 0,11-11 0,-15 18 0,-1 0 0,1 0 0,-1 0 0,1 0 0,-1 0 0,1 0 0,-1 0 0,1 1 0,0-1 0,0 1 0,-1-1 0,1 1 0,0-1 0,0 1 0,0 0 0,1 0 0,-1 0 0,0 1 0,0-1 0,0 1 0,0 0 0,0 0 0,0-1 0,0 1 0,-1 1 0,1-1 0,0 0 0,-1 0 0,1 1 0,-1-1 0,1 0 0,-1 1 0,0 0 0,3 2 0,-3-2 0,0 0 0,0-1 0,0 1 0,-1-1 0,1 1 0,0 0 0,-1 0 0,1 0 0,-1-1 0,1 1 0,-1 0 0,0 0 0,0 0 0,0 0 0,0 0 0,0-1 0,0 1 0,0 0 0,-1 0 0,1 0 0,-1 0 0,1-1 0,-1 1 0,0 0 0,0-1 0,0 1 0,0 0 0,0-1 0,0 1 0,0-1 0,0 1 0,0-1 0,-1 0 0,1 0 0,-1 1 0,1-1 0,-1 0 0,1 0 0,-1 0 0,-3 1 0,4-3 0,6-4 0,12-6 0,20-1 0,11-3 0,-45 13 0,0 1 0,-1 0 0,1-1 0,-1 1 0,1-1 0,-1 0 0,0 0 0,0 0 0,0 0 0,0 0 0,0 0 0,0-1 0,0 1 0,1-4 0,-3 6 0,1-1 0,-1 1 0,0-1 0,1 1 0,-1-1 0,0 1 0,1-1 0,-1 0 0,0 1 0,0-1 0,0 1 0,1-1 0,-1 0 0,0 1 0,0-1 0,0 0 0,0 1 0,0-1 0,0 0 0,0 1 0,0-1 0,-1 0 0,1 1 0,0-1 0,0 0 0,0 1 0,-1-1 0,1 1 0,0-1 0,-1 1 0,1-1 0,-1 0 0,1 1 0,0-1 0,-1 1 0,1 0 0,-1-1 0,1 1 0,-1-1 0,1 1 0,-1 0 0,0-1 0,1 1 0,-1 0 0,1 0 0,-1-1 0,-1 1 0,1 0 0,-1 0 0,1 0 0,-1 0 0,1 0 0,-1 0 0,0 0 0,1 1 0,-1-1 0,1 0 0,-1 1 0,1-1 0,-1 1 0,1 0 0,0 0 0,-1-1 0,1 1 0,0 0 0,-1 0 0,-1 2 0,1 1 0,-1 0 0,0 0 0,1 0 0,0 0 0,0 1 0,0-1 0,-1 8 0,2-11 0,1 1 0,0-1 0,0 0 0,0 1 0,0-1 0,-1 1 0,2-1 0,-1 0 0,0 1 0,0-1 0,0 0 0,1 1 0,0 1 0,-1-2 0,1-1 0,-1 1 0,1-1 0,-1 1 0,1-1 0,-1 1 0,1-1 0,0 1 0,-1-1 0,1 1 0,0-1 0,-1 0 0,1 1 0,0-1 0,-1 0 0,1 0 0,0 0 0,0 1 0,-1-1 0,1 0 0,0 0 0,0 0 0,-1 0 0,1 0 0,0-1 0,1 1 0,-1 0 0,0-1 0,0 1 0,0 0 0,0-1 0,0 1 0,0-1 0,0 1 0,0-1 0,0 0 0,0 1 0,0-1 0,-1 0 0,1 0 0,0 1 0,0-1 0,-1 0 0,1 0 0,0 0 0,-1 0 0,1-2 0,10-27 0,-4 9 0,-7 20 0,0 0 0,1 1 0,-1-1 0,1 0 0,-1 0 0,0 0 0,1 1 0,-1-1 0,1 0 0,0 1 0,-1-1 0,1 0 0,-1 1 0,1-1 0,0 1 0,0-1 0,-1 1 0,1-1 0,0 1 0,0-1 0,0 1 0,-1 0 0,1 0 0,0-1 0,0 1 0,0 0 0,1 0 0,-1 0 0,0 1 0,0-1 0,1 1 0,-1 0 0,0-1 0,0 1 0,0 0 0,0 0 0,0 0 0,0 0 0,-1 0 0,1 0 0,0 0 0,0 0 0,-1 0 0,2 2 0,3 8 0,0 0 0,7 23 0,-11-30 0,1 17 0,-3-11 0,1-10 0,0 0 0,0 0 0,0 0 0,0 0 0,0 0 0,0 0 0,0 0 0,-1 0 0,1 0 0,0 0 0,0 0 0,0 0 0,0 0 0,0 0 0,0 0 0,0 0 0,-1 0 0,1 0 0,0 0 0,0 0 0,0 0 0,0 0 0,0 0 0,0 0 0,0 0 0,-1 0 0,1 0 0,0 0 0,0 0 0,0 0 0,0 0 0,0 0 0,0 0 0,0 0 0,0 0 0,-1-1 0,1 1 0,0 0 0,0 0 0,0 0 0,0 0 0,0 0 0,0 0 0,0 0 0,0 0 0,0-1 0,0 1 0,0 0 0,0 0 0,0 0 0,0 0 0,0 0 0,0 0 0,0-1 0,0 1 0,-2-3 0,1-1 0,0 1 0,-1-1 0,1 1 0,1-1 0,-1 0 0,0 1 0,1-1 0,0 0 0,0 0 0,0 1 0,0-1 0,1 0 0,0 1 0,-1-1 0,1 0 0,0 1 0,1-1 0,1-3 0,1-3 0,1 0 0,0 1 0,1 0 0,-1 0 0,12-12 0,-10 14 0,0 1 0,0-1 0,1 2 0,-1-1 0,2 1 0,-1 0 0,0 1 0,13-5 0,-6 2 0,-15 7 0,1 0 0,-1 0 0,0 1 0,1-1 0,-1 0 0,0 0 0,0 0 0,1 1 0,-1-1 0,0 0 0,0 0 0,1 1 0,-1-1 0,0 0 0,0 1 0,0-1 0,0 0 0,1 1 0,-1-1 0,0 0 0,0 1 0,0-1 0,0 0 0,0 1 0,0-1 0,0 0 0,0 1 0,0-1 0,0 0 0,0 1 0,0-1 0,0 0 0,0 1 0,0-1 0,0 0 0,0 1 0,-1 0 0,-1 20 0,2-17 0,-4 85 100,-1 14-1565,3-91-5361</inkml:trace>
  <inkml:trace contextRef="#ctx0" brushRef="#br0" timeOffset="10178.04">3367 780 24575,'0'-2'0,"2"0"0,3 0 0,2-1 0,3 0 0,3 0 0,2 1 0,0 1 0,-2 0-8191</inkml:trace>
  <inkml:trace contextRef="#ctx0" brushRef="#br0" timeOffset="10531.84">2432 1073 24575,'112'-6'0,"152"-26"0,-157 17 0,251-29 0,-344 40-63,-20 3 214,-23 0-1464,28 1 1173,-23 1-6686</inkml:trace>
  <inkml:trace contextRef="#ctx0" brushRef="#br0" timeOffset="10845.99">2570 1091 24575,'-11'8'-1196,"11"-8"1194,0 0 1,0 0-1,0 0 0,0 0 0,0 1 0,0-1 0,0 0 1,0 0-1,0 0 0,0 0 0,0 0 0,0 0 0,0 0 1,0 0-1,0 0 0,0 0 0,0 0 0,0 0 1,0 1-1,0-1 0,0 0 0,0 0 0,0 0 0,0 0 1,0 0-1,0 0 0,0 0 0,0 0 0,0 0 0,0 0 1,0 0-1,0 0 0,0 1 0,0-1 0,0 0 0,0 0 1,0 0-1,0 0 0,0 0 0,0 0 0,1 0 0,-1 0 1,0 0-1,0 0 0,0 0 0,0 0 0,0 0 0,0 0 1,0 0-1,0 0 0,0 0 0,0 0 0,0 0 0,1 0 1,-1 0-1,0 0 0,0 0 0,0 0 0,0 0 0,0 0 1,25-3 813,-11 1-1023,735-53 917,-726 54-706,-14 2 0,1-1 0,-1-1 0,0 0 0,0 0 0,0-1 0,0 0 0,13-5 0,-15 1-1365,-7-1-5461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49:43.86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23 184 24575,'-1'-59'0,"35"468"0,-36-398 0,-1-23 0,-4-25 0,-3-23 0,-17-120 0,23 137 0,2-1 0,3-48 0,0 84 0,-1 1 0,1-1 0,1 1 0,-1 0 0,4-8 0,-5 14 0,1 0 0,-1 0 0,0 0 0,1 0 0,-1 0 0,1 0 0,-1 0 0,1 1 0,-1-1 0,1 0 0,0 0 0,-1 1 0,1-1 0,0 0 0,0 1 0,0-1 0,-1 1 0,1-1 0,0 1 0,0-1 0,0 1 0,0-1 0,0 1 0,0 0 0,0 0 0,0-1 0,0 1 0,0 0 0,0 0 0,0 0 0,0 0 0,0 0 0,0 0 0,0 1 0,0-1 0,0 0 0,-1 0 0,1 1 0,0-1 0,0 1 0,0-1 0,0 0 0,0 1 0,0 0 0,-1-1 0,1 1 0,1 0 0,2 3 0,1 0 0,-1 1 0,0-1 0,0 1 0,0-1 0,0 1 0,-1 0 0,0 1 0,0-1 0,0 1 0,-1-1 0,0 1 0,2 6 0,-2-3 0,1 0 0,-2 1 0,1-1 0,-1 0 0,-1 1 0,1-1 0,-3 18 0,1-22-114,0 1 1,-1 0-1,1 0 0,-1-1 0,0 1 1,-1-1-1,1 1 0,-1-1 0,0 0 1,0 0-1,-8 8 0,4-7-6712</inkml:trace>
  <inkml:trace contextRef="#ctx0" brushRef="#br0" timeOffset="260.83">238 271 24575,'-1'0'0,"0"2"0,0 2 0,0 4 0,2 4 0,1 4 0,0 1 0,-1 3 0,2 0 0,0-1 0,-1-2 0,0-3 0,-1-2 0,2-3 0</inkml:trace>
  <inkml:trace contextRef="#ctx0" brushRef="#br0" timeOffset="575.16">242 101 24575,'0'0'0,"0"0"0,-1 0 0,1 0 0,-1 1 0,1-1 0,-1 0 0,1 0 0,-1 0 0,1 0 0,0 0 0,-1 0 0,1 1 0,-1-1 0,1 0 0,0 0 0,-1 0 0,1 1 0,0-1 0,-1 0 0,1 1 0,0-1 0,-1 0 0,1 1 0,0-1 0,0 0 0,-1 1 0,1-1 0,0 1 0,0-1 0,0 0 0,0 1 0,-1-1 0,1 1 0,0-1 0,0 1 0,0-1 0,0 1 0,0-1 0,0 0 0,0 1 0,0-1 0,0 1 0,0-1 0,1 1 0,-1-1 0,0 0 0,0 2 0,1-1 0,-1 0 0,1 0 0,-1 1 0,1-1 0,-1 0 0,1 0 0,0 0 0,-1 0 0,1 0 0,0 0 0,0 0 0,0 0 0,0 0 0,0 0 0,0 0 0,1 0 0,0 0 0,-1-1 0,0 1 0,0-1 0,1 1 0,-1-1 0,0 0 0,0 0 0,1 1 0,-1-1 0,0 0 0,1 0 0,-1 0 0,0 0 0,1-1 0,-1 1 0,0 0 0,0-1 0,1 1 0,-1 0 0,0-1 0,0 0 0,0 1 0,1-1 0,-1 0 0,0 1 0,0-1 0,0 0 0,0 0 0,0 0 0,0 0 0,-1 0 0,1 0 0,0 0 0,0 0 0,-1 0 0,1 0 0,-1-1 0,1 1 0,-1 0 0,1 0 0,-1-1 0,0 1 0,0 0 0,1-1 0,-1 0 0,0 0 0,0 0 0,1 0 0,-1 0 0,0 1 0,0-1 0,-1 0 0,1 0 0,0 0 0,0 1 0,-1-1 0,1 0 0,-1 1 0,0-1 0,1 0 0,-1 1 0,0-1 0,0 0 0,0 1 0,0 0 0,0-1 0,-1 1 0,1-1 0,0 1 0,0 0 0,-1 0 0,1 0 0,-1 0 0,1 0 0,-1 0 0,0 0 0,1 1 0,-4-2 0,3 2 0,1 0 0,0 0 0,-1 0 0,1 0 0,-1 1 0,1-1 0,0 0 0,0 1 0,-1-1 0,1 1 0,0-1 0,0 1 0,-1 0 0,1-1 0,0 1 0,0 0 0,0 0 0,0 0 0,0 0 0,0 0 0,0 0 0,1 0 0,-1 0 0,0 0 0,1 1 0,-1-1 0,0 0 0,1 0 0,-1 1 0,1-1 0,0 0 0,-1 2 0,0 2 0,-1 1 0,1-1 0,0 0 0,0 1 0,1-1 0,0 10 0,1-9-273,0 0 0,0 0 0,1 0 0,2 8 0,3 1-6553</inkml:trace>
  <inkml:trace contextRef="#ctx0" brushRef="#br0" timeOffset="981.97">389 294 24575,'1'-14'0,"1"16"0,4 26 0,-2-9 0,-1-13 0,-1 0 0,1 0 0,0 0 0,4 6 0,-6-11 0,0 1 0,0 0 0,0-1 0,0 1 0,1-1 0,-1 0 0,1 1 0,-1-1 0,1 0 0,0 0 0,-1 0 0,1 0 0,0 0 0,0 0 0,-1 0 0,1-1 0,3 2 0,-4-3 0,0 1 0,0 0 0,0 0 0,0-1 0,-1 1 0,1 0 0,0-1 0,0 1 0,0-1 0,-1 1 0,1-1 0,0 1 0,0-1 0,-1 0 0,1 1 0,0-1 0,-1 0 0,1 1 0,-1-1 0,1 0 0,-1 0 0,0 0 0,1 1 0,-1-1 0,0 0 0,1 0 0,-1 0 0,0 0 0,0 0 0,0 0 0,0 0 0,0 0 0,0 1 0,0-3 0,0-34 0,0 35 0,-1-5-120,1-36-1125,1 36-5581</inkml:trace>
  <inkml:trace contextRef="#ctx0" brushRef="#br0" timeOffset="1320.04">554 230 24575,'-1'0'0,"0"1"0,1-1 0,-1 1 0,0-1 0,0 1 0,1 0 0,-1-1 0,0 1 0,1 0 0,-1-1 0,1 1 0,-1 0 0,1 0 0,-1 0 0,1 0 0,-1-1 0,1 1 0,0 0 0,-1 0 0,1 0 0,0 0 0,0 1 0,-6 24 0,6-24 0,-1 5 0,0 0 0,1 0 0,0 0 0,0 0 0,0 0 0,2 9 0,-1-14 0,-1-1 0,0 0 0,1 0 0,-1 1 0,1-1 0,-1 0 0,1 0 0,-1 0 0,1 0 0,0 0 0,0 0 0,-1 0 0,1 0 0,0 0 0,0 0 0,0 0 0,2 1 0,-2-2 0,0 1 0,1-1 0,-1 0 0,0 0 0,1 0 0,-1 0 0,0 0 0,1 0 0,-1 0 0,0 0 0,0 0 0,1-1 0,-1 1 0,0 0 0,0-1 0,1 1 0,-1-1 0,0 0 0,0 1 0,0-1 0,2-1 0,-1 0 0,1-1 0,-1 0 0,1 1 0,-1-1 0,0 0 0,0 0 0,-1 0 0,1-1 0,-1 1 0,1 0 0,-1 0 0,0-1 0,0 1 0,-1-1 0,1 1 0,-1-1 0,1 1 0,-1-5 0,0 5 0,0-1 0,0 1 0,-1 0 0,1-1 0,-1 1 0,0 0 0,0 0 0,0-1 0,-1-2 0,1 4 0,0 1 0,0 0 0,1-1 0,-1 1 0,0 0 0,0 0 0,0 0 0,-1 0 0,1 0 0,0 0 0,0 0 0,0 0 0,-1 0 0,1 0 0,-1 1 0,1-1 0,0 0 0,-1 1 0,-2-1 0,-14 5 120,18-4-155,0 0-1,-1 1 1,1-1 0,0 0-1,-1 0 1,1 0-1,-1 1 1,1-1 0,0 0-1,-1 0 1,1 1 0,0-1-1,0 0 1,-1 0 0,1 1-1,0-1 1,0 0 0,-1 1-1,1-1 1,0 1-1,0-1 1,0 0 0,0 1-1,0-1 1,0 0 0,-1 1-1,1-1 1,0 1 0,0-1-1,0 0 1,0 1 0,0-1-1,0 1 1,1-1-1,-1 0 1,0 1 0,0-1-1,0 1 1,0-1 0,0 0-1,1 1 1</inkml:trace>
  <inkml:trace contextRef="#ctx0" brushRef="#br0" timeOffset="1822.84">728 1 24575,'0'3'0,"-1"1"0,1-1 0,0 1 0,0-1 0,0 1 0,1 0 0,0 3 0,9 42 0,24 73 0,2 8 0,-35-116 0,-1-14 0,0 0 0,0 0 0,0 0 0,-1 0 0,1 0 0,0 0 0,0 0 0,0 0 0,0 0 0,0 1 0,-1-1 0,1 0 0,0 0 0,0 0 0,0 0 0,0 0 0,-1 0 0,1 0 0,0 0 0,0 0 0,0 0 0,0 0 0,0-1 0,-1 1 0,1 0 0,0 0 0,0 0 0,0 0 0,0 0 0,0 0 0,-1 0 0,1 0 0,0 0 0,0 0 0,0-1 0,0 1 0,0 0 0,0 0 0,0 0 0,-1 0 0,-14-21 0,11 13 0,1 1 0,0-1 0,0 1 0,0-1 0,1 0 0,-2-10 0,4 15 0,0 0 0,-1 0 0,1 0 0,0 0 0,1 0 0,-1-1 0,1 1 0,-1 0 0,1 0 0,0 0 0,0 1 0,0-1 0,0 0 0,1 0 0,-1 0 0,1 1 0,0-1 0,-1 1 0,5-5 0,-2 4 0,-1-1 0,1 1 0,0-1 0,1 1 0,-1 0 0,0 0 0,6-2 0,-9 5 0,1 0 0,-1-1 0,0 1 0,0 0 0,0 0 0,0 0 0,0 0 0,0 0 0,0 0 0,1 0 0,-1 0 0,0 0 0,0 1 0,0-1 0,0 0 0,0 1 0,0-1 0,0 1 0,0-1 0,0 1 0,0 0 0,0-1 0,0 1 0,-1 0 0,1-1 0,0 1 0,0 0 0,-1 0 0,1 0 0,0 0 0,-1 0 0,1 0 0,-1 0 0,1 0 0,-1 0 0,0 0 0,1 0 0,-1 2 0,4 10 0,0-1 0,2 20 0,-5-23 0,1 1 0,0-1 0,0 0 0,1 0 0,0 0 0,6 11 0,-7-19-1365</inkml:trace>
  <inkml:trace contextRef="#ctx0" brushRef="#br0" timeOffset="1963.2">884 42 24575,'0'1'0,"1"0"0,0 2 0</inkml:trace>
  <inkml:trace contextRef="#ctx0" brushRef="#br0" timeOffset="2428.75">930 193 24575,'0'-1'0,"0"0"0,0 0 0,0-1 0,0 1 0,0 0 0,0 0 0,0 0 0,1 0 0,-1-1 0,0 1 0,1 0 0,-1 0 0,1 0 0,-1 0 0,1 0 0,0 0 0,1-2 0,-1 3 0,-1-1 0,1 1 0,0 0 0,0-1 0,-1 1 0,1 0 0,0-1 0,0 1 0,0 0 0,-1 0 0,1 0 0,0 0 0,0 0 0,0 0 0,0 0 0,-1 0 0,1 0 0,0 0 0,1 1 0,1-1 0,0 2 0,0-1 0,0 0 0,0 1 0,0-1 0,-1 1 0,1 0 0,0 0 0,-1 0 0,0 0 0,4 4 0,0 2 0,-1-1 0,0 1 0,-1 0 0,7 17 0,-10-23 0,0 1 0,0 0 0,0-1 0,0 1 0,0 0 0,-1 0 0,1-1 0,-1 1 0,0 0 0,0 0 0,0 0 0,0-1 0,0 1 0,-1 0 0,1 0 0,-1 0 0,0-1 0,0 1 0,0 0 0,-1 2 0,1-5 0,1 0 0,0 1 0,0-1 0,0 0 0,0 0 0,0 0 0,0 1 0,0-1 0,-1 0 0,1 0 0,0 0 0,0 0 0,0 0 0,0 0 0,0 1 0,-1-1 0,1 0 0,0 0 0,0 0 0,0 0 0,-1 0 0,1 0 0,0 0 0,0 0 0,0 0 0,-1 0 0,1 0 0,0 0 0,0 0 0,0 0 0,-1 0 0,1 0 0,0 0 0,0 0 0,0 0 0,-1 0 0,1 0 0,0 0 0,0 0 0,0-1 0,-1 1 0,-3-10 0,0-13 0,3 10 0,2 0 0,-1 0 0,4-12 0,-4 20 0,1 0 0,0 0 0,1 1 0,-1-1 0,1 0 0,0 1 0,0 0 0,0-1 0,1 1 0,-1 0 0,4-4 0,-5 7 0,-1 1 0,1-1 0,-1 1 0,1-1 0,-1 1 0,1-1 0,0 1 0,-1-1 0,1 1 0,0 0 0,-1-1 0,1 1 0,0 0 0,-1-1 0,1 1 0,0 0 0,0 0 0,-1 0 0,1 0 0,0 0 0,0 0 0,-1 0 0,1 0 0,0 0 0,1 0 0,-1 1 0,0-1 0,0 1 0,0 0 0,0 0 0,0-1 0,0 1 0,0 0 0,0 0 0,0 0 0,-1 0 0,1 0 0,0 0 0,1 3 0,2 5 0,0 0 0,-1 1 0,3 12 0,-2-10 0,-4-9-151,1-1-1,0 0 0,0 0 0,0 0 1,1 0-1,-1 0 0,0 0 1,3 3-1,4 2-6674</inkml:trace>
  <inkml:trace contextRef="#ctx0" brushRef="#br0" timeOffset="2923.89">1264 143 24575,'0'-13'-5875,"-3"-7"5746,3 20 244,0-1 0,0 1 1,-1-1-1,1 1 1,0-1-1,0 1 1,-1 0-1,1-1 1,0 1-1,0-1 0,-1 1 1,1 0-1,0-1 1,-1 1-1,1 0 1,-1-1-1,1 1 0,0 0 1,-1-1-1,1 1 1,-1 0-1,0 0 1,0 0-91,0 0 1,0 0 0,1 0 0,-1 0 0,0 0 0,0 1-1,0-1 1,0 0 0,1 1 0,-1-1 0,0 1-1,0-1 1,1 1 0,-1-1 0,0 1 0,1-1-1,-1 1 1,0 0 0,-3 3 319,1 1 0,0-1 0,0 0 1,1 1-1,-1 0 0,1-1 0,0 1 0,-3 10 0,5-13-382,-1 0-1,1 0 1,0 0-1,-1 1 1,1-1-1,0 0 0,0 0 1,0 0-1,1 1 1,0 3-1,-1-6 45,1 1 0,-1 0-1,1 0 1,-1 0 0,1 0-1,-1 0 1,1 0-1,-1-1 1,1 1 0,0 0-1,-1-1 1,1 1 0,0 0-1,0-1 1,0 1 0,0-1-1,-1 1 1,1-1-1,0 1 1,0-1 0,0 0-1,0 0 1,0 1 0,1-1-1,-1 0-6,1 0 0,-1 0 0,0 0 0,0 0 0,0 0 0,0 0 0,0 0 0,1 0 0,-1 0 0,0-1 0,0 1 0,0 0 0,0-1 0,0 1 0,0-1 0,0 0 0,0 1 0,0-1 0,0 1 0,0-1 0,-1 0 0,1 0 0,0 0 0,0 0 0,-1 1 0,1-1 0,0 0 0,-1 0 0,1 0 0,0-2 0,7-29 0,-8 29 0,1 4 0,6 36 0,3-1 0,15 41 0,-13-45 0,-2 0 0,12 68 0,-21-98 0,-1 0 0,0 1 0,0-1 0,0 0 0,0 0 0,0 0 0,0 0 0,0 1 0,-1-1 0,1 0 0,-1 0 0,0 0 0,1 0 0,-1 0 0,0 0 0,0 0 0,0 0 0,-2 1 0,2-2 0,0 0 0,-1 0 0,1 0 0,0-1 0,-1 1 0,1 0 0,0-1 0,-1 0 0,1 1 0,-1-1 0,1 0 0,-1 1 0,1-1 0,-1 0 0,1 0 0,-1 0 0,1 0 0,-1-1 0,1 1 0,-1 0 0,1-1 0,0 1 0,-1-1 0,1 1 0,-1-1 0,-1-1 0,-4-1-195,0-1 0,1 0 0,-1-1 0,1 0 0,0 0 0,-10-11 0,0-2-6631</inkml:trace>
  <inkml:trace contextRef="#ctx0" brushRef="#br0" timeOffset="3622.18">270 587 24575,'-7'1'0,"1"0"0,0 1 0,-1-1 0,1 1 0,0 1 0,0-1 0,0 1 0,0 0 0,0 0 0,-10 9 0,16-12 0,0-1 0,0 1 0,0 0 0,0 0 0,0 0 0,0 0 0,0 0 0,0 0 0,1 0 0,-1 0 0,0 0 0,0 0 0,0 0 0,0 0 0,0 0 0,0 0 0,0 0 0,0 0 0,0 0 0,0 0 0,0 0 0,0 0 0,0 0 0,1 0 0,-1 0 0,0 0 0,0 0 0,0 0 0,0 0 0,0 1 0,0-1 0,0 0 0,0 0 0,0 0 0,0 0 0,0 0 0,0 0 0,0 0 0,0 0 0,0 0 0,0 0 0,0 0 0,0 0 0,0 0 0,0 0 0,0 0 0,0 0 0,0 1 0,0-1 0,0 0 0,0 0 0,0 0 0,0 0 0,0 0 0,0 0 0,0 0 0,0 0 0,0 0 0,0 0 0,0 0 0,0 0 0,0 0 0,0 1 0,12-3 0,15-4 0,277-89 0,31-9 0,8 24 0,-283 70 0,-107 31-1365,29-14-5461</inkml:trace>
  <inkml:trace contextRef="#ctx0" brushRef="#br0" timeOffset="4031.81">288 793 24575,'0'4'0,"8"-6"0,11-7 0,103-47 0,203-64 0,139 1 0,-448 116-78,-10 2-106,-1 0 0,1 0 0,-1-1 0,1 1 1,-1-1-1,5-3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51:19.13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8 216 24575,'2'30'0,"2"1"0,1-1 0,1 1 0,13 34 0,1 10 0,0 13 0,-20-89 0,0 1 0,0 0 0,-1 0 0,1 0 0,0 0 0,0 0 0,0 0 0,0 0 0,0 0 0,0 0 0,0 0 0,0 0 0,0 0 0,0 0 0,0 0 0,0 0 0,0 0 0,0 0 0,-1 0 0,1 0 0,0 0 0,0 0 0,0 0 0,0 0 0,0 1 0,0-1 0,0 0 0,0 0 0,0 0 0,0 0 0,0 0 0,0 0 0,0 0 0,0 0 0,0 0 0,0 0 0,0 0 0,0 0 0,0 0 0,0 0 0,0 0 0,0 0 0,0 0 0,0 0 0,0 1 0,0-1 0,0 0 0,0 0 0,0 0 0,0 0 0,0 0 0,0 0 0,0 0 0,0 0 0,0 0 0,0 0 0,0 0 0,0 0 0,0 0 0,0 0 0,0 0 0,0 1 0,0-1 0,-6-7 0,-5-12 0,-3-15 0,3-1 0,0-1 0,3 0 0,1 0 0,-5-70 0,10 82 0,2-35 0,0 53 0,1 0 0,0 0 0,0 0 0,0 0 0,1 0 0,0 0 0,0 0 0,0 0 0,1 1 0,6-11 0,-9 15 0,1 0 0,-1 0 0,1 0 0,0 0 0,0 0 0,-1 0 0,1 0 0,0 0 0,0 1 0,0-1 0,0 0 0,0 1 0,-1-1 0,1 0 0,1 1 0,-1-1 0,0 1 0,0 0 0,0-1 0,0 1 0,0 0 0,0 0 0,0 0 0,0-1 0,1 1 0,-1 0 0,0 1 0,0-1 0,0 0 0,0 0 0,0 0 0,1 1 0,-1-1 0,0 0 0,0 1 0,0-1 0,0 1 0,0 0 0,0-1 0,0 1 0,0 0 0,-1-1 0,1 1 0,1 1 0,1 1 0,-1 1 0,1-1 0,-1 0 0,0 1 0,0 0 0,0 0 0,0-1 0,-1 1 0,1 0 0,-1 0 0,1 5 0,-2 2 0,1 0 0,-2 0 0,1 0 0,-2 0 0,1 0 0,-2 0 0,1 0 0,-2 0 0,1-1 0,-1 1 0,-1-1 0,0 0 0,0-1 0,-9 12 0,9-12-1365</inkml:trace>
  <inkml:trace contextRef="#ctx0" brushRef="#br0" timeOffset="262.81">201 330 24575,'0'3'0,"0"4"0,1 4 0,1 4 0,0 3 0,1 1 0,0 0 0,2-1 0,-1-2 0,-1-2 0,1-3 0,-1-5-8191</inkml:trace>
  <inkml:trace contextRef="#ctx0" brushRef="#br0" timeOffset="591.7">205 152 24575,'0'-1'0,"0"1"0,0 0 0,-1 0 0,1 0 0,0 0 0,0 0 0,0 0 0,-1 0 0,1 0 0,0 0 0,0 0 0,-1 0 0,1 0 0,0 1 0,0-1 0,0 0 0,-1 0 0,1 0 0,0 0 0,0 0 0,0 0 0,0 0 0,-1 0 0,1 1 0,0-1 0,0 0 0,0 0 0,0 0 0,-1 0 0,1 1 0,0-1 0,0 0 0,0 0 0,0 0 0,0 1 0,0-1 0,0 0 0,0 0 0,0 0 0,0 1 0,0-1 0,0 0 0,0 0 0,0 1 0,0-1 0,0 0 0,0 0 0,0 0 0,0 1 0,0-1 0,0 0 0,0 1 0,0 0 0,0-1 0,0 1 0,0 0 0,0-1 0,0 1 0,0 0 0,0-1 0,1 1 0,-1 0 0,0-1 0,0 1 0,1 0 0,-1-1 0,0 1 0,1-1 0,-1 1 0,0 0 0,1-1 0,-1 1 0,1-1 0,-1 1 0,1-1 0,-1 0 0,2 1 0,-2 0 0,1-1 0,0 1 0,-1-1 0,1 1 0,0-1 0,-1 0 0,1 1 0,0-1 0,0 0 0,-1 0 0,1 0 0,0 1 0,0-1 0,-1 0 0,1 0 0,0 0 0,0 0 0,0 0 0,-1 0 0,1 0 0,0-1 0,0 1 0,0 0 0,-1 0 0,1-1 0,0 1 0,-1 0 0,1-1 0,0 1 0,0-1 0,-1 1 0,1-1 0,-1 1 0,2-2 0,-1 1 0,-1-1 0,1 1 0,-1-1 0,1 1 0,-1-1 0,0 0 0,1 1 0,-1-1 0,0 1 0,0-1 0,0 0 0,0 1 0,-1-1 0,1 0 0,-1-2 0,1 2 0,-1 0 0,0 1 0,1-1 0,-1 0 0,0 0 0,0 1 0,0-1 0,0 0 0,0 1 0,0-1 0,0 1 0,-1-1 0,1 1 0,-2-2 0,2 3 0,0-1 0,1 1 0,-1 0 0,0-1 0,0 1 0,0 0 0,0-1 0,0 1 0,0 0 0,0 0 0,0 0 0,0 0 0,1 0 0,-1 0 0,0 0 0,0 0 0,0 1 0,0-1 0,0 0 0,0 0 0,0 1 0,1-1 0,-1 1 0,0-1 0,0 1 0,0-1 0,1 1 0,-1-1 0,0 1 0,0-1 0,0 2 0,-1 0 7,1 0-1,-1 0 0,0 0 0,1 1 1,0-1-1,0 0 0,0 1 1,0-1-1,0 1 0,0-1 1,0 1-1,1-1 0,-1 1 0,1-1 1,0 1-1,0 0 0,0-1 1,0 5-1,1 1-254,1-1 1,-1 1-1,1-1 1,0 1-1,4 7 1,1 1-6579</inkml:trace>
  <inkml:trace contextRef="#ctx0" brushRef="#br0" timeOffset="1008.95">329 326 24575,'22'54'0,"-18"-45"0,-3-5 0,0-1 0,0 0 0,1 1 0,-1-1 0,1 0 0,0 0 0,0 0 0,0 0 0,4 3 0,-6-5 0,0-1 0,0 0 0,0 0 0,0 0 0,0 0 0,1 0 0,-1 0 0,0 0 0,0 0 0,0 0 0,0 0 0,0 0 0,1 0 0,-1 0 0,0 0 0,0 0 0,0 0 0,0 0 0,0 0 0,0 0 0,1 0 0,-1 0 0,0 0 0,0 0 0,0 0 0,0 0 0,0 0 0,1 0 0,-1 0 0,0 0 0,0 0 0,0-1 0,0 1 0,0 0 0,0 0 0,0 0 0,0 0 0,1 0 0,-1 0 0,0 0 0,0-1 0,0 1 0,0 0 0,0 0 0,0 0 0,0 0 0,3-12 0,-1-10 0,-2 22 0,-1-25 0,0 20 0,0-1 0,1 1 0,0-1 0,0 1 0,1-1 0,-1 1 0,1-1 0,3-8 0,-3 14-55,0 1 0,-1-1-1,1 0 1,0 1 0,0-1-1,0 1 1,-1-1 0,1 1-1,0-1 1,0 1 0,-1-1-1,1 1 1,0 0 0,-1-1 0,1 1-1,-1 0 1,1 1 0,0-2-315,6 10-6456</inkml:trace>
  <inkml:trace contextRef="#ctx0" brushRef="#br0" timeOffset="1396.92">489 326 24575,'-8'-10'0,"4"13"0,3-1 0,1 1 0,0-1 0,-1 0 0,1 1 0,0-1 0,0 1 0,0-1 0,1 3 0,-1-4 0,0 1 0,1-1 0,-1 0 0,0 0 0,0 0 0,1 0 0,-1 0 0,1 0 0,-1 0 0,1 0 0,-1 0 0,1 0 0,0 0 0,0 0 0,-1 0 0,1 0 0,0 0 0,0 0 0,0-1 0,0 1 0,0 0 0,0-1 0,0 1 0,0-1 0,0 1 0,0-1 0,0 1 0,0-1 0,0 0 0,1 0 0,-1 0 0,0 1 0,0-1 0,0 0 0,1 0 0,-1 0 0,0-1 0,0 1 0,0 0 0,0 0 0,0-1 0,2 0 0,0 1 0,-1-1 0,1-1 0,0 1 0,-1 0 0,1-1 0,-1 1 0,1-1 0,-1 1 0,0-1 0,0 0 0,1 0 0,-2 0 0,1-1 0,0 1 0,0 0 0,1-4 0,-2 4 0,0 1 0,0-1 0,-1 1 0,1-1 0,-1 0 0,1 1 0,-1-1 0,0 0 0,0 1 0,0-1 0,0 0 0,0 0 0,0 1 0,0-1 0,0 0 0,-1 1 0,1-1 0,-1 0 0,1 1 0,-1-1 0,1 1 0,-1-1 0,0 1 0,0-1 0,0 1 0,0 0 0,0-1 0,0 1 0,0 0 0,-2-2 0,2 3 0,-1-1 0,1 0 0,-1 0 0,0 1 0,1-1 0,-1 1 0,1 0 0,-1-1 0,0 1 0,1 0 0,-1 0 0,0 0 0,1 0 0,-1 0 0,0 0 0,1 1 0,-1-1 0,0 1 0,1-1 0,-1 1 0,1-1 0,-1 1 0,0 0 0,1 0 0,0 0 0,-1 0 0,1 0 0,0 0 0,-1 0 0,0 2 0,-16 21 120,14-10-321,4-14 161,0 1 0,0-1 0,0 1-1,0-1 1,0 0 0,0 1 0,0-1 0,0 0 0,1 1 0,-1-1 0,0 0-1,0 1 1,1-1 0,-1 0 0,0 1 0,0-1 0,1 0 0,-1 0 0,0 0-1,1 1 1,-1-1 0,0 0 0,1 0 0,-1 0 0,0 1 0,1-1 0,-1 0-1,0 0 1,1 0 0,-1 0 0,1 0 0,5 1-6786</inkml:trace>
  <inkml:trace contextRef="#ctx0" brushRef="#br0" timeOffset="1669.7">631 0 24575,'1'19'0,"1"0"0,0 0 0,1-1 0,7 20 0,26 72 0,-28-88 0,21 46 0,6 20 0,-34-71-76,-1-17 82,0 0 0,-1 0 0,1 0 0,0 1 0,0-1 0,0 0-1,0 0 1,-1 0 0,1 1 0,0-1 0,0 0 0,-1 0 0,1 0 0,0 0 0,0 0 0,-1 0 0,1 1 0,0-1 0,0 0 0,-1 0-1,1 0 1,0 0 0,-1 0 0,1 0 0,0 0 0,0 0 0,-1 0 0,1 0 0,0 0 0,-1-1 0,1 1 0,-3-1-191,0 0 0,0 0 0,0-1 0,1 0 0,-1 1 1,0-1-1,-2-3 0,-10-8-6641</inkml:trace>
  <inkml:trace contextRef="#ctx0" brushRef="#br0" timeOffset="1969.89">645 275 24575,'1'-4'0,"-1"0"0,1-1 0,0 1 0,1 0 0,-1 0 0,1 0 0,0 0 0,-1 0 0,2 0 0,-1 0 0,0 1 0,1-1 0,0 1 0,0 0 0,5-5 0,1-1 0,0 2 0,1 0 0,-1 0 0,18-9 0,-25 15 0,-1 1 0,1-1 0,-1 0 0,1 1 0,0 0 0,-1-1 0,1 1 0,0 0 0,-1 0 0,1 0 0,0 0 0,-1 0 0,1 0 0,0 1 0,-1-1 0,1 0 0,0 1 0,-1-1 0,1 1 0,-1 0 0,1 0 0,-1-1 0,1 1 0,-1 0 0,0 0 0,1 0 0,-1 0 0,0 1 0,0-1 0,0 0 0,0 1 0,0-1 0,2 3 0,3 5 0,-1 1 0,1 0 0,7 21 0,-9-19 0,6 15 0,-8-19 0,0-1 0,1 0 0,0 0 0,0 0 0,1 0 0,4 6 0,-8-18-1365,-1-3-5461</inkml:trace>
  <inkml:trace contextRef="#ctx0" brushRef="#br0" timeOffset="2093.67">814 5 24575,'3'2'0,"0"1"0</inkml:trace>
  <inkml:trace contextRef="#ctx0" brushRef="#br0" timeOffset="2683.06">911 193 24575,'-8'-28'0,"7"26"0,1 1 0,0 0 0,0 0 0,0-1 0,0 1 0,0 0 0,0 0 0,0-1 0,0 1 0,0 0 0,1 0 0,-1 0 0,1-1 0,-1 1 0,1 0 0,-1 0 0,1 0 0,-1 0 0,1 0 0,0 0 0,0 0 0,-1 0 0,1 0 0,0 0 0,0 0 0,0 0 0,0 1 0,0-1 0,0 0 0,0 1 0,1-1 0,-1 1 0,0-1 0,0 1 0,2-1 0,-1 1 0,0 0 0,0 0 0,0 1 0,0-1 0,-1 0 0,1 1 0,0-1 0,0 1 0,0 0 0,0 0 0,-1 0 0,1-1 0,0 1 0,-1 1 0,1-1 0,-1 0 0,1 0 0,-1 1 0,0-1 0,1 1 0,-1-1 0,2 3 0,0 3 0,0-1 0,0 0 0,-1 1 0,1 0 0,-1-1 0,-1 1 0,1 0 0,-1 0 0,-1 0 0,1 14 0,0-30 0,0 0 0,0-1 0,4-13 0,-4 21 0,-1-1 0,1 1 0,0 0 0,-1-1 0,1 1 0,0 0 0,0-1 0,1 1 0,-1 0 0,0 0 0,1 0 0,0 0 0,-1 0 0,1 0 0,0 1 0,0-1 0,0 1 0,0-1 0,0 1 0,0 0 0,4-2 0,-4 3 0,-1 0 0,1 0 0,0 0 0,0 0 0,0 1 0,-1-1 0,1 1 0,0 0 0,0-1 0,-1 1 0,1 0 0,-1 0 0,1 0 0,0 0 0,-1 0 0,0 0 0,1 0 0,-1 1 0,0-1 0,0 1 0,1-1 0,-1 1 0,0-1 0,-1 1 0,3 3 0,1 1 0,-1 1 0,0 0 0,0 1 0,3 13 0,-5-13-63,-1-6-30,0-1 0,0 1 0,0-1 0,0 1 0,0-1 0,1 1 0,-1-1 0,1 1 0,-1-1 0,1 1 0,-1-1 0,1 1 0,1 2 0</inkml:trace>
  <inkml:trace contextRef="#ctx0" brushRef="#br0" timeOffset="3275.94">1259 156 24575,'0'-2'0,"0"-6"0,0 1 0,-1 0 0,-2-12 0,3 18 0,0 0 0,0 1 0,0-1 0,0 0 0,0 1 0,0-1 0,0 0 0,-1 1 0,1-1 0,0 0 0,-1 1 0,1-1 0,0 1 0,-1-1 0,1 1 0,0-1 0,-1 0 0,1 1 0,-1-1 0,1 1 0,-1 0 0,0-1 0,1 1 0,-1-1 0,1 1 0,-1 0 0,0 0 0,1-1 0,-1 1 0,0 0 0,1 0 0,-1 0 0,0-1 0,1 1 0,-1 0 0,0 0 0,1 0 0,-1 0 0,0 0 0,1 1 0,-1-1 0,0 0 0,1 0 0,-1 0 0,0 1 0,1-1 0,-1 0 0,0 0 0,1 1 0,-1-1 0,0 1 0,-2 2 0,0 0 0,0 0 0,0 0 0,1 1 0,-1-1 0,1 1 0,0-1 0,0 1 0,0 0 0,0 0 0,1 0 0,-1 0 0,1 0 0,-1 5 0,2-6 0,-1 0 0,1 0 0,0 0 0,0 0 0,0 0 0,0 0 0,0 0 0,1 0 0,1 4 0,-2-5 0,0-1 0,1 0 0,0 0 0,-1 1 0,1-1 0,0 0 0,-1 0 0,1 0 0,0 0 0,0 0 0,0 0 0,0 0 0,0 0 0,0-1 0,0 1 0,0 0 0,1-1 0,-1 1 0,0 0 0,0-1 0,2 1 0,-2-1 0,0 1 0,0-1 0,-1 0 0,1 0 0,0 0 0,0 0 0,0 0 0,0 0 0,0 0 0,-1 0 0,1 0 0,0 0 0,0 0 0,0 0 0,-1-1 0,1 1 0,0 0 0,0-1 0,0 1 0,-1 0 0,1-1 0,0 1 0,-1-1 0,1 1 0,0-1 0,-1 0 0,1 1 0,-1-1 0,1 0 0,-1 1 0,1-2 0,1 0 0,-1-1 0,0 0 0,-1 1 0,1-1 0,0 1 0,-1-1 0,1 0 0,-1-3 0,0-9 0,3 41 0,49 198 0,2 15 0,-51-200 0,-8-20 0,5-19 0,-1 0 0,1 1 0,0-1 0,0 0 0,-1 1 0,1-1 0,-1 0 0,1 1 0,0-1 0,-1 0 0,1 1 0,0-1 0,-1 0 0,1 0 0,-1 0 0,1 1 0,-1-1 0,1 0 0,-1 0 0,1 0 0,-1 0 0,1 0 0,-1 0 0,1 0 0,0 0 0,-1 0 0,1 0 0,-1 0 0,1 0 0,-1-1 0,-1 1 0,1-1 0,-1 0 0,1 0 0,-1 0 0,1 0 0,0 0 0,-1 0 0,1 0 0,0 0 0,0 0 0,0-1 0,0 1 0,0 0 0,0-1 0,-1-2 0,-11-25 0,12 27 0,-11-37 0,2 0 0,1 0 0,2-1 0,1 0 0,1-63 0,5 94 20,0-1 0,0 1 0,1-1 0,1 1 0,4-17 0,-5 23-71,-1 1 0,1 0-1,0 0 1,0 0 0,0 0 0,0 0 0,1 0-1,-1 0 1,1 0 0,-1 1 0,1-1 0,-1 0-1,1 1 1,0-1 0,0 1 0,0 0-1,0 0 1,0-1 0,0 1 0,0 1 0,0-1-1,0 0 1,1 0 0,-1 1 0,0-1 0,1 1-1,-1 0 1,5 0 0,3 0-6775</inkml:trace>
  <inkml:trace contextRef="#ctx0" brushRef="#br0" timeOffset="3890.93">201 628 24575,'0'1'0,"0"2"0,0 4 0,1 3 0,1 2 0,0 2 0,2 0 0,0 2 0,0-1 0,-1-2 0,-1-1 0,-4-4 0,0-5 0</inkml:trace>
  <inkml:trace contextRef="#ctx0" brushRef="#br0" timeOffset="4334.1">196 724 24575,'0'0'0,"-1"-1"0,1 1 0,-1-1 0,1 0 0,0 1 0,0-1 0,-1 1 0,1-1 0,0 0 0,0 1 0,0-1 0,0 0 0,0 1 0,0-1 0,0 0 0,0 1 0,0-1 0,0 0 0,0 1 0,0-1 0,0 0 0,1 1 0,-1-1 0,0 0 0,1 0 0,14-13 0,-5 9 0,0 1 0,18-6 0,-17 6 0,374-107 0,8 38 0,-366 70 0,-20 2 0,0 1 0,1-1 0,-1 0 0,0-1 0,0 0 0,0 0 0,0 0 0,8-5 0,-15 7 0,1 0 0,-1-1 0,0 1 0,1 0 0,-1-1 0,0 1 0,1 0 0,-1-1 0,0 1 0,0 0 0,0-1 0,1 1 0,-1-1 0,0 1 0,0 0 0,0-1 0,0 1 0,0-1 0,0 1 0,0 0 0,0-1 0,0 1 0,0-1 0,0 1 0,0-1 0,0 1 0,0 0 0,0-1 0,0 1 0,0-1 0,0 1 0,-1 0 0,1-1 0,0 1 0,0-1 0,-1 1 0,1 0 0,0-1 0,0 1 0,-1 0 0,1 0 0,0-1 0,-1 1 0,-17-15 0,14 12 0,-17-11 0,21 14 0,0 0 0,0 0 0,-1 0 0,1 0 0,0 0 0,0 0 0,0 0 0,0 0 0,0 0 0,-1 0 0,1 0 0,0 0 0,0 1 0,0-1 0,0 0 0,0 0 0,-1 0 0,1 0 0,0 0 0,0 0 0,0 0 0,0 0 0,0 0 0,0 0 0,-1 1 0,1-1 0,0 0 0,0 0 0,0 0 0,0 0 0,0 0 0,0 1 0,0-1 0,0 0 0,0 0 0,0 0 0,0 0 0,0 0 0,0 1 0,0-1 0,2 15 0,16 49-1365,-16-57-5461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51:32.39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9 541 24575,'-1'-1'0,"1"1"0,-1 0 0,1 0 0,-1-1 0,1 1 0,-1 0 0,1-1 0,0 1 0,-1-1 0,1 1 0,-1 0 0,1-1 0,0 1 0,-1-1 0,1 1 0,0-1 0,0 1 0,-1-1 0,1 0 0,0 1 0,0-1 0,0 1 0,0-1 0,0 1 0,0-1 0,0 0 0,0 1 0,0-1 0,0 1 0,0-1 0,0 0 0,2-21 0,3 2 0,1 0 0,1 1 0,1 0 0,10-19 0,44-68 0,-35 65 0,1 1 0,38-40 0,-54 67 0,1 0 0,0 1 0,0 1 0,1 0 0,0 1 0,1 0 0,0 1 0,1 1 0,23-9 0,-35 16 0,1-1 0,0 2 0,0-1 0,-1 0 0,1 1 0,0 0 0,0 0 0,0 0 0,-1 1 0,1-1 0,0 1 0,-1 0 0,1 1 0,0-1 0,-1 1 0,1 0 0,-1 0 0,0 0 0,0 1 0,0 0 0,0-1 0,0 1 0,4 5 0,6 7 0,0 0 0,0 1 0,-2 1 0,12 19 0,-13-18 0,56 94 0,-58-93 0,0 0 0,-2 0 0,0 1 0,5 26 0,-11-30 120,-2-8-321,-3-9-1083</inkml:trace>
  <inkml:trace contextRef="#ctx0" brushRef="#br0" timeOffset="197.8">627 376 24575,'0'1'0,"1"1"0,0 2 0,3 0 0,2 0 0,3 1 0,1-2 0,1 0 0,-2-2-8191</inkml:trace>
  <inkml:trace contextRef="#ctx0" brushRef="#br0" timeOffset="412.77">765 334 24575,'0'1'0,"-1"2"0,-2 2 0,-1 1 0,-1 2 0,-1-1 0,1 1 0,1 1 0,1 0-8191</inkml:trace>
  <inkml:trace contextRef="#ctx0" brushRef="#br0" timeOffset="2020.94">852 843 24575,'-6'5'0,"1"-2"0,8-14 0,2-6 0,15-42 0,-3-1 0,11-76 0,-21 79 0,-2-96 0,-5 147 0,-1 18 0,5 23 0,0-25 0,0-1 0,1-1 0,0 1 0,1-1 0,0 0 0,0 0 0,1 0 0,7 6 0,-5-5 0,0 0 0,-1 1 0,-1 0 0,10 15 0,-16-23 0,0 0 0,0 0 0,0 0 0,-1 0 0,1 0 0,-1 0 0,1 0 0,-1 0 0,1 0 0,-1 0 0,0 0 0,0 0 0,0 0 0,-1 0 0,1 0 0,0 0 0,-1 0 0,1 0 0,-1 0 0,0 0 0,-1 3 0,0-2 0,0 0 0,0 0 0,0-1 0,0 1 0,0-1 0,-1 0 0,1 0 0,-1 0 0,0 0 0,0 0 0,1 0 0,-7 2 0,5-3 0,1 1 0,-1-1 0,0 0 0,1 1 0,-1-2 0,0 1 0,0 0 0,0-1 0,1 0 0,-1 0 0,0 0 0,0 0 0,0 0 0,0-1 0,1 0 0,-1 0 0,0 0 0,0 0 0,1 0 0,-1-1 0,1 0 0,-1 0 0,1 0 0,-5-4 0,5 2 0,0 0 0,0 0 0,0 0 0,1-1 0,-4-8 0,5 12 0,0-1 0,0 0 0,1 0 0,-1 0 0,1 0 0,-1 0 0,1 0 0,0 0 0,0 0 0,0 0 0,0-1 0,0 1 0,0 0 0,0 0 0,1 0 0,0-3 0,-1 5 0,1 0 0,-1-1 0,0 1 0,0 0 0,1 0 0,-1 0 0,0-1 0,1 1 0,-1 0 0,0 0 0,1 0 0,-1 0 0,0 0 0,1 0 0,-1-1 0,0 1 0,1 0 0,-1 0 0,0 0 0,1 0 0,-1 0 0,0 1 0,1-1 0,-1 0 0,0 0 0,1 0 0,-1 0 0,0 0 0,1 0 0,-1 0 0,0 1 0,0-1 0,1 0 0,-1 0 0,0 0 0,1 1 0,-1-1 0,0 0 0,0 0 0,0 1 0,1-1 0,-1 0 0,0 1 0,0-1 0,0 1 0,12 14 0,-11-14 0,4 7 0,0-1 0,1 1 0,0-1 0,1 0 0,-1 0 0,11 7 0,-15-13 0,-1 0 0,1 0 0,-1 0 0,1 0 0,0-1 0,-1 1 0,1 0 0,0-1 0,0 1 0,-1-1 0,1 0 0,0 0 0,0 0 0,0 0 0,-1 0 0,4 0 0,-3-1 0,0 0 0,0 0 0,0 0 0,0 0 0,0 0 0,0 0 0,0-1 0,0 1 0,-1-1 0,1 1 0,-1-1 0,1 0 0,-1 1 0,1-1 0,-1 0 0,0 0 0,1-2 0,1-2 0,-1 0 0,1 0 0,-1 0 0,-1-1 0,2-7 0,8-23 0,7 65 0,-17-27 0,0-1 0,0 1 0,0 0 0,0 0 0,0-1 0,0 1 0,0 0 0,1-1 0,-1 1 0,0-1 0,0 0 0,0 1 0,0-1 0,1 0 0,-1 0 0,0 0 0,0 0 0,1 0 0,-1 0 0,0 0 0,0 0 0,1 0 0,-1 0 0,0-1 0,0 1 0,0 0 0,1-1 0,-1 1 0,0-1 0,0 0 0,0 1 0,0-1 0,0 0 0,0 0 0,0 1 0,0-1 0,0 0 0,-1 0 0,2-2 0,0 0 0,0 1 0,-1-1 0,1 0 0,-1 0 0,0 0 0,1 1 0,-2-1 0,1 0 0,0-1 0,0 1 0,-1 0 0,0 0 0,0 0 0,0-5 0,-2 6 0,-2 8 0,-1 9 0,5-14 0,0-1 0,0 1 0,0 0 0,0 0 0,0 0 0,0 0 0,0-1 0,0 1 0,1 0 0,-1 0 0,0 0 0,1-1 0,-1 1 0,1 0 0,-1 0 0,0-1 0,1 1 0,0 0 0,-1-1 0,1 1 0,-1-1 0,1 1 0,0-1 0,-1 1 0,1-1 0,0 1 0,0-1 0,-1 0 0,1 1 0,0-1 0,0 0 0,0 1 0,-1-1 0,1 0 0,0 0 0,0 0 0,0 0 0,0 0 0,-1 0 0,1 0 0,0 0 0,0 0 0,1-1 0,0 1 0,0-1 0,0 1 0,0-1 0,0 0 0,0 0 0,0 0 0,-1 0 0,1 0 0,0 0 0,0 0 0,-1 0 0,1-1 0,-1 1 0,1-1 0,-1 1 0,0-1 0,2-2 0,4-23 0,-6 22 0,0 1 0,0-1 0,0 0 0,0 1 0,1-1 0,4-7 0,-6 12 0,0-1 0,1 1 0,-1-1 0,1 1 0,-1-1 0,1 1 0,-1-1 0,1 1 0,-1 0 0,1-1 0,-1 1 0,1 0 0,0-1 0,-1 1 0,1 0 0,-1 0 0,1 0 0,0-1 0,-1 1 0,1 0 0,1 0 0,-1 0 0,1 1 0,-1-1 0,1 1 0,-1-1 0,1 1 0,-1-1 0,0 1 0,1 0 0,-1 0 0,0-1 0,1 1 0,1 2 0,18 22 0,-9-7 0,-9-49 0,-3 27 0,0-1 0,1 1 0,-1-1 0,1 1 0,0-1 0,4-7 0,-5 11 0,0 0 0,0 1 0,1-1 0,-1 0 0,1 1 0,-1-1 0,0 1 0,1-1 0,-1 1 0,1-1 0,-1 1 0,1 0 0,-1-1 0,1 1 0,0-1 0,-1 1 0,1 0 0,-1 0 0,1-1 0,0 1 0,0 0 0,0 0 0,1 0 0,-1 0 0,0 0 0,0 1 0,0-1 0,0 0 0,0 1 0,0-1 0,0 1 0,0-1 0,0 1 0,0 0 0,0-1 0,-1 1 0,1 0 0,0 0 0,0-1 0,0 2 0,1 0 0,0 1 0,1-1 0,-2 0 0,1 1 0,0-1 0,0 1 0,-1 0 0,0 0 0,1 0 0,-1-1 0,0 1 0,0 0 0,-1 0 0,1 0 0,-1 1 0,1-1 0,-1 4 0,-2-62 0,2 54-5,0-1-1,0 1 1,0 0-1,0-1 1,0 1 0,1 0-1,-1-1 1,1 1-1,-1 0 1,1 0-1,-1 0 1,1-1 0,0 1-1,-1 0 1,3-2-1,-3 3 13,1 0 0,-1 0 0,1-1-1,-1 1 1,1 0 0,-1 0 0,1 0-1,-1 0 1,1 0 0,-1 0 0,0 0 0,1 0-1,-1 0 1,1 0 0,-1 1 0,1-1-1,-1 0 1,1 0 0,-1 0 0,1 0 0,-1 1-1,0-1 1,1 0 0,-1 1 0,1-1-1,-1 0 1,0 1 0,1-1 0,4 5-242,0 1 1,-1-1 0,0 1-1,5 8 1,-8-12-69,6 9-6523</inkml:trace>
  <inkml:trace contextRef="#ctx0" brushRef="#br0" timeOffset="2566.82">1383 385 24575,'0'-1'0,"0"1"0,0-1 0,0 1 0,0-1 0,0 1 0,0-1 0,0 1 0,0-1 0,0 1 0,1-1 0,-1 1 0,0-1 0,0 1 0,0 0 0,0-1 0,1 1 0,-1-1 0,0 1 0,0-1 0,1 1 0,-1 0 0,0-1 0,1 1 0,-1 0 0,0-1 0,1 1 0,-1 0 0,1-1 0,0 1 0,14 4 0,15 18 0,-29-22 0,11 11 0,-7-8 0,-1 0 0,0 1 0,0-1 0,0 1 0,-1 0 0,1 0 0,-1 0 0,0 0 0,3 6 0,-7-13 0,-14-43 0,14 43 0,0 0 0,1-1 0,-1 1 0,1 0 0,0 0 0,-1-1 0,2 1 0,-1 0 0,0 0 0,1 0 0,-1-1 0,1 1 0,2-5 0,-3 8 0,0-1 0,1 1 0,-1 0 0,0 0 0,0 0 0,1-1 0,-1 1 0,0 0 0,1 0 0,-1 0 0,0 0 0,0 0 0,1 0 0,-1-1 0,0 1 0,1 0 0,-1 0 0,0 0 0,1 0 0,-1 0 0,0 0 0,1 0 0,-1 1 0,0-1 0,1 0 0,-1 0 0,0 0 0,1 0 0,-1 0 0,0 0 0,1 0 0,-1 1 0,0-1 0,0 0 0,1 0 0,-1 1 0,0-1 0,0 0 0,1 0 0,-1 1 0,0-1 0,0 0 0,0 0 0,0 1 0,1-1 0,-1 0 0,0 1 0,0-1 0,0 1 0,10 15 0,-3 11 0,-4-20 0,1-24 0,-3 10 0,1 1 0,0 0 0,0 0 0,0 0 0,1 0 0,0 1 0,6-10 0,-8 14 0,-1 0 0,1 0 0,0 0 0,0 0 0,-1 0 0,1 0 0,0 0 0,0 1 0,0-1 0,0 0 0,0 0 0,1 1 0,-1-1 0,0 1 0,0-1 0,0 1 0,0-1 0,1 1 0,-1 0 0,0 0 0,0-1 0,1 1 0,-1 0 0,0 0 0,1 0 0,-1 0 0,0 1 0,0-1 0,1 0 0,-1 0 0,0 1 0,0-1 0,0 1 0,1-1 0,-1 1 0,0 0 0,0-1 0,0 1 0,0 0 0,0 0 0,0-1 0,0 1 0,0 0 0,-1 0 0,2 2 0,1 0 16,0 1-1,-1 0 0,1 0 1,-1 0-1,0 0 0,0 0 1,2 6-1,7 16-1503</inkml:trace>
  <inkml:trace contextRef="#ctx0" brushRef="#br0" timeOffset="3327.09">1672 339 24575,'0'-6'0,"0"0"0,-1 1 0,1-1 0,-3-8 0,3 13 0,0 1 0,0-1 0,0 1 0,-1 0 0,1-1 0,0 1 0,0-1 0,0 1 0,-1 0 0,1-1 0,0 1 0,0 0 0,-1-1 0,1 1 0,0 0 0,0 0 0,-1-1 0,1 1 0,0 0 0,-1 0 0,1-1 0,0 1 0,-1 0 0,1 0 0,-1 0 0,1 0 0,-1-1 0,0 2 0,0-1 0,0 1 0,0-1 0,0 1 0,0-1 0,0 1 0,0 0 0,0-1 0,0 1 0,1 0 0,-1 0 0,0 0 0,1-1 0,-1 1 0,0 0 0,0 2 0,-1 1 0,0 1 0,0-1 0,0 1 0,0-1 0,1 1 0,-1 5 0,3 9 0,0-18 0,-1-1 0,0 1 0,1-1 0,-1 1 0,0-1 0,1 1 0,-1-1 0,0 1 0,1-1 0,-1 0 0,1 1 0,-1-1 0,1 0 0,-1 1 0,1-1 0,-1 0 0,1 0 0,-1 1 0,1-1 0,0 0 0,-1 0 0,1 0 0,-1 0 0,1 0 0,0 0 0,-1 0 0,2 0 0,-1 0 0,0-1 0,0 1 0,0 0 0,0-1 0,0 1 0,0-1 0,0 1 0,0-1 0,0 0 0,0 1 0,0-1 0,-1 0 0,1 0 0,0 0 0,0 1 0,-1-1 0,1 0 0,0 0 0,-1 0 0,1 0 0,-1 0 0,0 0 0,1 0 0,-1 0 0,0 0 0,1-1 0,-1 1 0,0 0 0,0 0 0,0 0 0,0 0 0,0-2 0,0 1 0,0 1 0,0-1 0,0 1 0,0-1 0,1 1 0,-1-1 0,1 1 0,-1-1 0,1 1 0,0 0 0,-1-1 0,3-1 0,17 19 0,-19-14 0,1-1 0,-1 0 0,1 0 0,-1-1 0,1 1 0,-1 0 0,1 0 0,0-1 0,0 1 0,-1-1 0,1 1 0,0-1 0,0 0 0,-1 0 0,1 0 0,0 0 0,0 0 0,0 0 0,-1 0 0,1-1 0,0 1 0,0 0 0,-1-1 0,1 0 0,0 1 0,-1-1 0,3-2 0,-2 2 0,0-1 0,-1 0 0,1-1 0,-1 1 0,0 0 0,0 0 0,1 0 0,-2-1 0,1 1 0,0-1 0,0 1 0,-1-1 0,1 1 0,-1-1 0,0 1 0,0-1 0,0 1 0,0-5 0,-5-15 0,2 12 0,11 19 0,14 19 0,-21-26 0,1-1 0,-1 1 0,1-1 0,-1 0 0,1 1 0,0-1 0,-1 0 0,1 0 0,0 0 0,0-1 0,0 1 0,0 0 0,0-1 0,0 1 0,2 0 0,-3-2 0,0 1 0,-1 0 0,1-1 0,0 1 0,0 0 0,-1-1 0,1 1 0,0-1 0,-1 1 0,1-1 0,-1 0 0,1 1 0,0-1 0,-1 0 0,1 1 0,-1-1 0,0 0 0,1 0 0,-1 1 0,0-1 0,1 0 0,-1 0 0,0 0 0,0 1 0,0-1 0,1 0 0,-1 0 0,0 0 0,0 0 0,-1-1 0,1-31 0,-1 31 0,3 7-151,0 0-1,0 0 0,0 0 0,1 0 1,-1 0-1,1 0 0,0-1 1,4 5-1</inkml:trace>
  <inkml:trace contextRef="#ctx0" brushRef="#br0" timeOffset="3449.76">1814 211 24575,'0'-2'0,"2"0"0,5 0 0,2 1 0,1 1-8191</inkml:trace>
  <inkml:trace contextRef="#ctx0" brushRef="#br0" timeOffset="4058.78">1938 206 24575,'0'0'0,"0"0"0,0-1 0,0 1 0,-1 0 0,1-1 0,0 1 0,0 0 0,0 0 0,0-1 0,0 1 0,0 0 0,-1 0 0,1-1 0,0 1 0,0 0 0,0 0 0,-1-1 0,1 1 0,0 0 0,0 0 0,-1 0 0,1 0 0,0-1 0,0 1 0,-1 0 0,1 0 0,0 0 0,-1 0 0,1 0 0,0 0 0,0 0 0,-1 0 0,1 0 0,0 0 0,-1 0 0,1 0 0,0 0 0,-1 0 0,1 0 0,0 0 0,0 0 0,-1 0 0,1 0 0,0 1 0,-1-1 0,1 0 0,0 0 0,-1 0 0,1 1 0,-1-1 0,1 0 0,-1 1 0,1-1 0,0 0 0,-1 1 0,1-1 0,-1 0 0,1 1 0,0-1 0,0 1 0,-1-1 0,1 1 0,0-1 0,0 1 0,-1-1 0,1 1 0,0-1 0,0 1 0,0-1 0,0 1 0,0-1 0,0 1 0,0-1 0,0 1 0,0-1 0,0 1 0,0-1 0,0 1 0,0-1 0,0 1 0,0-1 0,1 1 0,-1-1 0,0 1 0,2 1 0,-1 0 0,0 0 0,1 0 0,-1-1 0,1 1 0,0-1 0,-1 1 0,1-1 0,0 0 0,0 0 0,0 0 0,0 0 0,0 0 0,0 0 0,0 0 0,0 0 0,0-1 0,4 1 0,-4-1 0,1 1 0,-1 0 0,1 0 0,-1-1 0,1 1 0,-1 1 0,0-1 0,0 0 0,1 1 0,-1-1 0,0 1 0,0-1 0,2 3 0,-4-3 0,1-1 0,-1 1 0,0-1 0,0 0 0,1 1 0,-1-1 0,0 1 0,0-1 0,0 1 0,1-1 0,-1 1 0,0-1 0,0 1 0,0 0 0,0-1 0,0 1 0,0-1 0,0 1 0,0-1 0,0 1 0,0-1 0,-1 1 0,1-1 0,0 1 0,0-1 0,0 1 0,-1-1 0,1 1 0,-15 10 0,-24 0 0,36-10 0,-7 2 0,11-1 0,19-4 0,-9-3 0,0 0 0,20-12 0,-29 15 0,1 1 0,-1-1 0,1 0 0,-1 0 0,1 0 0,-1 0 0,0-1 0,0 1 0,0 0 0,0-1 0,-1 0 0,1 1 0,-1-1 0,1 0 0,-1 0 0,1-5 0,-2 8 0,1 0 0,-1-1 0,0 1 0,0 0 0,0-1 0,0 1 0,0 0 0,1 0 0,-1-1 0,0 1 0,0 0 0,0-1 0,0 1 0,0 0 0,0-1 0,0 1 0,0 0 0,0-1 0,0 1 0,-1 0 0,1-1 0,0 1 0,0 0 0,0-1 0,0 1 0,0 0 0,0 0 0,-1-1 0,1 1 0,0 0 0,0 0 0,-1-1 0,1 1 0,0 0 0,0 0 0,-1 0 0,1-1 0,0 1 0,0 0 0,-1 0 0,1 0 0,0 0 0,-1 0 0,1-1 0,0 1 0,-1 0 0,1 0 0,0 0 0,-1 0 0,1 0 0,-1 1 0,0-1 0,0 0 0,1 1 0,-1-1 0,0 1 0,1-1 0,-1 1 0,0 0 0,1-1 0,-1 1 0,1-1 0,-1 1 0,1 0 0,0 0 0,-1-1 0,1 1 0,-1 0 0,1 0 0,0-1 0,-1 2 0,1 0 4,0-1 0,-1 1 0,1-1 0,0 1 0,0-1-1,0 1 1,0-1 0,0 1 0,0-1 0,0 1 0,0-1 0,0 0-1,1 1 1,-1-1 0,1 1 0,-1-1 0,1 1 0,0-1 0,-1 0 0,1 0-1,0 1 1,0-1 0,0 0 0,0 0 0,0 0 0,0 0 0,0 0-1,0 0 1,0 0 0,2 1 0,0-1-103,-1 0 0,1 0 0,0 0 0,0-1 0,0 1 0,0-1 0,0 1 0,0-1 0,-1 0 0,1 0 0,0 0 0,0 0 0,0-1 0,5-1 0,1 0-6727</inkml:trace>
  <inkml:trace contextRef="#ctx0" brushRef="#br0" timeOffset="4909.95">1035 820 24575,'0'10'0,"0"0"0,1-1 0,0 1 0,1 0 0,0-1 0,0 1 0,1-1 0,0 0 0,1 0 0,0 0 0,0 0 0,8 11 0,-12-20 0,0 1 0,0-1 0,0 0 0,0 1 0,0-1 0,0 0 0,0 0 0,1 1 0,-1-1 0,0 0 0,0 0 0,0 0 0,0 1 0,0-1 0,1 0 0,-1 0 0,0 0 0,0 1 0,0-1 0,0 0 0,1 0 0,-1 0 0,0 0 0,0 0 0,1 1 0,-1-1 0,0 0 0,0 0 0,1 0 0,-1 0 0,0 0 0,0 0 0,1 0 0,-1 0 0,0 0 0,0 0 0,1 0 0,-1 0 0,1 0 0,-3-12 0,-8-18 0,1 14 0,7 13 0,0-1 0,1 1 0,-1 0 0,0 0 0,1-1 0,-2-4 0,3 7 0,0 0 0,0 0 0,0 0 0,0 0 0,0 0 0,0 1 0,0-1 0,1 0 0,-1 0 0,0 0 0,0 0 0,1 0 0,-1 1 0,1-1 0,-1 0 0,0 0 0,1 1 0,0-1 0,-1 0 0,1 1 0,-1-1 0,1 0 0,0 1 0,-1-1 0,1 1 0,0-1 0,0 1 0,-1 0 0,1-1 0,0 1 0,1-1 0,73-29 0,122-31 0,-108 36 0,91-24 0,53-17 0,-223 63 0,1 0 0,0-1 0,18-8 0,-27 11 0,0 0 0,0 0 0,-1 0 0,1 0 0,0 0 0,-1 0 0,1-1 0,-1 1 0,1 0 0,-1-1 0,0 1 0,0-1 0,1 0 0,-1 1 0,0-1 0,0 0 0,-1 0 0,1 1 0,0-1 0,-1 0 0,1 0 0,0-4 0,-3 18 0,2-7 0,-1 0 0,0 0 0,1-1 0,0 1 0,0 0 0,1 6 0,11 28 42,-8-30-323,-1 0-1,0 1 1,-1-1-1,2 16 1,-4-17-6545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50:18.68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99 1445 24575,'2'15'0,"-1"-14"0,-1 0 0,0 0 0,1 0 0,-1 1 0,0-1 0,0 0 0,0 0 0,0 1 0,0-1 0,0 0 0,-1 3 0,1-3 0,-1-1 0,1 1 0,-1-1 0,1 1 0,-1-1 0,0 1 0,1-1 0,-1 0 0,0 1 0,0-1 0,1 0 0,-1 1 0,0-1 0,0 0 0,1 0 0,-1 0 0,0 1 0,0-1 0,0 0 0,1 0 0,-1 0 0,0-1 0,0 1 0,0 0 0,1 0 0,-2 0 0,0-1 0,-1 0 0,1 1 0,0-1 0,0 0 0,0 0 0,0-1 0,0 1 0,0 0 0,0 0 0,0-1 0,0 0 0,0 1 0,1-1 0,-1 0 0,1 0 0,-1 0 0,1 0 0,0 0 0,-1 0 0,1 0 0,0 0 0,-1-4 0,1 3 0,0 0 0,0 0 0,0 0 0,0-1 0,1 1 0,-1 0 0,1-1 0,-1 1 0,1 0 0,1-1 0,-1 1 0,0 0 0,1-1 0,-1 1 0,3-5 0,-3 7 0,0 0 0,1 0 0,-1 0 0,1 1 0,-1-1 0,1 0 0,-1 0 0,1 0 0,0 1 0,-1-1 0,1 0 0,0 1 0,0-1 0,-1 1 0,1-1 0,0 1 0,0-1 0,0 1 0,0 0 0,-1-1 0,1 1 0,0 0 0,0 0 0,0-1 0,2 1 0,-1 0 0,0 1 0,0-1 0,0 1 0,-1-1 0,1 1 0,0 0 0,0-1 0,0 1 0,0 0 0,-1 0 0,4 2 0,0 2 0,0-1 0,0 1 0,0 0 0,-1 0 0,1 0 0,4 8 0,-6-8 0,-1 1 0,0-1 0,0 1 0,0-1 0,0 1 0,-1 0 0,0-1 0,0 1 0,-1 0 0,0 0 0,0 0 0,0 0 0,0 0 0,-1 0 0,0-1 0,0 1 0,-5 11 0,3-9 0,-1 0 0,0 0 0,0 0 0,0 0 0,-1-1 0,-1 0 0,1 0 0,-1 0 0,0-1 0,-1 0 0,-9 8 0,14-13 0,1 0 0,0 0 0,0 0 0,0 0 0,-1-1 0,1 1 0,0 0 0,-1-1 0,1 1 0,-1 0 0,1-1 0,-1 0 0,1 1 0,0-1 0,-1 0 0,0 0 0,1 0 0,-1 0 0,1 0 0,-1 0 0,1 0 0,-1-1 0,1 1 0,0-1 0,-1 1 0,1-1 0,-1 1 0,1-1 0,0 0 0,-1 1 0,1-1 0,-2-2 0,1 1 0,1 1 0,0-1 0,0 1 0,1-1 0,-1 0 0,0 1 0,0-1 0,1 0 0,-1 0 0,1 0 0,-1 1 0,1-1 0,0 0 0,0 0 0,0 0 0,0 0 0,0 0 0,0 0 0,1 0 0,-1 1 0,1-1 0,-1 0 0,1 0 0,-1 0 0,1 1 0,1-3 0,-1 3 0,-1 0 0,1 0 0,0-1 0,-1 1 0,1 0 0,0 0 0,0 0 0,0 0 0,0 0 0,0 0 0,0 0 0,0 0 0,0 0 0,0 1 0,1-1 0,-1 0 0,0 1 0,0-1 0,1 1 0,-1-1 0,0 1 0,3-1 0,-1 1 0,-1 0 0,1 1 0,-1-1 0,1 1 0,-1-1 0,1 1 0,-1 0 0,0 0 0,0 0 0,1 0 0,-1 0 0,2 2 0,4 2 0,0 1 0,0 1 0,-1 0 0,0 0 0,8 11 0,-6-7-1365,-2-1-5461</inkml:trace>
  <inkml:trace contextRef="#ctx0" brushRef="#br0" timeOffset="377.79">209 1486 24575,'-1'6'0,"2"-1"0,-1 1 0,0-1 0,1 1 0,0-1 0,3 9 0,-3-12 0,-1-1 0,1 0 0,-1 0 0,1 0 0,-1 0 0,1-1 0,0 1 0,0 0 0,-1 0 0,1 0 0,0 0 0,0-1 0,0 1 0,0 0 0,0-1 0,0 1 0,0-1 0,0 1 0,0-1 0,0 1 0,0-1 0,0 0 0,0 1 0,0-1 0,0 0 0,0 0 0,1 0 0,-1 0 0,0 0 0,0 0 0,0 0 0,0-1 0,0 1 0,0 0 0,1 0 0,-1-1 0,0 1 0,0-1 0,0 1 0,1-2 0,0 1 0,0-1 0,0 1 0,0-1 0,0 0 0,0 0 0,0 0 0,0 0 0,-1 0 0,1 0 0,-1-1 0,0 1 0,1 0 0,-1-1 0,0 1 0,0-1 0,-1 1 0,1-1 0,0 0 0,-1 1 0,0-1 0,0 0 0,0-4 0,1 6 0,-1 0 0,0 0 0,0-1 0,0 1 0,0 0 0,0-1 0,-1 1 0,1 0 0,0 0 0,-1-1 0,1 1 0,-1 0 0,1 0 0,-1 0 0,1 0 0,-1 0 0,0-1 0,1 1 0,-1 0 0,0 0 0,0 1 0,0-1 0,0 0 0,0 0 0,0 0 0,0 1 0,0-1 0,0 0 0,0 1 0,-1-1 0,1 1 0,0-1 0,0 1 0,0 0 0,-1-1 0,1 1 0,0 0 0,-1 0 0,1 0 0,0 0 0,0 0 0,-1 0 0,1 1 0,0-1 0,0 0 0,-1 1 0,0-1 0,0 1-91,0 0 0,1-1 0,-1 1 0,1 0 0,-1 0 0,1 0 0,-1 0 0,1 0 0,0 0 0,-1 0 0,1 0 0,0 1 0,0-1 0,-2 3 0,0 2-6735</inkml:trace>
  <inkml:trace contextRef="#ctx0" brushRef="#br0" timeOffset="641.78">323 1376 24575,'0'-10'0,"-1"18"0,1 19 0,3 0-118,8 69 370,-9-86-439,0 0-1,1-1 1,1 1-1,-1 0 1,1-1 0,1 0-1,7 12 1,-7-15-6639</inkml:trace>
  <inkml:trace contextRef="#ctx0" brushRef="#br0" timeOffset="1181.77">488 1445 24575,'0'-5'0,"-1"1"0,0-1 0,0 1 0,0 0 0,0-1 0,-1 1 0,0 0 0,0 0 0,-3-5 0,3 4 0,-1 0 0,1 0 0,0 0 0,0 0 0,1 0 0,-3-10 0,4 13 0,0 0 0,0 0 0,0 1 0,0-1 0,1 0 0,-1 0 0,0 0 0,1 1 0,0-1 0,-1 0 0,3-3 0,-3 5 0,0 0 0,0 0 0,0 0 0,0-1 0,0 1 0,0 0 0,0 0 0,0 0 0,1 0 0,-1 0 0,0-1 0,0 1 0,0 0 0,0 0 0,1 0 0,-1 0 0,0 0 0,0 0 0,0 0 0,0 0 0,1 0 0,-1 0 0,0 0 0,0 0 0,0 0 0,1 0 0,-1 0 0,0 0 0,0 0 0,0 0 0,0 0 0,1 0 0,-1 0 0,0 0 0,0 0 0,1 0 0,5 13 0,-4-1 0,-1 0 0,0 0 0,0 0 0,-2 1 0,1-1 0,-2 0 0,1 0 0,-2 0 0,-3 13 0,1-6 0,1 1 0,-1 25 0,5-44 0,0 0 0,-1 0 0,1 0 0,0 0 0,1 0 0,-1 0 0,0-1 0,0 1 0,0 0 0,1 0 0,-1 0 0,0 0 0,1 0 0,-1-1 0,0 1 0,1 0 0,-1 0 0,1 0 0,0-1 0,-1 1 0,1 0 0,-1-1 0,1 1 0,1 0 0,0 0 0,-1-1 0,1 1 0,-1-1 0,1 1 0,-1-1 0,1 0 0,-1 0 0,1 0 0,-1 0 0,1 0 0,-1 0 0,1 0 0,2-1 0,0 0 0,0 0 0,1 0 0,-1-1 0,0 0 0,0 0 0,0 0 0,0 0 0,-1 0 0,7-6 0,-9 7 0,1 0 0,-1-1 0,1 1 0,-1-1 0,0 1 0,0-1 0,0 0 0,0 0 0,0 1 0,0-1 0,0 0 0,-1 0 0,1 0 0,0 0 0,-1 0 0,0 0 0,1 0 0,-1 0 0,0 0 0,0 0 0,0 0 0,0 0 0,-1 0 0,1 0 0,-1 0 0,1 0 0,-1 0 0,1 0 0,-1 1 0,0-1 0,0 0 0,0 0 0,0 1 0,0-1 0,0 0 0,-1 1 0,1-1 0,-3-1 0,2 1 0,0 1 0,0 0 0,0-1 0,0 1 0,0 0 0,0 0 0,0 0 0,-1 1 0,1-1 0,0 0 0,0 1 0,-1 0 0,1-1 0,0 1 0,-1 0 0,1 0 0,-1 0 0,1 1 0,0-1 0,-1 1 0,1-1 0,0 1 0,0 0 0,-1-1 0,1 1 0,0 0 0,0 1 0,0-1 0,0 0 0,0 1 0,0-1 0,-3 4 0,-11 13-1365,9-11-5461</inkml:trace>
  <inkml:trace contextRef="#ctx0" brushRef="#br0" timeOffset="1537.66">218 1720 24575,'-6'0'0,"8"1"0,14-6 0,52-24 0,2 2 0,0 4 0,89-18 0,-149 39-66,-10 5 230,-15 5-1627,2-3-5363</inkml:trace>
  <inkml:trace contextRef="#ctx0" brushRef="#br0" timeOffset="1892.74">245 1798 24575,'-1'0'0,"-1"0"0,4 2 0,7-5 0,9-4 0,10-5 0,6-3 0,5-3 0,3 0 0,-2 3 0,-3 2 0,-7 3 0,-6 3 0,-8 2 0,-6 1-8191</inkml:trace>
  <inkml:trace contextRef="#ctx0" brushRef="#br0" timeOffset="2629.8">800 1440 24575,'0'4'0,"1"3"0,1 2 0,0 3 0,0 1 0,-1 2 0,0 0 0,-1-1 0,0-1 0,0-3 0</inkml:trace>
  <inkml:trace contextRef="#ctx0" brushRef="#br0" timeOffset="3234.75">1010 1234 24575,'0'4'0,"0"0"0,-1-1 0,0 1 0,1 0 0,-2-1 0,1 1 0,-2 3 0,3-6 0,0 0 0,0-1 0,-1 1 0,1 0 0,0-1 0,-1 1 0,1 0 0,0-1 0,-1 1 0,1-1 0,-1 1 0,1-1 0,-1 1 0,1-1 0,-1 1 0,1-1 0,-1 1 0,0-1 0,1 1 0,-1-1 0,0 0 0,1 0 0,-1 1 0,0-1 0,1 0 0,-1 0 0,0 0 0,0 0 0,1 0 0,-1 0 0,0 0 0,0 0 0,1 0 0,-1 0 0,0 0 0,0 0 0,1 0 0,-1-1 0,0 1 0,1 0 0,-1 0 0,0-1 0,0 0 0,0 0 0,0 0 0,0 0 0,0 0 0,0-1 0,1 1 0,-1 0 0,0-1 0,1 1 0,-1 0 0,1-1 0,0 1 0,-1-1 0,1 1 0,0 0 0,0-1 0,0 1 0,0-1 0,0 1 0,0-1 0,0 1 0,1-3 0,-1 1 0,1 1 0,-1-1 0,1 0 0,0 1 0,0-1 0,0 1 0,0-1 0,0 1 0,0 0 0,1-1 0,1-1 0,-2 3 0,0 0 0,-1 0 0,1 0 0,0 1 0,0-1 0,0 0 0,0 1 0,0-1 0,0 1 0,0-1 0,0 1 0,0-1 0,0 1 0,1 0 0,-1 0 0,0-1 0,0 1 0,0 0 0,0 0 0,1 0 0,-1 0 0,0 0 0,1 1 0,0-1 0,0 1 0,-1 0 0,1 0 0,-1 0 0,1 0 0,-1 0 0,1 0 0,-1 0 0,0 1 0,0-1 0,0 0 0,1 1 0,0 2 0,2 3 0,1 1 0,-2 0 0,1 1 0,3 14 0,-2-6 0,-2 0 0,1 0 0,-2 0 0,0 33 0,-2-44 0,0 0 0,-1 0 0,0 0 0,0 0 0,-1 0 0,0-1 0,0 1 0,-3 5 0,4-8 0,-1 0 0,1-1 0,-1 1 0,0-1 0,0 1 0,-1-1 0,1 0 0,0 0 0,-1 0 0,1 0 0,-1 0 0,0 0 0,1-1 0,-1 1 0,0-1 0,-4 1 0,6-1 0,0-1 0,0 0 0,-1 1 0,1-1 0,0 0 0,-1 0 0,1 0 0,0 0 0,-1 0 0,1 0 0,0 0 0,0 0 0,-1-1 0,1 1 0,0 0 0,-1-1 0,1 1 0,0-1 0,0 0 0,0 1 0,0-1 0,0 0 0,0 0 0,0 1 0,0-1 0,0 0 0,0 0 0,-1-2 0,0 1 0,0-1 0,1 0 0,-1 0 0,1 0 0,0 0 0,0 0 0,0 0 0,0-1 0,1 1 0,-1 0 0,1-6 0,0 5 0,0 1 0,0-1 0,0 1 0,1-1 0,0 1 0,-1-1 0,1 1 0,0 0 0,1-1 0,-1 1 0,3-4 0,-4 6 0,1 0 0,0-1 0,0 1 0,0 0 0,0 0 0,0 0 0,0 0 0,0 0 0,0 0 0,1 1 0,-1-1 0,0 0 0,1 0 0,-1 1 0,0-1 0,1 1 0,-1-1 0,1 1 0,-1 0 0,0-1 0,1 1 0,-1 0 0,1 0 0,-1 0 0,1 0 0,1 1 0,2 0 0,0 1 0,0 0 0,0 0 0,0 0 0,-1 1 0,1-1 0,-1 1 0,1 1 0,-1-1 0,0 0 0,-1 1 0,1 0 0,5 7 0,18 15 0,-18-21-1365,-3-4-5461</inkml:trace>
  <inkml:trace contextRef="#ctx0" brushRef="#br0" timeOffset="3574.99">1157 1280 24575,'0'7'0,"0"2"0,0-1 0,0 1 0,1 0 0,3 12 0,-4-20 0,0 0 0,0 1 0,1-1 0,-1 0 0,1 0 0,-1 0 0,1 0 0,-1 1 0,1-1 0,-1 0 0,1 0 0,0 0 0,0 0 0,-1 0 0,1-1 0,0 1 0,0 0 0,0 0 0,0 0 0,0-1 0,0 1 0,0-1 0,1 1 0,-1-1 0,0 1 0,0-1 0,0 1 0,1-1 0,-1 0 0,0 0 0,0 0 0,0 0 0,1 0 0,-1 0 0,0 0 0,0 0 0,1 0 0,-1 0 0,2-1 0,-1 0 0,-1 1 0,0-1 0,1 1 0,-1-1 0,0 0 0,0 0 0,1 1 0,-1-1 0,0 0 0,0 0 0,0 0 0,0 0 0,0 0 0,0 0 0,0 0 0,-1-1 0,1 1 0,0 0 0,-1 0 0,2-2 0,-1 0 0,-1 0 0,1 0 0,0-1 0,-1 1 0,0 0 0,0 0 0,0 0 0,0 0 0,-1-4 0,1 2 0,-1 0 0,0 0 0,-1 0 0,1 0 0,-1 1 0,0-1 0,0 0 0,-1 1 0,1-1 0,-1 1 0,-4-6 0,-11 2 120,10 8-321,8 0 176,-1 0 0,1 0-1,0 0 1,0 0 0,0 0 0,0 0 0,0 0 0,0 0-1,0 0 1,0 0 0,0 0 0,-1 0 0,1 0-1,0 0 1,0 0 0,0 1 0,0-1 0,0 0 0,0 0-1,0 0 1,0 0 0,0 0 0,0 0 0,0 0 0,0 0-1,0 1 1,0-1 0,0 0 0,0 0 0,0 0-1,0 0 1,0 0 0,0 0 0,0 0 0,0 1 0,0-1-1,0 0 1,0 0 0,0 0 0,0 0 0,0 0 0,0 0-1,0 0 1,0 0 0,0 1 0,0-1 0,0 0-1,0 0 1,1 0 0,-1 0 0</inkml:trace>
  <inkml:trace contextRef="#ctx0" brushRef="#br0" timeOffset="3807.02">1267 1161 24575,'0'-2'0,"0"4"0,0 5 0,0 4 0,2 4 0,1 2 0,3 3 0,-1 1 0,3 0 0,0-2 0,-2-2 0,-2-2 0,1-5 0,-2-1 0</inkml:trace>
  <inkml:trace contextRef="#ctx0" brushRef="#br0" timeOffset="4304.91">1491 1115 24575,'0'-1'0,"0"0"0,0 0 0,0 0 0,0 0 0,0 0 0,0 0 0,-1 0 0,1 1 0,0-1 0,-1 0 0,1 0 0,-1 0 0,1 0 0,-1 1 0,1-1 0,-1 0 0,0 0 0,1 1 0,-1-1 0,0 0 0,0 1 0,1-1 0,-1 1 0,0-1 0,0 1 0,0-1 0,0 1 0,0 0 0,1-1 0,-1 1 0,0 0 0,0 0 0,0 0 0,0-1 0,0 1 0,0 0 0,0 0 0,0 0 0,0 1 0,0-1 0,0 0 0,0 0 0,0 1 0,0-1 0,0 0 0,1 1 0,-2 0 0,-2 0 0,1 1 0,0 0 0,1 0 0,-1 1 0,0-1 0,1 1 0,-1-1 0,1 1 0,0 0 0,0 0 0,-3 4 0,2 0 0,0 0 0,1-1 0,0 1 0,0 0 0,1 0 0,-1 8 0,2-13 0,0 0 0,0 0 0,0 0 0,0 0 0,0-1 0,1 1 0,-1 0 0,0 0 0,1 0 0,0 0 0,-1-1 0,2 4 0,-1-5 0,0 1 0,0 0 0,-1 0 0,1 0 0,0-1 0,0 1 0,0 0 0,0-1 0,0 1 0,0-1 0,0 1 0,0-1 0,0 0 0,0 1 0,0-1 0,0 0 0,0 0 0,0 0 0,0 1 0,0-1 0,0 0 0,0 0 0,2-1 0,-1 1 0,-1-1 0,1 1 0,0 0 0,-1-1 0,1 0 0,-1 1 0,0-1 0,1 0 0,-1 0 0,1 0 0,-1 1 0,0-2 0,0 1 0,1 0 0,-1 0 0,0 0 0,0 0 0,0-1 0,0 1 0,-1 0 0,1-1 0,0 1 0,0-4 0,8-32 0,-7 30 0,0 10 0,16 58 0,-11-43 0,-2 0 0,0 1 0,-1-1 0,2 24 0,-5-41 5,-1 1-1,0-1 1,0 1 0,-1-1-1,1 1 1,0-1-1,0 1 1,-1-1 0,1 1-1,-1-1 1,1 1 0,-1-1-1,0 1 1,0-1-1,1 0 1,-1 1 0,0-1-1,0 0 1,0 0-1,0 0 1,0 0 0,-1 0-1,1 0 1,0 0-1,-3 1 1,1 0-154,0-1 1,-1 0-1,1 0 1,-1 0-1,1 0 1,-1-1-1,0 1 1,1-1-1,-7 0 1,-3-1-6678</inkml:trace>
  <inkml:trace contextRef="#ctx0" brushRef="#br0" timeOffset="4657.68">997 1591 24575,'14'-15'0,"7"1"0,0 1 0,0 1 0,35-13 0,73-22 0,-64 27 0,99-18 0,-169 40-1365,-5 1-5461</inkml:trace>
  <inkml:trace contextRef="#ctx0" brushRef="#br0" timeOffset="4932.91">1125 1614 24575,'10'0'0,"0"-2"0,1 1 0,-1-2 0,19-5 0,46-22 0,-52 21 0,-9 4 0,18-8 0,0-1 0,52-32 0,-71 33 120,-13 12-158,1 1 0,-1 0 0,0-1 0,0 1 0,0-1 0,0 1-1,0-1 1,0 1 0,0 0 0,0-1 0,0 1 0,0-1 0,0 1 0,0 0 0,-1-1 0,1 1 0,0-1 0,0 1 0,0 0-1,0-1 1,-1 1 0,1 0 0,0-1 0,0 1 0,-1 0 0,1-1 0,0 1 0,-1 0 0,1-1 0,0 1 0,-1 0 0,1 0-1,0 0 1,-1-1 0,1 1 0,-1 0 0,1 0 0,-1 0 0,-6-3-6788</inkml:trace>
  <inkml:trace contextRef="#ctx0" brushRef="#br0" timeOffset="5561.79">461 1230 24575,'-1'-1'0,"0"0"0,0 0 0,0 0 0,1 0 0,-1 0 0,0 0 0,1 0 0,-1 0 0,1 0 0,-1 0 0,1 0 0,0 0 0,-1 0 0,1-1 0,0 1 0,0 0 0,0 0 0,0 0 0,0-1 0,0 1 0,0 0 0,0-2 0,6-26 0,3 8 0,1 0 0,1 1 0,1 0 0,1 1 0,1 0 0,1 1 0,30-30 0,-29 34 0,0 0 0,1 2 0,1 0 0,0 0 0,0 2 0,1 1 0,1 0 0,0 1 0,0 1 0,21-4 0,-15 5 0,-1 1 0,1 1 0,0 1 0,1 2 0,-1 1 0,0 0 0,46 9 0,-56-6 20,0 1 0,1 1 0,-2 0 0,1 1 0,20 11 0,-32-14-88,1-1 1,-1 1-1,1 0 1,-1 0-1,0 0 1,0 0-1,0 1 1,-1 0-1,1 0 1,-1 0-1,0 0 1,0 0-1,0 1 1,0-1-1,-1 1 1,0 0-1,0-1 1,0 1-1,-1 0 1,0 0-1,1 7 1,-2-2-6759</inkml:trace>
  <inkml:trace contextRef="#ctx0" brushRef="#br0" timeOffset="5808.55">1143 1005 24575,'2'0'0,"1"0"0,3 0 0,3 0 0,2 0 0,2 0 0,1 0 0,-1 0 0,0 0 0,-1 0 0,0 0 0,-3 0-8191</inkml:trace>
  <inkml:trace contextRef="#ctx0" brushRef="#br0" timeOffset="6087.98">1359 918 24575,'0'-2'0,"-1"0"0,-2 3 0,-1 3 0,-3 4 0,-1 3 0,-2 2 0,1 0 0,0 0 0,2-1 0,-1-2 0,3-4 0</inkml:trace>
  <inkml:trace contextRef="#ctx0" brushRef="#br0" timeOffset="6587.83">1720 1275 24575,'-1'0'0,"-1"2"0,0 3 0,0 3 0,1 0 0,1 1 0,-2 0 0,-1 2 0,1-1-8191</inkml:trace>
  <inkml:trace contextRef="#ctx0" brushRef="#br0" timeOffset="7273.64">1972 1001 24575,'-1'1'0,"0"1"0,0-1 0,0 1 0,0-1 0,-1 0 0,1 1 0,-1-1 0,1 0 0,-1 0 0,1 0 0,-1 0 0,1 0 0,-1 0 0,0-1 0,0 1 0,1-1 0,-1 1 0,-3 0 0,4-1 0,0 0 0,0 1 0,0-1 0,0 0 0,0 1 0,0-1 0,0 0 0,0 0 0,0 0 0,0 0 0,0 0 0,0 0 0,0-1 0,0 1 0,0 0 0,0 0 0,0-1 0,0 1 0,0-1 0,0 1 0,0-1 0,0 1 0,0-1 0,1 1 0,-1-1 0,0 0 0,0 1 0,1-1 0,-1 0 0,0 0 0,1 0 0,-1 0 0,1 1 0,-1-1 0,1 0 0,-1 0 0,1 0 0,0 0 0,-1 0 0,1 0 0,0 0 0,0 0 0,0-2 0,-1 2 0,1 0 0,0 0 0,0-1 0,0 1 0,0 0 0,0 0 0,0 0 0,1 0 0,-1 0 0,0 0 0,0 0 0,1 0 0,-1-1 0,1 1 0,-1 0 0,2-1 0,-2 2 0,0 0 0,1-1 0,-1 1 0,1 0 0,-1-1 0,1 1 0,-1 0 0,1-1 0,0 1 0,-1 0 0,1 0 0,-1 0 0,1 0 0,-1-1 0,1 1 0,0 0 0,-1 0 0,1 0 0,-1 0 0,1 0 0,0 0 0,0 1 0,1-1 0,0 1 0,0 0 0,0 0 0,0 0 0,0 0 0,0 0 0,-1 0 0,1 0 0,0 1 0,0-1 0,-1 1 0,1-1 0,-1 1 0,0-1 0,2 4 0,1 2 0,0 0 0,-1 0 0,0 0 0,0 1 0,-1 0 0,0-1 0,0 1 0,-1 0 0,0 0 0,0 0 0,-1 0 0,0 0 0,0 0 0,-3 13 0,2-15 0,0 0 0,-1 0 0,1 0 0,-1-1 0,-1 1 0,1-1 0,-1 1 0,0-1 0,0 0 0,-1 0 0,1 0 0,-1 0 0,0-1 0,-1 0 0,1 1 0,-1-1 0,0-1 0,0 1 0,-10 5 0,14-8 0,-1-1 0,1 1 0,0-1 0,0 1 0,-1-1 0,1 1 0,0-1 0,-1 0 0,1 1 0,0-1 0,-1 0 0,1 0 0,0 0 0,-1 0 0,1 0 0,-1 0 0,1-1 0,0 1 0,-1 0 0,-1-2 0,2 2 0,0-1 0,0 0 0,0 0 0,0 0 0,1 0 0,-1 0 0,0 0 0,1 0 0,-1 0 0,0 0 0,1 0 0,-1 0 0,1 0 0,0 0 0,-1 0 0,1-1 0,0 1 0,0-2 0,0-1 0,-1-1 0,2 1 0,-1 0 0,0-1 0,1 1 0,0 0 0,0-1 0,0 1 0,1 0 0,0 0 0,3-7 0,-4 10 0,0-1 0,0 1 0,0-1 0,0 1 0,0-1 0,0 1 0,0 0 0,1-1 0,-1 1 0,1 0 0,-1 0 0,1 0 0,-1 0 0,1 0 0,-1 1 0,1-1 0,0 0 0,-1 1 0,1-1 0,0 1 0,0 0 0,0-1 0,-1 1 0,1 0 0,0 0 0,0 0 0,0 0 0,-1 0 0,1 1 0,0-1 0,0 1 0,-1-1 0,1 1 0,0-1 0,-1 1 0,1 0 0,0 0 0,-1 0 0,1 0 0,-1 0 0,0 0 0,3 2 0,6 7 0,-1-1 0,1 1 0,-1 1 0,11 17 0,-11-15 0,-9-12-57,1 0 3,-1-1-1,1 1 1,-1 0-1,1 0 1,-1 0-1,1-1 1,0 1-1,-1 0 1,1-1-1,0 1 1,0 0-1,-1-1 1,1 1-1,0-1 1,0 1-1,0-1 1,0 0-1,0 1 1,0-1-1,0 0 0,0 1 1,0-1-1,1 0 1</inkml:trace>
  <inkml:trace contextRef="#ctx0" brushRef="#br0" timeOffset="7579.84">2101 1014 24575,'-17'41'0,"16"-38"0,0-1 0,0 1 0,0 0 0,1 0 0,0 0 0,-1 0 0,1 0 0,0 0 0,1 0 0,-1 0 0,0 0 0,2 4 0,-2-6 0,1 0 0,0 0 0,-1 0 0,1 0 0,0 0 0,0 0 0,-1 0 0,1 0 0,0 0 0,0-1 0,0 1 0,0 0 0,0-1 0,0 1 0,0-1 0,0 1 0,1-1 0,-1 1 0,0-1 0,0 0 0,0 1 0,0-1 0,1 0 0,-1 0 0,0 0 0,0 0 0,1 0 0,-1 0 0,0 0 0,0-1 0,2 1 0,-1-1 0,0 1 0,0-1 0,1 0 0,-1 0 0,0 0 0,0 0 0,0 0 0,0 0 0,0 0 0,-1-1 0,1 1 0,0-1 0,-1 1 0,1-1 0,-1 1 0,3-4 0,-3 2 0,0 0 0,1-1 0,-1 1 0,-1-1 0,1 1 0,0-1 0,-1 1 0,0-1 0,1 1 0,-2-1 0,1 0 0,0 1 0,-1-1 0,1 1 0,-1-1 0,-2-6 0,2 8 0,0 0 0,1 1 0,-1-1 0,0 0 0,0 1 0,0-1 0,0 0 0,0 1 0,-1-1 0,1 1 0,0-1 0,-1 1 0,1 0 0,-1 0 0,1 0 0,-1 0 0,0 0 0,0 0 0,1 0 0,-1 0 0,0 1 0,0-1 0,0 0 0,0 1 0,1 0 0,-1-1 0,0 1 0,0 0 0,0 0 0,0 0 0,0 1 0,-3-1 0,4 1-80,0-1 0,0 0-1,0 0 1,0 0 0,0 1-1,0-1 1,0 1 0,1-1-1,-1 1 1,0-1 0,0 1 0,0-1-1,1 1 1,-1 0 0,0-1-1,0 2 1</inkml:trace>
  <inkml:trace contextRef="#ctx0" brushRef="#br0" timeOffset="8169.03">2399 904 24575,'-1'2'0,"1"0"0,-1-1 0,0 1 0,0-1 0,0 1 0,0-1 0,0 1 0,0-1 0,0 0 0,0 1 0,0-1 0,-1 0 0,1 0 0,0 0 0,-1 0 0,1 0 0,-1 0 0,1 0 0,-1 0 0,0-1 0,1 1 0,-1-1 0,-2 1 0,3 0 0,0-1 0,0 0 0,0 1 0,0-1 0,0 0 0,-1 0 0,1 0 0,0 1 0,0-1 0,0-1 0,0 1 0,0 0 0,-1 0 0,1 0 0,0-1 0,0 1 0,0 0 0,0-1 0,0 1 0,0-1 0,0 1 0,0-1 0,0 0 0,0 1 0,0-1 0,0 0 0,1 0 0,-1 1 0,0-1 0,0 0 0,1 0 0,-1 0 0,1 0 0,-1 0 0,1 0 0,-1 0 0,1 0 0,-1 0 0,1-1 0,0 1 0,0 0 0,-1-1 0,1-1 0,0 1 0,0 0 0,0-1 0,0 1 0,0-1 0,1 1 0,-1 0 0,1-1 0,-1 1 0,1-1 0,0 1 0,0 0 0,0 0 0,0 0 0,0 0 0,0-1 0,1 2 0,2-4 0,-4 5 0,1-1 0,-1 1 0,1-1 0,-1 1 0,1-1 0,0 1 0,-1 0 0,1-1 0,0 1 0,-1 0 0,1-1 0,0 1 0,-1 0 0,1 0 0,0 0 0,0 0 0,-1 0 0,1 0 0,0 0 0,-1 0 0,1 0 0,0 0 0,1 0 0,-1 1 0,0 0 0,1 0 0,-1-1 0,0 1 0,0 0 0,1 0 0,-1 0 0,0 1 0,0-1 0,0 0 0,0 0 0,-1 1 0,1-1 0,0 0 0,1 3 0,1 4 0,0-1 0,-1 1 0,0 0 0,0 0 0,-1 0 0,0 0 0,0 0 0,-1 0 0,0 0 0,0 0 0,-2 9 0,1-12 0,1-1 0,-1 1 0,0-1 0,0 0 0,-1 0 0,1 1 0,-1-1 0,0 0 0,0 0 0,0-1 0,-1 1 0,1 0 0,-1-1 0,0 1 0,0-1 0,0 0 0,0 0 0,-1 0 0,1-1 0,-1 1 0,-7 3 0,11-5 0,-1-1 0,0 0 0,0 1 0,0-1 0,1 0 0,-1 0 0,0 0 0,0 1 0,0-1 0,0 0 0,0 0 0,1 0 0,-1 0 0,0 0 0,0-1 0,0 1 0,0 0 0,0 0 0,1-1 0,-1 1 0,0 0 0,0-1 0,0 1 0,1 0 0,-1-1 0,0 1 0,0-2 0,0 1 0,0-1 0,0 1 0,0-1 0,0 1 0,0-1 0,1 0 0,-1 1 0,1-1 0,-1 0 0,1 1 0,0-1 0,-1 0 0,1-2 0,0 1 0,0 1 0,0-1 0,0 0 0,0 0 0,0 0 0,1 0 0,-1 0 0,1 0 0,0 1 0,0-1 0,0 0 0,0 1 0,1-1 0,-1 0 0,1 1 0,-1 0 0,3-4 0,-3 6 0,1 0 0,-1-1 0,0 1 0,0 0 0,0-1 0,1 1 0,-1 0 0,0 0 0,0 0 0,1 0 0,-1 0 0,0 1 0,0-1 0,1 0 0,-1 0 0,0 1 0,0-1 0,0 1 0,0-1 0,0 1 0,1-1 0,-1 1 0,0 0 0,0-1 0,0 1 0,-1 0 0,1 0 0,0 0 0,1 1 0,27 34 0,-25-31 0,23 29-1365,-20-27-5461</inkml:trace>
  <inkml:trace contextRef="#ctx0" brushRef="#br0" timeOffset="8461.77">2522 941 24575,'0'19'0,"-1"-14"0,1 0 0,0 0 0,0 0 0,0 0 0,1 0 0,1 7 0,-2-11 0,1 1 0,0-1 0,-1 1 0,1 0 0,0-1 0,0 0 0,0 1 0,0-1 0,1 0 0,-1 1 0,0-1 0,0 0 0,1 0 0,-1 0 0,1 0 0,-1 0 0,1 0 0,-1-1 0,1 1 0,0 0 0,-1-1 0,4 1 0,-4 0 0,0-1 0,0 0 0,0 0 0,0 1 0,0-1 0,0 0 0,-1 0 0,1 0 0,0 0 0,0 0 0,0 0 0,0-1 0,0 1 0,0 0 0,0 0 0,-1-1 0,1 1 0,0 0 0,0-1 0,0 1 0,0-1 0,-1 1 0,1-1 0,0 1 0,-1-1 0,1 0 0,0 1 0,0-2 0,0 0 0,0 0 0,0 0 0,0 0 0,0-1 0,-1 1 0,1 0 0,-1 0 0,1-1 0,-1 1 0,0-5 0,0 0 0,0 0 0,-1 0 0,0 0 0,0 0 0,-1 1 0,-4-14 0,6 19-44,-1-1 0,0 0 0,0 0 0,0 1 0,0-1 0,0 0 0,0 1 0,0-1 0,0 1 0,-1 0 0,1-1 0,0 1 0,-1 0 0,1 0 0,-1 0 0,0 0 0,1 0 0,-1 0-1,0 0 1,0 0 0,0 1 0,1-1 0,-1 1 0,0 0 0,0-1 0,0 1 0,0 0 0,0 0 0,0 0 0,-3 1 0,-5 2-6782</inkml:trace>
  <inkml:trace contextRef="#ctx0" brushRef="#br0" timeOffset="9310.98">1794 1390 24575,'1'0'0,"0"1"0,0-1 0,0 1 0,0 0 0,1-1 0,-1 1 0,0 0 0,0 0 0,0 0 0,-1 0 0,1 0 0,0 0 0,0 0 0,0 0 0,-1 0 0,1 0 0,-1 0 0,1 0 0,-1 0 0,1 3 0,12 30 0,-11-28 0,13 60 0,-15-66 0,0-1 0,0 1 0,0 0 0,0 0 0,0 0 0,0 0 0,0 0 0,0 0 0,0 0 0,0 0 0,0 0 0,0 0 0,1 0 0,-1 0 0,0 0 0,0 0 0,0 0 0,0 0 0,0 0 0,0 0 0,0 0 0,0 0 0,0 0 0,0 0 0,0 0 0,0 0 0,0 0 0,0 0 0,1 0 0,-1 0 0,0 0 0,0 0 0,0 0 0,0 0 0,0 0 0,0 0 0,0 0 0,0 0 0,0 0 0,0 0 0,0 0 0,0 0 0,0 0 0,0 0 0,0 0 0,0 0 0,0 0 0,0 1 0,0-1 0,1 0 0,-1 0 0,0 0 0,0 0 0,0 0 0,0 0 0,0 0 0,0 0 0,0 0 0,0 0 0,0 0 0,0 0 0,2-9 0,0-12 0,-2 14 0,0 1 0,0 0 0,0 0 0,1 0 0,0 1 0,0-1 0,2-8 0,-1 11 0,-1 1 0,1-1 0,-1 1 0,1 0 0,0 0 0,0 0 0,0 0 0,0 0 0,0 0 0,0 0 0,0 1 0,1-1 0,-1 1 0,1-1 0,-1 1 0,5-2 0,127-46 0,53-25 0,72-43 0,-135 63 0,-105 48 0,-18 6 0,-1 0 0,1 0 0,-1 0 0,0 0 0,1 0 0,-1 0 0,1 0 0,-1 0 0,0 0 0,1 0 0,-1 1 0,1-1 0,-1 0 0,0 0 0,1 0 0,-1 1 0,0-1 0,1 0 0,-1 0 0,0 1 0,1-1 0,-1 0 0,1 1 0,-1 2 0,1-1 0,-1 0 0,1 1 0,-1-1 0,0 1 0,0-1 0,0 1 0,0-1 0,0 1 0,-2 3 0,-8 99-1365,9-95-5461</inkml:trace>
  <inkml:trace contextRef="#ctx0" brushRef="#br0" timeOffset="10394.83">2027 1541 24575,'0'0'0,"0"0"0,0 0 0,0 0 0,0 0 0,0 0 0,0 0 0,0 0 0,0 0 0,0 0 0,0 1 0,0-1 0,0 0 0,0 0 0,-1 0 0,1 0 0,0 0 0,0 0 0,0 0 0,0 0 0,0 0 0,0 0 0,0 0 0,0 0 0,0 0 0,0-1 0,0 1 0,-1 0 0,1 0 0,0 0 0,0 0 0,0 0 0,0 0 0,0 0 0,0 0 0,0 0 0,0 0 0,0 0 0,0 0 0,0 0 0,0 0 0,0 0 0,0 0 0,0 0 0,0 0 0,0-1 0,0 1 0,0 0 0,0 0 0,-1 0 0,1 0 0,0 0 0,0 0 0,0 0 0,0 0 0,0 0 0,0 0 0,0 0 0,1-1 0,-1 1 0,0 0 0,0 0 0,0 0 0,0 0 0,0 0 0,0 0 0,0 0 0,0 0 0,-6 8 0,-4 12 0,7-14 0,1 0 0,0 0 0,0 0 0,1 0 0,0 0 0,0 1 0,0-1 0,1 9 0,0-13 0,1 0 0,-1 0 0,0 0 0,1-1 0,-1 1 0,1 0 0,0 0 0,0 0 0,0 0 0,0-1 0,0 1 0,0 0 0,0-1 0,0 1 0,1-1 0,-1 0 0,0 1 0,1-1 0,0 0 0,-1 0 0,1 0 0,-1 0 0,1 0 0,0 0 0,0 0 0,0-1 0,0 1 0,-1 0 0,1-1 0,4 1 0,-4-1 0,0 0 0,0 1 0,0-1 0,-1 0 0,1 0 0,0 0 0,0-1 0,0 1 0,0 0 0,0-1 0,-1 1 0,1-1 0,0 1 0,0-1 0,-1 0 0,1 0 0,0 0 0,-1 0 0,1 0 0,-1 0 0,1-1 0,-1 1 0,0 0 0,1-1 0,-1 1 0,0-1 0,0 1 0,0-1 0,0 1 0,0-1 0,0-2 0,2-2 0,-2 0 0,1 0 0,0 0 0,-1 0 0,-1-1 0,1 1 0,-1 0 0,0-7 0,0 14 0,1 1 0,-1 0 0,1-1 0,-1 1 0,1-1 0,-1 1 0,1-1 0,0 1 0,0-1 0,-1 1 0,1-1 0,0 0 0,1 1 0,-1-1 0,0 0 0,0 0 0,0 0 0,1 0 0,-1 0 0,0 0 0,3 1 0,0 0 0,-1-1 0,1 1 0,0-1 0,0 0 0,0 0 0,0 0 0,0 0 0,0-1 0,6 1 0,-7-1 0,0-1 0,0 1 0,0 0 0,0-1 0,0 1 0,0-1 0,-1 0 0,1 0 0,0 0 0,0 0 0,-1-1 0,1 1 0,3-3 0,-5 3 0,1-1 0,-1 1 0,0-1 0,1 1 0,-1-1 0,0 0 0,0 0 0,0 1 0,0-1 0,-1 0 0,1 0 0,0 0 0,-1 0 0,0 0 0,1 0 0,-1 0 0,0 0 0,0 0 0,0 0 0,0 0 0,0 0 0,-1-2 0,1 2 0,-1 0 0,1 0 0,-1-1 0,0 1 0,0 0 0,0 0 0,0 0 0,0 0 0,0 0 0,-1 0 0,1 0 0,-1 1 0,1-1 0,-1 0 0,0 1 0,0 0 0,0-1 0,1 1 0,-1 0 0,0 0 0,-1 0 0,1 0 0,0 0 0,0 0 0,0 0 0,0 1 0,-1 0 0,1-1 0,0 1 0,-1 0 0,1 0 0,0 0 0,-4 0 0,4 0 0,0 0 0,0 0 0,0 1 0,-1-1 0,1 0 0,0 1 0,0 0 0,0-1 0,0 1 0,0 0 0,0 0 0,0 0 0,0 0 0,0 0 0,0 1 0,1-1 0,-1 0 0,0 1 0,1-1 0,-1 1 0,1 0 0,0 0 0,-1-1 0,1 1 0,0 0 0,0 0 0,0 0 0,0 0 0,1 0 0,-1 0 0,1 1 0,-1-1 0,1 0 0,-1 3 0,1-5 0,0 1 0,0 0 0,1 0 0,-1 0 0,0-1 0,0 1 0,0 0 0,1 0 0,-1-1 0,0 1 0,1 0 0,-1-1 0,1 1 0,-1 0 0,1-1 0,-1 1 0,1 0 0,-1-1 0,1 1 0,-1-1 0,1 1 0,0-1 0,1 1 0,0 0 0,0 0 0,0 0 0,0-1 0,0 1 0,1-1 0,-1 1 0,0-1 0,4 0 0,0 0 0,0 0 0,0-1 0,-1 1 0,1-1 0,11-4 0,-13 3 0,1-1 0,-1 1 0,1-1 0,-1 0 0,0 0 0,-1-1 0,1 1 0,0-1 0,-1 0 0,0 0 0,0 0 0,0 0 0,0 0 0,3-9 0,6-7 0,-11 19 0,-1 1 0,0 0 0,1 0 0,-1 0 0,1 0 0,-1 0 0,1 0 0,-1-1 0,0 1 0,1 0 0,-1 0 0,1 0 0,-1 1 0,1-1 0,-1 0 0,0 0 0,1 0 0,-1 0 0,1 0 0,-1 0 0,0 1 0,1-1 0,-1 0 0,1 0 0,-1 1 0,0-1 0,1 0 0,-1 0 0,1 1 0,17 13 0,-7-5 0,-9-8 0,0 1 0,0-1 0,0 0 0,0 0 0,1 0 0,-1 0 0,0-1 0,1 1 0,-1 0 0,0-1 0,1 0 0,-1 1 0,3-1 0,-3-1 0,-1 1 0,0-1 0,-1 1 0,1-1 0,0 0 0,0 0 0,0 1 0,0-1 0,0 0 0,-1 0 0,1 0 0,0 0 0,-1 0 0,1 0 0,-1 0 0,1 0 0,-1 0 0,1 0 0,-1 0 0,0 0 0,1 0 0,-1-1 0,0 1 0,0 0 0,0 0 0,0 0 0,0 0 0,0 0 0,-1-2 0,1-12-98,0-14 317,0 28-265,0 0-1,0 0 1,0 1-1,1-1 1,-1 0-1,0 0 1,0 1 0,1-1-1,-1 0 1,0 1-1,1-1 1,-1 1-1,0-1 1,1 0-1,-1 1 1,1-1 0,-1 1-1,1-1 1,-1 1-1,1-1 1,0 1-1,-1 0 1,1-1 0,0 1-1,-1 0 1,1-1-1,0 1 1,-1 0-1,1 0 1,0 0-1,1-1 1,6 2-6780</inkml:trace>
  <inkml:trace contextRef="#ctx0" brushRef="#br0" timeOffset="10609.95">2426 1427 24575,'0'3'0,"0"2"0,0 3 0,0 0 0,2-1 0,0 1 0,0 1 0,-1-1-8191</inkml:trace>
  <inkml:trace contextRef="#ctx0" brushRef="#br0" timeOffset="10772.59">2435 1298 24575,'-1'0'0,"1"3"0</inkml:trace>
  <inkml:trace contextRef="#ctx0" brushRef="#br0" timeOffset="11272.76">2577 1390 24575,'0'-2'0,"0"1"0,0 0 0,-1-1 0,1 1 0,-1-1 0,0 1 0,1 0 0,-1 0 0,0-1 0,1 1 0,-1 0 0,0 0 0,0 0 0,0 0 0,0 0 0,0 0 0,-1 0 0,1 0 0,0 0 0,0 0 0,0 1 0,-1-1 0,1 0 0,-3 0 0,2 0 0,0 1 0,1-1 0,-1 0 0,0 1 0,0-1 0,0 1 0,0 0 0,0 0 0,0 0 0,0 0 0,0 0 0,0 0 0,0 0 0,0 1 0,0-1 0,0 1 0,-3 1 0,3-1 0,0 1 0,0 0 0,0 0 0,0 0 0,1 0 0,-1 0 0,0 1 0,1-1 0,0 0 0,-1 1 0,1-1 0,0 1 0,0-1 0,1 1 0,-1 0 0,0 4 0,0-5 0,1-1 0,0 0 0,0 1 0,0-1 0,0 0 0,0 0 0,0 1 0,0-1 0,0 0 0,1 1 0,-1-1 0,0 0 0,1 1 0,-1-1 0,1 0 0,0 0 0,-1 0 0,1 0 0,0 0 0,-1 1 0,1-1 0,0 0 0,0-1 0,0 1 0,0 0 0,0 0 0,0 0 0,0-1 0,1 1 0,-1 0 0,0-1 0,0 1 0,0-1 0,1 1 0,-1-1 0,2 1 0,-1-1 0,0 0 0,-1 0 0,1 0 0,-1-1 0,1 1 0,0 0 0,-1 0 0,1-1 0,-1 1 0,1-1 0,0 0 0,-1 1 0,0-1 0,1 0 0,-1 0 0,1 0 0,-1 0 0,0 0 0,0 0 0,0 0 0,1-1 0,-1 1 0,0 0 0,-1-1 0,1 1 0,0-1 0,0 1 0,0-1 0,-1 1 0,1-1 0,-1 1 0,1-4 0,1-3 0,0 1 0,0-1 0,-1 0 0,0-1 0,-1-10 0,-9-74 0,9 91 0,1 19 0,-1-3 0,2 1 0,0-1 0,5 20 0,40 82-1365,-42-101-5461</inkml:trace>
  <inkml:trace contextRef="#ctx0" brushRef="#br0" timeOffset="11721.69">1950 1816 24575,'21'-2'0,"1"-1"0,0-1 0,-1-1 0,0-1 0,0-1 0,26-12 0,-36 14 0,382-173 0,-390 176-116,14-7 366,-14 6-548,-11 3-903,-3 2-5625</inkml:trace>
  <inkml:trace contextRef="#ctx0" brushRef="#br0" timeOffset="12059.08">1996 1903 24575,'-3'2'0,"-2"2"0,4-1 0,5-3 0,10-6 0,9-5 0,11-9 0,11-6 0,9-5 0,7-3 0,5-2 0,1 1 0,-2 5 0,-3 5 0,-8 7 0,-13 4 0,-12 4 0,-12 3-8191</inkml:trace>
  <inkml:trace contextRef="#ctx0" brushRef="#br0" timeOffset="25141.03">1267 1010 24575,'-1'-8'0,"1"0"0,0 0 0,1 0 0,0 0 0,0 0 0,0 1 0,1-1 0,0 0 0,1 1 0,0 0 0,0-1 0,0 1 0,1 0 0,0 0 0,7-9 0,8-8 0,20-27 0,2 1 0,77-71 0,-93 99 0,1 2 0,0 1 0,59-31 0,-72 43 0,0 1 0,1 1 0,0 0 0,-1 1 0,1 1 0,1 0 0,-1 1 0,0 0 0,1 1 0,-1 0 0,24 3 0,-31 0 0,1 0 0,-1 1 0,0 0 0,1 0 0,-1 0 0,-1 1 0,1 0 0,-1 0 0,1 1 0,-1-1 0,0 2 0,6 5 0,1 4 0,0-1 0,-1 2 0,17 27 0,-25-36 15,-2-1 0,1 0 0,0 1-1,-1-1 1,1 11 0,4 10-1469</inkml:trace>
  <inkml:trace contextRef="#ctx0" brushRef="#br0" timeOffset="25432.02">1991 707 24575,'-2'0'0,"0"0"0,1-2 0,2 1 0,4 1 0,4 1 0,1 1 0,1 1 0,1-1 0,0 0 0,-2-1 0,-3-1-8191</inkml:trace>
  <inkml:trace contextRef="#ctx0" brushRef="#br0" timeOffset="25836.92">2110 607 24575,'0'-2'0,"1"0"0,0 3 0,-2 4 0,0 5 0,-4 5 0,-2 6 0,-3 3 0,0 1 0,-2-1 0,2-3 0,1-3 0,2-4 0,2-5 0,2-6 0,2-5 0</inkml:trace>
  <inkml:trace contextRef="#ctx0" brushRef="#br0" timeOffset="27789.49">2321 432 24575,'-1'-6'0,"-1"0"0,1 0 0,-1 1 0,0-1 0,-3-6 0,0 5 0,11 29 0,22 54 0,22 73 0,-50-148 0,1 0 0,-1 1 0,1-1 0,-1 1 0,0-1 0,0 1 0,0 0 0,0-1 0,0 1 0,0-1 0,0 1 0,-1 1 0,1-2 0,0-1 0,0 0 0,0 0 0,-1 0 0,1 0 0,0 0 0,0 1 0,-1-1 0,1 0 0,0 0 0,0 0 0,-1 0 0,1 0 0,0 0 0,-1 0 0,1 0 0,0 0 0,0 0 0,-1 0 0,1 0 0,0 0 0,0 0 0,-1 0 0,1 0 0,0 0 0,0 0 0,-1 0 0,1-1 0,0 1 0,0 0 0,-1 0 0,1 0 0,0 0 0,0 0 0,0-1 0,-1 1 0,1 0 0,0-1 0,-4-1 0,1-2 0,0 1 0,0 0 0,1 0 0,-1-1 0,0 0 0,-2-5 0,-4-12 0,1 0 0,1-1 0,0 0 0,-5-37 0,6 11 0,-1-55 0,7 93 0,2-47 0,-2 55 0,0-1 0,0 0 0,1 1 0,0-1 0,-1 1 0,1-1 0,0 0 0,0 1 0,0 0 0,1-1 0,-1 1 0,1 0 0,-1-1 0,1 1 0,0 0 0,4-3 0,-5 4 0,0 0 0,0 1 0,0-1 0,0 1 0,0-1 0,0 1 0,0-1 0,0 1 0,0 0 0,1-1 0,-1 1 0,0 0 0,0 0 0,0 0 0,1 0 0,-1 0 0,0 0 0,0 0 0,0 1 0,1-1 0,-1 0 0,2 2 0,-1-1 0,0 0 0,0 1 0,1-1 0,-1 1 0,-1 0 0,1 0 0,0-1 0,0 1 0,-1 0 0,3 3 0,0 3 0,1 0 0,-1 1 0,-1-1 0,5 18 0,-5-14 0,0 0 0,-2 0 0,1 0 0,-1 22 0,-1-30 0,0 0 0,-1-1 0,1 1 0,-1 0 0,1 0 0,-1-1 0,0 1 0,-1-1 0,1 1 0,0-1 0,-1 0 0,0 1 0,0-1 0,0 0 0,0 0 0,-1 0 0,1 0 0,-1-1 0,1 1 0,-4 2 0,4-4 0,0-1 0,1 1 0,-1-1 0,0 1 0,0-1 0,0 0 0,0 1 0,0-1 0,1 0 0,-1 0 0,-4-1 0,6 1 0,-1 0 0,1 0 0,-1 0 0,1 0 0,-1 0 0,0 0 0,1 0 0,-1-1 0,1 1 0,-1 0 0,1 0 0,-1 0 0,1-1 0,-1 1 0,1 0 0,-1-1 0,1 1 0,0 0 0,-1-1 0,1 1 0,-1-1 0,1 1 0,0 0 0,-1-1 0,1 1 0,0-1 0,0 1 0,-1-1 0,1 1 0,0-1 0,0 1 0,0-1 0,0 0 0,0 1 0,-1-1 0,1 1 0,0-1 0,0 1 0,0-1 0,1 1 0,-1-1 0,0 0 0,0 0 0,1 1 0,-1 0 0,1-1 0,-1 1 0,1 0 0,-1-1 0,1 1 0,-1 0 0,1 0 0,-1-1 0,1 1 0,0 0 0,-1 0 0,1 0 0,-1 0 0,1 0 0,-1 0 0,1 0 0,0 0 0,-1 0 0,1 0 0,-1 0 0,1 0 0,-1 1 0,1-1 0,0 0 0,-1 0 0,1 0 0,-1 1 0,1-1 0,-1 0 0,1 1 0,-1-1 0,0 1 0,1-1 0,20 13 0,13 17 0,-29-24 0,1 0 0,0 0 0,1-1 0,-1 0 0,1 0 0,0-1 0,0 0 0,9 4 0,-15-8 0,0 0 0,0 0 0,1 0 0,-1 0 0,0 0 0,0 0 0,1-1 0,-1 1 0,0 0 0,0-1 0,0 1 0,1 0 0,-1-1 0,0 1 0,0-1 0,0 0 0,0 1 0,0-1 0,0 0 0,0 0 0,0 0 0,0 0 0,0 0 0,0 0 0,-1 0 0,1 0 0,0 0 0,-1 0 0,1 0 0,-1 0 0,1 0 0,-1-1 0,1-1 0,1-4 0,1 0 0,-2 0 0,1 0 0,1-11 0,-3 14 0,2-32 0,-2 34 0,0 1 0,0-1 0,0 0 0,0 1 0,-1-1 0,1 1 0,0-1 0,-1 1 0,1-1 0,-1 1 0,1-1 0,-1 1 0,0-1 0,1 1 0,-1 0 0,0 0 0,0-1 0,-2-1 0,2 3 0,0 0 0,0-1 0,1 1 0,-1 0 0,0 0 0,0 0 0,1 0 0,-1 0 0,0 0 0,0 0 0,0 1 0,1-1 0,-1 0 0,0 0 0,0 0 0,1 1 0,-1-1 0,0 0 0,0 1 0,1-1 0,-1 1 0,1-1 0,-1 1 0,0-1 0,1 1 0,-1-1 0,1 1 0,-1 0 0,1-1 0,-1 1 0,1 0 0,0-1 0,-1 1 0,1 0 0,0 0 0,0-1 0,-1 1 0,1 0 0,0 1 0,-2 2 0,1 1 0,0-1 0,-1 0 0,2 1 0,-2 7 0,2-11 0,0 0 0,0 0 0,0 0 0,0-1 0,0 1 0,0 0 0,0 0 0,0 0 0,0 0 0,0-1 0,1 1 0,-1 0 0,0 0 0,1 0 0,-1-1 0,0 1 0,1 0 0,-1 0 0,1-1 0,-1 1 0,1 0 0,-1-1 0,1 1 0,0-1 0,-1 1 0,1-1 0,0 1 0,1 0 0,-2-1 0,1-1 0,0 1 0,-1 0 0,1-1 0,0 1 0,-1 0 0,1-1 0,0 1 0,-1-1 0,1 1 0,-1-1 0,1 0 0,-1 1 0,1-1 0,-1 1 0,0-1 0,1 0 0,-1 1 0,0-1 0,1 0 0,-1 1 0,0-1 0,0 0 0,1 0 0,-1 1 0,0-1 0,0 0 0,0 0 0,0 1 0,0-1 0,-1-1 0,1-13 0,1 5 0,12 16 0,-10-4 0,0 0 0,1 0 0,-1 0 0,1 0 0,0-1 0,-1 1 0,1-1 0,0 0 0,0 0 0,4 0 0,-7-1 0,-1 0 0,1 0 0,0 0 0,0 0 0,0 0 0,0 0 0,-1 0 0,1 0 0,0-1 0,0 1 0,-1 0 0,1-1 0,0 1 0,0 0 0,-1-1 0,1 1 0,0-1 0,-1 1 0,1-1 0,-1 1 0,2-2 0,-2 1 0,1-1 0,-1 1 0,1 0 0,-1-1 0,1 1 0,-1-1 0,0 1 0,1-1 0,-1 1 0,0-1 0,0 1 0,0-1 0,-1 1 0,1-1 0,-1-2 0,-10-23 0,12 28 0,1 0 0,-1 0 0,0 0 0,0 0 0,1-1 0,-1 1 0,1 0 0,-1-1 0,1 1 0,-1 0 0,1-1 0,-1 0 0,1 1 0,0-1 0,-1 0 0,1 0 0,-1 0 0,1 0 0,0 0 0,-1 0 0,3-1 0,-3 1 0,0-1 0,0 1 0,0-1 0,0 1 0,0-1 0,0 1 0,0-1 0,-1 0 0,1 1 0,0-1 0,0 0 0,-1 0 0,1 1 0,0-1 0,-1 0 0,1 0 0,-1 0 0,1 0 0,-1 0 0,0 0 0,1 0 0,-1 0 0,0 0 0,0 0 0,1 0 0,-1 0 0,0 0 0,0 0 0,0 0 0,0 0 0,-1 0 0,1 0 0,0-1 0,0 3 0,1 0 0,0 1 0,-1-1 0,1 0 0,0 0 0,0 0 0,0 0 0,0 0 0,0 0 0,0 0 0,0 0 0,0 0 0,1 0 0,-1 0 0,0-1 0,0 1 0,1-1 0,-1 1 0,0-1 0,1 1 0,-1-1 0,0 0 0,1 1 0,-1-1 0,1 0 0,1 0 0,-2 0 0,0 0 0,1 0 0,-1 1 0,0-1 0,1 0 0,-1 0 0,0-1 0,1 1 0,-1 0 0,0 0 0,0-1 0,1 1 0,-1-1 0,0 1 0,0-1 0,0 1 0,0-1 0,0 0 0,1 1 0,-1-1 0,0 0 0,0 0 0,-1 0 0,1 0 0,0 0 0,0 0 0,0 0 0,-1 0 0,2-2 0,-1-1 0,-1 1 0,0-1 0,0 1 0,0-1 0,0 1 0,0-1 0,-1 1 0,0-1 0,0 1 0,1 0 0,-2-1 0,1 1 0,0 0 0,-1 0 0,0 0 0,1 0 0,-1 0 0,0 0 0,-1 0 0,-2-3 0,5 6-29,0 0-1,0 0 0,0 0 1,0 0-1,0-1 0,-1 1 0,1 0 1,0 0-1,0 0 0,0 0 1,0 0-1,0 0 0,0-1 1,-1 1-1,1 0 0,0 0 1,0 0-1,0 0 0,0 0 1,0 0-1,-1 0 0,1 0 1,0 0-1,0 0 0,0 0 1,0 0-1,-1 0 0,1 0 1,0 0-1,0 0 0,0 0 0,0 0 1,-1 0-1,1 0 0,0 0 1,0 0-1,0 0 0,0 0 1,-1 0-1,1 0 0,0 0 1,0 1-1,0-1 0,0 0 1,0 0-1</inkml:trace>
  <inkml:trace contextRef="#ctx0" brushRef="#br0" timeOffset="28452.02">2664 538 24575,'1'6'0,"1"0"0,-1 0 0,1 0 0,0 0 0,0 0 0,0-1 0,6 10 0,3 7 0,-4-4 0,8 20 0,-11-28 0,-7-15 0,-3-7 0,0 1 0,0 0 0,1-1 0,1 0 0,-1 0 0,2 0 0,0 0 0,-2-15 0,5 27 0,0-1 0,0 1 0,0-1 0,0 1 0,0 0 0,1-1 0,-1 1 0,0-1 0,0 1 0,0 0 0,0-1 0,1 1 0,-1 0 0,0-1 0,0 1 0,1 0 0,-1 0 0,0-1 0,1 1 0,-1 0 0,0 0 0,1-1 0,-1 1 0,0 0 0,1 0 0,-1 0 0,1 0 0,-1 0 0,0-1 0,1 1 0,-1 0 0,1 0 0,-1 0 0,0 0 0,1 0 0,-1 0 0,1 0 0,-1 0 0,1 1 0,23 3 0,-10-1 0,-13-3 0,-1 0 0,1 0 0,0-1 0,0 1 0,-1 0 0,1-1 0,0 1 0,-1 0 0,1-1 0,0 1 0,-1-1 0,1 1 0,-1-1 0,1 1 0,-1-1 0,1 1 0,-1-1 0,1 1 0,-1-1 0,1 0 0,-1 1 0,0-1 0,1 0 0,-1 0 0,0 1 0,0-1 0,0 0 0,1 1 0,-1-1 0,0 0 0,0 0 0,0 0 0,-1-30 0,1 19 0,10 28 0,-5-6-136,0 0-1,1 0 1,1-1-1,0 0 1,0 0-1,0-1 1,1 0-1,1 0 0,14 10 1,-12-10-6690</inkml:trace>
  <inkml:trace contextRef="#ctx0" brushRef="#br0" timeOffset="29093.71">2893 533 24575,'3'-5'0,"-2"1"0,1-1 0,-1 0 0,0 0 0,0-1 0,0 1 0,0 0 0,-1 0 0,0 0 0,0-1 0,-1 1 0,0-6 0,1 11 0,0-1 0,0 1 0,0-1 0,0 1 0,-1-1 0,1 1 0,0 0 0,0-1 0,0 1 0,0-1 0,0 1 0,-1-1 0,1 1 0,0 0 0,0-1 0,-1 1 0,1 0 0,0-1 0,-1 1 0,1 0 0,0-1 0,-1 1 0,1 0 0,-1-1 0,1 1 0,0 0 0,-1 0 0,1 0 0,-1 0 0,1-1 0,-1 1 0,1 0 0,0 0 0,-1 0 0,1 0 0,-1 0 0,1 0 0,-1 0 0,1 0 0,-1 0 0,1 0 0,-1 0 0,1 0 0,-1 1 0,1-1 0,0 0 0,-1 0 0,1 0 0,-1 1 0,1-1 0,0 0 0,-1 0 0,1 1 0,0-1 0,-1 0 0,1 1 0,-1 0 0,-1 1 0,0 0 0,0 0 0,0 0 0,0 1 0,1-1 0,-1 0 0,-2 5 0,3-1 0,-1 0 0,1 0 0,0 0 0,0 0 0,0 10 0,1-15 0,0 1 0,0-1 0,0 1 0,0-1 0,1 0 0,-1 1 0,0-1 0,1 1 0,-1-1 0,1 0 0,0 1 0,-1-1 0,2 1 0,-2-1 0,1-1 0,-1 1 0,1-1 0,0 1 0,-1-1 0,1 0 0,0 1 0,-1-1 0,1 0 0,0 0 0,-1 1 0,1-1 0,0 0 0,-1 0 0,1 0 0,0 0 0,0 0 0,-1 0 0,1 0 0,0 0 0,-1 0 0,1 0 0,0-1 0,0 1 0,-1 0 0,1 0 0,0-1 0,0 1 0,0-1 0,0 1 0,0-1 0,0 1 0,0-1 0,-1 0 0,1 1 0,0-1 0,0 0 0,0 0 0,-1 0 0,1 0 0,0 0 0,-1 0 0,1 1 0,-1-1 0,1 0 0,-1-1 0,0 1 0,1 0 0,-1 0 0,0 0 0,0 0 0,1 0 0,-1 0 0,0-2 0,0 2 0,0 0 0,0 0 0,0 0 0,0 0 0,1 0 0,-1 0 0,0 0 0,1 0 0,-1 0 0,0 0 0,1 0 0,0 0 0,-1 0 0,1 0 0,1-1 0,17 19 0,-16-16 0,0 1 0,0-1 0,0 0 0,-1 0 0,1 0 0,1 0 0,-1 0 0,0-1 0,0 1 0,0-1 0,0 0 0,0 0 0,0 0 0,1 0 0,-1 0 0,0-1 0,0 0 0,0 1 0,3-3 0,-4 3 0,0-1 0,0 0 0,0 0 0,0 0 0,0 0 0,0 0 0,0 0 0,-1 0 0,1-1 0,0 1 0,-1-1 0,1 1 0,-1-1 0,0 0 0,1 1 0,-1-1 0,0 0 0,0 0 0,0 0 0,0 0 0,-1 0 0,1 0 0,0 0 0,-1 0 0,0 0 0,1 0 0,-1 0 0,0-4 0,-2-8 0,-1-1 0,-1 1 0,0 0 0,-1 0 0,-1 0 0,-8-14 0,-2-8 0,-5-8 0,21 44 0,0 0 0,0 0 0,0 0 0,0 0 0,0 0 0,0 0 0,0 0 0,0 0 0,0 0 0,0 0 0,0 0 0,0 0 0,0 0 0,0 0 0,0 0 0,0 1 0,0-1 0,0 0 0,0 0 0,0 0 0,0 0 0,-1 0 0,1 0 0,0 0 0,0 0 0,0 0 0,0 0 0,0 0 0,0 0 0,0 0 0,0 0 0,0 0 0,0 0 0,0-1 0,0 1 0,0 0 0,0 0 0,0 0 0,0 0 0,0 0 0,-1 0 0,4 12 0,7 16 0,-1-11-273,1-1 0,0 0 0,1-1 0,25 27 0,-24-30-6553</inkml:trace>
  <inkml:trace contextRef="#ctx0" brushRef="#br0" timeOffset="29243.84">2976 396 24575,'0'-2'0,"2"0"0,4-2 0,4-1 0,-1-1 0,-1-1-8191</inkml:trace>
  <inkml:trace contextRef="#ctx0" brushRef="#br0" timeOffset="29951.71">3068 364 24575,'1'-1'0,"1"1"0,-1 0 0,1-1 0,-1 1 0,1-1 0,-1 1 0,1-1 0,-1 0 0,0 1 0,1-1 0,-1 0 0,0 0 0,0 0 0,0 0 0,1 0 0,-1-1 0,0 1 0,0 0 0,-1 0 0,1-1 0,0 1 0,0 0 0,-1-1 0,1 1 0,0-1 0,-1-1 0,1 2 0,-1 0 0,1-1 0,-1 1 0,0 0 0,1 0 0,-1 0 0,0-1 0,0 1 0,0 0 0,0 0 0,0 0 0,0-1 0,0 1 0,-1 0 0,1 0 0,0 0 0,-1-1 0,1 1 0,0 0 0,-1 0 0,0 0 0,1 0 0,-1 0 0,0 0 0,1 0 0,-1 0 0,0 0 0,0 0 0,0 1 0,0-1 0,0 0 0,0 1 0,-1-2 0,2 2 0,-1 0 0,0 0 0,1 0 0,-1 0 0,1 0 0,-1 0 0,0 0 0,1 0 0,-1 0 0,1 0 0,-1 0 0,1 0 0,-1 1 0,0-1 0,1 0 0,-1 0 0,1 1 0,-1-1 0,1 0 0,-1 1 0,1-1 0,-1 0 0,1 1 0,0-1 0,-1 1 0,1-1 0,0 1 0,-1-1 0,1 1 0,0-1 0,-1 1 0,1-1 0,0 1 0,0-1 0,0 1 0,-1-1 0,1 1 0,0 0 0,-4 25 0,4-21 0,0-1 0,0 1 0,1 0 0,0 0 0,0-1 0,1 1 0,-1-1 0,1 1 0,0-1 0,0 0 0,0 1 0,1-1 0,-1 0 0,1-1 0,0 1 0,4 4 0,-5-6 0,0 0 0,1 0 0,-1 0 0,0 0 0,1 0 0,-1-1 0,1 1 0,0-1 0,-1 0 0,1 0 0,0 0 0,0 0 0,0 0 0,0 0 0,0-1 0,0 1 0,0-1 0,0 0 0,0 0 0,0 0 0,0-1 0,0 1 0,0-1 0,0 1 0,0-1 0,-1 0 0,4-1 0,-4 1 0,-1 0 0,0 0 0,1-1 0,-1 1 0,0 0 0,0 0 0,0-1 0,0 1 0,0-1 0,0 1 0,0 0 0,-1-1 0,1 0 0,0 1 0,-1-1 0,1 1 0,-1-1 0,0 0 0,0 1 0,1-1 0,-1 0 0,0 0 0,-1-1 0,-3-47 0,2 35 0,0 0 0,1 10 0,0 1 0,0 0 0,1-1 0,-1 1 0,1 0 0,0-1 0,0 1 0,1 0 0,0-6 0,0 10 0,-1 0 0,0 0 0,1 0 0,-1 0 0,0 0 0,1 0 0,-1 0 0,0 0 0,1 0 0,-1 0 0,0 0 0,1 0 0,-1 0 0,0 0 0,1 0 0,-1 0 0,0 0 0,0 0 0,1 1 0,-1-1 0,0 0 0,1 0 0,-1 0 0,0 1 0,0-1 0,1 0 0,-1 0 0,0 0 0,0 1 0,0-1 0,1 0 0,-1 1 0,0-1 0,0 0 0,0 1 0,11 12 0,-10-12 0,4 4 0,-1 0 0,0 0 0,1-1 0,0 0 0,0 0 0,9 6 0,-13-10 0,0 1 0,0-1 0,0 1 0,-1-1 0,1 0 0,0 0 0,0 1 0,0-1 0,0 0 0,0 0 0,0 0 0,0 0 0,0 0 0,0 0 0,0 0 0,0 0 0,0 0 0,0 0 0,0-1 0,1 1 0,-1-1 0,0 0 0,0 0 0,0 0 0,-1 0 0,1 0 0,0 0 0,0 0 0,-1-1 0,1 1 0,-1 0 0,1 0 0,-1 0 0,1-1 0,-1 1 0,0 0 0,0-1 0,0 1 0,1 0 0,-1 0 0,-1-2 0,2-37 0,5 48 0,0-1 0,0 0 0,1-1 0,0 0 0,14 10 0,-3-6-1365,-12-8-5461</inkml:trace>
  <inkml:trace contextRef="#ctx0" brushRef="#br0" timeOffset="30108.77">3210 48 24575,'0'0'0,"4"0"0,2 2 0,3 1 0,-1 0-8191</inkml:trace>
  <inkml:trace contextRef="#ctx0" brushRef="#br0" timeOffset="30755.91">3379 162 24575,'-1'-1'0,"0"-1"0,-1 1 0,1 0 0,0 0 0,-1 0 0,1 0 0,-1 0 0,0 0 0,1 0 0,-4 0 0,5 0 0,-1 1 0,1 0 0,-1 0 0,0 0 0,1 0 0,-1 0 0,0 0 0,1 0 0,-1 0 0,1 0 0,-1 0 0,0 0 0,1 1 0,-1-1 0,1 0 0,-1 0 0,0 1 0,1-1 0,-1 0 0,1 1 0,-1 0 0,0 0 0,-1 1 0,1-1 0,0 1 0,1 0 0,-1-1 0,0 1 0,0 0 0,1 0 0,-1-1 0,1 1 0,-1 0 0,1 0 0,0 0 0,0 0 0,0 0 0,0 0 0,0 0 0,1 3 0,0-3 0,-1 1 0,1-1 0,0 0 0,-1 0 0,1 1 0,1-1 0,-1 0 0,0 0 0,0 0 0,1 0 0,-1 0 0,1-1 0,0 1 0,2 2 0,-3-3 0,-1-1 0,1 0 0,-1 1 0,1-1 0,-1 0 0,1 0 0,-1 1 0,1-1 0,-1 0 0,1 0 0,0 0 0,-1 1 0,1-1 0,-1 0 0,1 0 0,0 0 0,-1 0 0,1 0 0,-1 0 0,1 0 0,0-1 0,0 1 0,0-1 0,0 1 0,0-1 0,-1 0 0,1 1 0,0-1 0,-1 0 0,1 0 0,0 0 0,-1 0 0,1 0 0,-1 1 0,1-1 0,-1 0 0,0 0 0,1 0 0,-1 0 0,0 0 0,0-2 0,1-12 0,-1 13 0,0 0 0,0 0 0,0 0 0,0-1 0,1 1 0,-1 0 0,0 0 0,1 0 0,0 0 0,0-2 0,1 4 0,0 0 0,0 0 0,0 0 0,1 0 0,-1 0 0,0 1 0,-1-1 0,1 1 0,0 0 0,0 0 0,3 1 0,0 0 0,1 0 0,0 0 0,0-1 0,0 1 0,0-1 0,0-1 0,0 1 0,12-1 0,-17 0 0,1-1 0,0 1 0,-1 0 0,1-1 0,-1 1 0,1-1 0,-1 0 0,1 1 0,-1-1 0,1 0 0,-1 0 0,1 0 0,-1 0 0,0 0 0,0 0 0,0 0 0,1-1 0,-1 1 0,0 0 0,-1-1 0,1 1 0,0-1 0,0 1 0,0-1 0,-1 1 0,1-1 0,-1 1 0,0-1 0,1 0 0,-1 1 0,0-1 0,0 1 0,0-4 0,0-14 0,-1-1 0,-1 0 0,0 1 0,-2 0 0,-8-28 0,28 95 0,40 80 0,-2-23-1365,-46-88-5461</inkml:trace>
  <inkml:trace contextRef="#ctx0" brushRef="#br0" timeOffset="31084.8">3049 657 24575,'1'-2'0,"5"-2"0,9-5 0,12-5 0,9-2 0,8-5 0,3-2 0,3-4 0,-1-1 0,-2 2 0,-6 1 0,-8 7 0,-12 6 0,-10 7 0</inkml:trace>
  <inkml:trace contextRef="#ctx0" brushRef="#br0" timeOffset="31399.64">3127 721 24575,'-2'0'0,"2"0"0,2 0 0,7-4 0,7-6 0,9-6 0,8-5 0,7-5 0,5-1 0,2-2 0,-3 1 0,-7 4 0,-6 5 0,-10 3 0,-8 4 0,-7 1 0,-3 2-8191</inkml:trace>
  <inkml:trace contextRef="#ctx0" brushRef="#br0" timeOffset="96480.57">3196 1422 24575,'-3'-13'0,"3"12"0,0 1 0,0 0 0,0 0 0,0 0 0,-1 0 0,1 0 0,0 0 0,0 0 0,0 0 0,-1 0 0,1 0 0,0 0 0,0 0 0,0 0 0,0 0 0,-1 0 0,1 0 0,0 0 0,0 0 0,0 0 0,0 0 0,-1 0 0,1 0 0,0 0 0,0 0 0,0 0 0,0 0 0,-1 0 0,1 1 0,0-1 0,0 0 0,0 0 0,0 0 0,0 0 0,0 0 0,-1 0 0,1 1 0,-13 22 0,8-10 0,1 0 0,0 1 0,1-1 0,1 1 0,-2 27 0,4-37 0,0 0 0,1-1 0,-1 1 0,1 0 0,0 0 0,0 0 0,0-1 0,0 1 0,1 0 0,-1-1 0,4 6 0,-3-7 0,-1 0 0,1 0 0,0-1 0,0 1 0,0 0 0,0-1 0,0 1 0,1-1 0,-1 1 0,0-1 0,1 0 0,-1 0 0,1 0 0,-1 0 0,1-1 0,-1 1 0,1-1 0,4 1 0,-5-1 0,0 0 0,0-1 0,1 1 0,-1 0 0,0-1 0,0 1 0,0-1 0,0 0 0,0 0 0,0 0 0,-1 0 0,1 0 0,0 0 0,0 0 0,-1-1 0,1 1 0,-1 0 0,1-1 0,-1 0 0,1 1 0,-1-1 0,0 0 0,0 1 0,0-1 0,0 0 0,0 0 0,0 0 0,-1 0 0,1 0 0,0-2 0,2-5 0,-1 0 0,0 0 0,-1 0 0,0 1 0,0-17 0,-1 27 0,0-1 0,0 0 0,1 0 0,-1 1 0,0-1 0,1 0 0,-1 0 0,1 1 0,0-1 0,-1 0 0,1 0 0,0 0 0,0 0 0,0 0 0,0 0 0,0 0 0,0 0 0,0 0 0,0 0 0,0-1 0,0 1 0,0 0 0,0-1 0,2 1 0,-2 0 0,0-1 0,0 0 0,0 0 0,-1 0 0,1 1 0,0-1 0,0 0 0,0 0 0,0 0 0,0-1 0,0 1 0,0 0 0,0 0 0,-1 0 0,1-1 0,0 1 0,0 0 0,0-1 0,-1 1 0,1-1 0,0 1 0,0-1 0,-1 1 0,1-1 0,0 0 0,-1 1 0,1-1 0,-1 0 0,1 1 0,-1-1 0,1 0 0,-1 0 0,1 0 0,-1 1 0,0-1 0,1 0 0,-1 0 0,0 0 0,0-2 0,1 3 0,-1 0 0,0-1 0,0 1 0,0-1 0,0 1 0,0-1 0,1 1 0,-1-1 0,0 1 0,0 0 0,1-1 0,-1 1 0,0 0 0,0-1 0,1 1 0,-1 0 0,1-1 0,-1 1 0,0 0 0,1-1 0,-1 1 0,0 0 0,1 0 0,-1 0 0,1-1 0,-1 1 0,1 0 0,0 0 0,14 3 0,-14-2 0,0-1 0,0 1 0,1-1 0,-1 1 0,0-1 0,0 0 0,0 1 0,1-1 0,-1 0 0,0 0 0,0 0 0,1 0 0,-1 0 0,0 0 0,0 0 0,0 0 0,1-1 0,-1 1 0,0 0 0,0-1 0,0 1 0,1-1 0,-1 1 0,0-1 0,0 1 0,0-1 0,0 0 0,1-1 0,0-1 0,0 1 0,-1-1 0,1 0 0,-1 0 0,0 0 0,0 0 0,0 0 0,1-3 0,-2 5 0,1-1 0,-1 1 0,0 0 0,0 0 0,1-1 0,-1 1 0,0 0 0,-1 0 0,1-1 0,0 1 0,0 0 0,0-1 0,-1 1 0,1 0 0,0 0 0,-1 0 0,0-1 0,1 1 0,-1 0 0,1 0 0,-1 0 0,-1-1 0,10 22 0,-3-12 0,0-1 0,-1 1 0,1-1 0,2 10 0,-7-16 0,1 0 0,-1 0 0,1 1 0,-1-1 0,0 0 0,0 0 0,0 0 0,1 1 0,-1-1 0,0 0 0,-1 0 0,1 1 0,0-1 0,0 0 0,0 0 0,-2 3 0,2-4 0,-1 1 0,0 0 0,1-1 0,-1 1 0,0-1 0,0 1 0,0-1 0,0 1 0,0-1 0,0 1 0,0-1 0,1 0 0,-1 1 0,0-1 0,0 0 0,0 0 0,0 0 0,0 0 0,0 0 0,0 0 0,0 0 0,0 0 0,0 0 0,-2-1 0,2 1-57,0-1 0,0 1 1,-1 0-1,1-1 0,0 1 0,0-1 0,0 1 0,0-1 0,1 1 0,-1-1 0,0 0 1,0 1-1,0-1 0,0 0 0,1 0 0,-1 0 0,0 1 0,1-1 0,-1 0 1,0 0-1,1 0 0,-1 0 0,0-2 0,-2-8-6769</inkml:trace>
  <inkml:trace contextRef="#ctx0" brushRef="#br0" timeOffset="97546.93">3406 1303 24575,'3'0'0,"0"1"0,0 0 0,0 0 0,0 0 0,-1 0 0,1 0 0,0 0 0,-1 1 0,1 0 0,-1-1 0,0 1 0,1 0 0,-1 0 0,0 0 0,0 0 0,0 0 0,-1 1 0,1-1 0,0 1 0,-1-1 0,1 1 0,1 5 0,3 6 0,0 1 0,7 26 0,-8-26 0,-3-7 0,1-1 0,-1 1 0,-1-1 0,0 1 0,0-1 0,0 10 0,-1-17 0,0 0 0,0 0 0,0 0 0,0 1 0,0-1 0,0 0 0,0 0 0,0 1 0,0-1 0,0 0 0,0 0 0,0 0 0,0 1 0,0-1 0,0 0 0,0 0 0,0 0 0,0 1 0,-1-1 0,1 0 0,0 0 0,0 0 0,0 1 0,0-1 0,-1 0 0,1 0 0,0 0 0,0 0 0,0 0 0,0 0 0,-1 0 0,1 1 0,0-1 0,0 0 0,-1 0 0,1 0 0,0 0 0,0 0 0,0 0 0,-1 0 0,1 0 0,-10-7 0,-7-12 0,17 18 0,-1 0 0,0 0 0,0 0 0,1 0 0,-1 0 0,0 0 0,1 0 0,-1 0 0,1 0 0,-1 0 0,1 0 0,0 0 0,-1-1 0,1 1 0,0 0 0,0 0 0,0 0 0,0-1 0,0 1 0,0 0 0,0 0 0,1 0 0,-1 0 0,0-1 0,0 1 0,2-2 0,-1 2 0,1 0 0,0-1 0,0 1 0,0 0 0,0 0 0,0 0 0,0 1 0,0-1 0,1 0 0,-1 1 0,0-1 0,0 1 0,4 0 0,-3-1 0,41-8 0,-43 8 0,0 1 0,0 0 0,1-1 0,-1 1 0,0 0 0,0-1 0,0 1 0,0-1 0,0 1 0,0-1 0,0 0 0,0 0 0,0 1 0,0-1 0,-1 0 0,1 0 0,0 0 0,0 0 0,-1 0 0,1 0 0,-1 0 0,1 0 0,-1 0 0,1 0 0,-1 0 0,0 0 0,1 0 0,-1 0 0,0-1 0,0 1 0,0 0 0,0-2 0,0 2 0,0 1 0,0-1 0,0 1 0,0-1 0,0 1 0,0-1 0,-1 1 0,1-1 0,0 1 0,0 0 0,0-1 0,-1 1 0,1-1 0,0 1 0,-1 0 0,1-1 0,0 1 0,-1 0 0,1-1 0,-1 1 0,1 0 0,0-1 0,-1 1 0,1 0 0,-1 0 0,1 0 0,-1 0 0,1-1 0,-1 1 0,1 0 0,-1 0 0,0 0 0,0 0 0,0 0 0,0 1 0,0-1 0,0 0 0,0 1 0,0-1 0,1 0 0,-1 1 0,0 0 0,0-1 0,0 1 0,0-1 0,1 1 0,-1 0 0,-1 1 0,1-2 0,1 1 0,-1 0 0,0 0 0,1 0 0,-1-1 0,0 1 0,1 0 0,-1 0 0,1 0 0,0 0 0,-1 0 0,1 0 0,0 0 0,-1 0 0,1 0 0,0 0 0,0 0 0,0 0 0,0 0 0,0 0 0,0 0 0,0 0 0,0 1 0,1-1 0,-1 0 0,0 0 0,1 0 0,-1-1 0,1 1 0,-1 0 0,1 0 0,-1 0 0,1 0 0,-1 0 0,1 0 0,0-1 0,0 1 0,1 1 0,-1-1 0,0 0 0,-1-1 0,1 1 0,0 0 0,0-1 0,0 1 0,0 0 0,0-1 0,0 0 0,1 1 0,-1-1 0,0 0 0,0 1 0,0-1 0,0 0 0,0 0 0,0 0 0,1 0 0,-1 0 0,0 0 0,0 0 0,0 0 0,0-1 0,0 1 0,1 0 0,-1-1 0,0 1 0,0-1 0,0 1 0,0-1 0,0 1 0,0-1 0,0 0 0,1-1 0,1-2 0,0 0 0,0-1 0,0 0 0,0 1 0,-1-1 0,3-7 0,6-12 0,-10 23 0,-1 1 0,0 0 0,0-1 0,0 1 0,1 0 0,-1-1 0,0 1 0,0 0 0,1-1 0,-1 1 0,0 0 0,1-1 0,-1 1 0,0 0 0,1 0 0,-1 0 0,1-1 0,-1 1 0,0 0 0,1 0 0,-1 0 0,1 0 0,-1 0 0,0 0 0,1 0 0,-1 0 0,1 0 0,-1 0 0,0 0 0,1 0 0,-1 0 0,1 0 0,0 0 0,8 13 0,-1 20 0,-7-30 0,0 1 0,-1 1 0,1 0 0,-1 0 0,0 0 0,0 0 0,-2 9 0,0-54 0,2 37 0,4-22 0,-4 24 0,0 0 0,0 0 0,0 0 0,1 0 0,-1 0 0,1 0 0,-1 0 0,0 0 0,1 0 0,0 0 0,-1 0 0,1 0 0,-1 0 0,1 1 0,0-1 0,0 0 0,-1 0 0,1 1 0,2-2 0,-3 2 0,1 0 0,0 1 0,0-1 0,-1 0 0,1 0 0,0 0 0,-1 1 0,1-1 0,0 1 0,-1-1 0,1 0 0,0 1 0,-1-1 0,1 1 0,-1-1 0,1 1 0,-1-1 0,1 1 0,-1 0 0,1-1 0,-1 1 0,0 0 0,1-1 0,-1 1 0,0 0 0,1-1 0,-1 1 0,0 0 0,0 0 0,0-1 0,0 1 0,0 0 0,0 1 0,5 26 0,-4-36 0,2 1 0,-1 0 0,1 0 0,0 1 0,0-1 0,1 0 0,-1 1 0,9-10 0,-11 16 2,-1-1-1,0 1 1,1 0 0,-1-1-1,1 1 1,-1 0-1,1 0 1,0 0-1,-1-1 1,1 1 0,-1 0-1,1 0 1,-1 0-1,1 0 1,-1 0-1,1 0 1,-1 0 0,1 0-1,0 0 1,-1 0-1,1 0 1,-1 0-1,1 1 1,-1-1 0,1 0-1,-1 0 1,1 0-1,-1 1 1,1-1-1,-1 0 1,1 1 0,-1-1-1,0 0 1,1 1-1,-1-1 1,1 1-1,-1-1 1,0 1 0,1-1-1,-1 1 1,0-1-1,0 1 1,1-1 0,-1 1-1,0-1 1,0 1-1,0-1 1,0 1-1,0 0 1,9 34-600,-8-29-248,1 5-5980</inkml:trace>
  <inkml:trace contextRef="#ctx0" brushRef="#br0" timeOffset="98214.8">3769 1335 24575,'2'0'0,"1"0"0,-1 0 0,1-1 0,-1 1 0,0-1 0,1 1 0,-1-1 0,1 0 0,-1 0 0,3-1 0,-5 1 0,1 1 0,0-1 0,-1 1 0,1 0 0,-1-1 0,1 0 0,-1 1 0,1-1 0,-1 1 0,0-1 0,1 1 0,-1-1 0,0 0 0,1 1 0,-1-1 0,0 0 0,0 0 0,0 1 0,1-1 0,-1 0 0,0 1 0,0-1 0,0 0 0,0 0 0,0 1 0,0-1 0,-1 0 0,1 0 0,0 1 0,0-1 0,0 0 0,-1 1 0,1-1 0,0 0 0,-1 1 0,1-1 0,0 1 0,-1-1 0,0 0 0,1 0 0,0 1 0,-1-1 0,1 1 0,0-1 0,0 1 0,0-1 0,-1 1 0,1-1 0,0 1 0,-1 0 0,1-1 0,0 1 0,-1 0 0,1-1 0,0 1 0,-1 0 0,1-1 0,-1 1 0,1 0 0,-1 0 0,1-1 0,-1 1 0,1 0 0,-1 0 0,1 0 0,0 0 0,-1 0 0,0 0 0,1 0 0,-1 0 0,1 0 0,-1 0 0,1 0 0,-1 0 0,1 0 0,-1 0 0,1 0 0,0 0 0,-1 1 0,1-1 0,-1 0 0,1 0 0,-1 1 0,1-1 0,-1 0 0,1 0 0,0 1 0,-1-1 0,1 1 0,0-1 0,-1 0 0,1 1 0,0-1 0,0 1 0,-1-1 0,1 0 0,0 1 0,0-1 0,0 1 0,-1-1 0,1 1 0,0 0 0,-2 3 0,0 1 0,1-1 0,0 1 0,-1 0 0,1 5 0,0-8 0,1 1 0,0 0 0,0-1 0,0 1 0,1 0 0,-1-1 0,1 1 0,-1-1 0,1 1 0,0-1 0,0 1 0,0-1 0,0 0 0,1 1 0,-1-1 0,0 0 0,4 4 0,-4-5 0,1 0 0,-1 0 0,0 0 0,0-1 0,0 1 0,1 0 0,-1-1 0,0 1 0,1-1 0,-1 0 0,0 1 0,1-1 0,-1 0 0,1 0 0,-1 0 0,0 0 0,1 0 0,-1 0 0,1 0 0,-1 0 0,0 0 0,1-1 0,-1 1 0,1-1 0,-1 1 0,0-1 0,0 1 0,1-1 0,-1 0 0,0 0 0,0 0 0,0 1 0,0-1 0,2-2 0,-1 1 0,0-1 0,-1 1 0,1 0 0,0 0 0,-1-1 0,0 1 0,0-1 0,0 1 0,0-1 0,0 0 0,0 1 0,0-1 0,-1 0 0,0 0 0,1-3 0,-1 2 0,0 1 0,1 0 0,-1-1 0,1 1 0,0 0 0,0 0 0,0 0 0,1-1 0,1-2 0,-3 6 0,1 0 0,-1-1 0,0 1 0,0 0 0,1-1 0,-1 1 0,0 0 0,1 0 0,-1 0 0,0-1 0,1 1 0,-1 0 0,0 0 0,1 0 0,-1 0 0,0 0 0,1 0 0,-1 0 0,1 0 0,-1 0 0,0 0 0,1 0 0,-1 0 0,0 0 0,1 0 0,-1 0 0,1 0 0,-1 0 0,0 0 0,1 0 0,-1 1 0,0-1 0,1 0 0,-1 0 0,0 0 0,1 1 0,-1-1 0,0 0 0,0 0 0,1 1 0,-1-1 0,0 0 0,0 1 0,1-1 0,-1 0 0,0 0 0,0 1 0,0-1 0,0 1 0,11 18 0,-11-19 0,3 6 0,14 36 0,-16-41 0,-1 1 0,1-1 0,-1 0 0,0 1 0,1-1 0,-1 1 0,0-1 0,0 0 0,0 1 0,0-1 0,0 1 0,0-1 0,0 1 0,0-1 0,-1 0 0,1 1 0,0-1 0,-1 0 0,0 1 0,1-1 0,-1 0 0,1 1 0,-1-1 0,0 0 0,-1 1 0,2-1 0,-1-1 0,1 0 0,0 0 0,0 0 0,-1 1 0,1-1 0,0 0 0,-1 0 0,1 0 0,0 1 0,-1-1 0,1 0 0,0 0 0,-1 0 0,1 0 0,-1 0 0,1 0 0,0 0 0,-1 0 0,1 0 0,0 0 0,-1 0 0,1 0 0,-1 0 0,1 0 0,0-1 0,-1 1 0,1 0 0,0 0 0,-1 0 0,1 0 0,0-1 0,-1 1 0,1 0 0,0-1 0,-7-14 0,6-18 0,2 28 0,0-1 0,1 1 0,0 0 0,0 0 0,0 0 0,4-6 0,-5 10 0,0-1 0,0 1 0,0 0 0,-1 0 0,1 0 0,0 0 0,1 0 0,-1 0 0,0 0 0,0 0 0,0 0 0,3 0 0,-4 0 0,1 1 0,0 0 0,0 0 0,-1 0 0,1 0 0,0 0 0,-1 0 0,1 0 0,0 0 0,-1 1 0,1-1 0,0 0 0,0 0 0,-1 0 0,1 1 0,-1-1 0,1 0 0,0 1 0,-1-1 0,1 1 0,-1-1 0,1 1 0,-1-1 0,1 1 0,-1-1 0,1 1 0,0 0 0,2 5-1365,-1 0-5461</inkml:trace>
  <inkml:trace contextRef="#ctx0" brushRef="#br0" timeOffset="98630.11">3155 1720 24575,'17'-2'0,"1"0"0,-1-1 0,0-1 0,0-1 0,28-11 0,0 1 0,197-44 0,-78 22 0,-152 33 103,-27 7-1571,1 1-5358</inkml:trace>
  <inkml:trace contextRef="#ctx0" brushRef="#br0" timeOffset="98976">3264 1761 24575,'-10'-1'0,"18"-1"0,11-3 0,77-31 0,0 4 0,175-33 0,-244 61 0,-13 3 0,-1-2 0,23-5 0,-27 3-1365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51:43.59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5 511 24575,'-2'0'0,"-1"0"0,3 0 0,2-2 0,3 0 0,2-1 0,3-1 0,3-1 0,0-1 0,0 2 0,-2 0-8191</inkml:trace>
  <inkml:trace contextRef="#ctx0" brushRef="#br0" timeOffset="566.81">339 323 24575,'1'12'0,"1"0"0,0 0 0,5 18 0,0 1 0,1 16 0,24 99 0,-31-146 0,-1 1 0,0 0 0,0 0 0,0 0 0,0 0 0,1 0 0,-1 0 0,1 0 0,-1 0 0,0 0 0,1 0 0,-1 0 0,1-1 0,0 1 0,-1 0 0,1 0 0,0-1 0,-1 1 0,1 0 0,0-1 0,0 1 0,1 0 0,-2-2 0,1 1 0,0 0 0,-1-1 0,1 1 0,-1-1 0,1 1 0,0-1 0,-1 1 0,1-1 0,-1 1 0,0-1 0,1 0 0,-1 1 0,1-1 0,-1 0 0,0 1 0,1-1 0,-1 0 0,0 0 0,0-1 0,12-49 0,-12 49 0,13-100 0,8-43 0,-15 133 119,-5 12-167,-1 0 1,0 0-1,1 0 0,-1 0 0,0 1 0,1-1 0,-1 0 0,0 0 0,1 0 1,-1 1-1,0-1 0,0 0 0,1 0 0,-1 1 0,0-1 0,0 0 0,0 1 0,1-1 1,-1 0-1,0 1 0,0-1 0,0 0 0,0 1 0,0-1 0,0 0 0,0 1 1,1-1-1,-1 1 0,0-1 0,-1 1 0,3 7-6778</inkml:trace>
  <inkml:trace contextRef="#ctx0" brushRef="#br0" timeOffset="1465.07">537 506 24575,'4'-2'0,"1"0"0,0 0 0,-1-1 0,0 0 0,1 0 0,-1 0 0,0 0 0,-1-1 0,1 1 0,5-8 0,-9 11 0,1-1 0,-1 0 0,1 1 0,-1-1 0,1 0 0,-1 0 0,0 1 0,1-1 0,-1 0 0,0 0 0,0 0 0,0 0 0,1 1 0,-1-1 0,0 0 0,0 0 0,0 0 0,0 0 0,-1 0 0,1 1 0,0-1 0,0 0 0,0 0 0,-1 0 0,1 1 0,0-1 0,-1 0 0,0 0 0,1 0 0,-1 1 0,1 0 0,-1 0 0,1-1 0,-1 1 0,0 0 0,1 0 0,-1 0 0,1 0 0,-1 0 0,0 0 0,1 0 0,-1 0 0,0 0 0,1 0 0,-1 0 0,1 0 0,-1 0 0,0 0 0,1 1 0,-1-1 0,1 0 0,-1 0 0,1 1 0,-1-1 0,1 0 0,-1 1 0,1-1 0,-1 1 0,1-1 0,-1 1 0,1-1 0,0 0 0,-1 1 0,1 0 0,0-1 0,-1 1 0,1 0 0,-2 1 0,0 0 0,1 0 0,-1 0 0,1 0 0,0 1 0,-1-1 0,1 0 0,0 1 0,0-1 0,1 1 0,-1-1 0,0 1 0,1 0 0,0-1 0,-1 1 0,1 0 0,0-1 0,0 1 0,1-1 0,-1 1 0,0 0 0,2 3 0,-1-4 0,1 1 0,-1-1 0,1 0 0,-1 0 0,1 0 0,0 0 0,0 0 0,0-1 0,0 1 0,0-1 0,0 1 0,0-1 0,0 0 0,1 1 0,-1-1 0,0 0 0,1-1 0,-1 1 0,1 0 0,0-1 0,-1 1 0,1-1 0,2 0 0,8 0 0,0 0 0,0-1 0,0 0 0,0-1 0,-1-1 0,1 0 0,-1-1 0,1 0 0,-1-1 0,0 0 0,-1-1 0,1 0 0,17-13 0,-26 16 0,0 1 0,1-1 0,-1 0 0,0 0 0,-1 0 0,1-1 0,-1 1 0,1-1 0,-1 1 0,0-1 0,0 0 0,-1 0 0,1 0 0,-1 0 0,0 0 0,0 0 0,0 0 0,0 0 0,-1 0 0,1 0 0,-1-1 0,0 1 0,-1 0 0,-1-8 0,2 11 0,0 0 0,0 1 0,0-1 0,0 0 0,-1 1 0,1-1 0,0 1 0,0-1 0,-1 0 0,1 1 0,0-1 0,-1 1 0,1-1 0,-1 1 0,1-1 0,-1 1 0,1 0 0,-1-1 0,1 1 0,-1-1 0,1 1 0,-1 0 0,1 0 0,-1-1 0,0 1 0,1 0 0,-1 0 0,0-1 0,0 2 0,-1-1 0,1 0 0,0 1 0,0-1 0,0 0 0,0 1 0,0-1 0,0 1 0,0 0 0,0-1 0,1 1 0,-1 0 0,0-1 0,-1 3 0,-3 2 0,1 0 0,0 1 0,0-1 0,-3 7 0,4-6 0,1 0 0,-1 0 0,1 0 0,0 1 0,0-1 0,-1 9 0,3-14 0,0 0 0,0 0 0,0 0 0,0 1 0,0-1 0,0 0 0,0 0 0,0 0 0,0 1 0,1-1 0,-1 0 0,0 0 0,1 0 0,-1 0 0,1 0 0,-1 0 0,1 1 0,0-1 0,-1-1 0,1 1 0,0 0 0,0 0 0,0 0 0,0 0 0,0 0 0,0-1 0,0 1 0,0 0 0,0-1 0,0 1 0,0-1 0,0 1 0,0-1 0,0 0 0,1 1 0,-1-1 0,0 0 0,0 0 0,0 0 0,3 0 0,-3 0 0,0 0 0,0 0 0,0 0 0,0-1 0,0 1 0,1 0 0,-1-1 0,0 1 0,0 0 0,0-1 0,0 1 0,0-1 0,0 0 0,0 1 0,0-1 0,-1 0 0,1 0 0,0 1 0,0-1 0,-1 0 0,1 0 0,0 0 0,-1 0 0,1 0 0,-1 0 0,1 0 0,-1 0 0,1 0 0,-1 0 0,0 0 0,1-2 0,1-20 0,-3 274 0,1-24 0,0-218 0,0-6 0,0 1 0,0-1 0,0 1 0,0-1 0,-1 1 0,1-1 0,-1 0 0,0 1 0,0-1 0,0 0 0,0 1 0,-1-1 0,-2 5 0,3-8 0,1 0 0,-1 1 0,1-1 0,-1 0 0,1 0 0,-1 1 0,1-1 0,-1 0 0,0 0 0,1 0 0,-1 0 0,1 0 0,-1 0 0,0 0 0,1 0 0,-1 0 0,1 0 0,-1 0 0,1 0 0,-1 0 0,0-1 0,1 1 0,-1 0 0,1 0 0,-1-1 0,1 1 0,-1 0 0,1-1 0,-1 1 0,1 0 0,-1-1 0,1 1 0,0-1 0,-1 1 0,1-1 0,0 1 0,-1-1 0,1 1 0,0-1 0,-1 1 0,1-2 0,-13-23 0,8 9 0,0 0 0,1 0 0,1 0 0,1 0 0,0-1 0,1 1 0,2-31 0,1 23 0,1 0 0,1 1 0,1-1 0,15-39 0,-16 52 0,1 0 0,1 0 0,11-17 0,-16 26 0,1 0 0,-1-1 0,1 1 0,-1 0 0,1 0 0,0 0 0,0 0 0,0 0 0,0 1 0,1-1 0,-1 1 0,0-1 0,1 1 0,-1 0 0,1 0 0,-1 0 0,1 0 0,-1 0 0,1 1 0,0-1 0,-1 1 0,6-1 0,-2 4-1365</inkml:trace>
  <inkml:trace contextRef="#ctx0" brushRef="#br0" timeOffset="1820.02">417 800 24575,'1'0'0,"2"0"0,5 0 0,6-3 0,6 0 0,9-5 0,10-3 0,12-3 0,6-2 0,4 3 0,-3 0 0,-7 2 0,-11 4 0,-14 2 0,-11 3 0,-11 2 0</inkml:trace>
  <inkml:trace contextRef="#ctx0" brushRef="#br0" timeOffset="2909.95">317 1083 24575,'-1'0'0,"1"0"0,0-1 0,0 1 0,0-1 0,0 1 0,0-1 0,0 1 0,0-1 0,0 1 0,0 0 0,0-1 0,0 1 0,0-1 0,0 1 0,1-1 0,-1 1 0,0 0 0,0-1 0,0 1 0,1-1 0,-1 1 0,0 0 0,1-1 0,-1 1 0,0 0 0,0-1 0,1 1 0,-1 0 0,1-1 0,0 1 0,10 7 0,10 20 0,-7-2 0,-1 1 0,-2 0 0,0 1 0,9 38 0,-9-29 0,-9-32 0,0-6 0,0-15 0,-1-25 0,-2-3 0,1-56 0,1 87 0,1 0 0,0 0 0,0 0 0,9-24 0,-1 22 120,-10 16-161,0 0-1,1-1 1,-1 1 0,0 0 0,1 0-1,-1 0 1,1-1 0,-1 1 0,1 0-1,-1 0 1,0 0 0,1 0 0,-1 0-1,1 0 1,-1 0 0,1 0 0,-1 0-1,1 0 1,-1 0 0,0 0 0,1 0-1,-1 0 1,1 1 0,-1-1 0,0 0-1,1 0 1,-1 0 0,1 1 0,-1-1-1,0 0 1,1 0 0,-1 1 0,0-1-1,1 0 1,-1 1 0,7 7-6785</inkml:trace>
  <inkml:trace contextRef="#ctx0" brushRef="#br0" timeOffset="3279.05">518 1139 24575,'2'1'0,"-1"0"0,1 0 0,0 0 0,-1-1 0,1 1 0,0 0 0,0-1 0,0 1 0,0-1 0,0 1 0,0-1 0,-1 0 0,1 0 0,0 0 0,0 0 0,0 0 0,0 0 0,0-1 0,0 1 0,0-1 0,0 1 0,0-1 0,-1 0 0,1 1 0,0-1 0,2-2 0,-3 3 0,0-1 0,0 1 0,0-1 0,0 1 0,0-1 0,0 0 0,0 1 0,0-1 0,0 0 0,0 0 0,0 0 0,-1 0 0,1 0 0,0 0 0,0 0 0,-1 0 0,1 0 0,-1 0 0,1 0 0,-1 0 0,0 0 0,1-1 0,-1 1 0,0 0 0,0 0 0,0 0 0,1-1 0,-1 1 0,-1 0 0,1 0 0,0 0 0,0-1 0,0 1 0,-1 0 0,1 0 0,0 0 0,-1 0 0,1-1 0,-1 1 0,-1-2 0,2 3 0,0 0 0,-1-1 0,1 1 0,0-1 0,-1 1 0,1 0 0,-1-1 0,1 1 0,0 0 0,-1 0 0,1-1 0,-1 1 0,1 0 0,-1 0 0,1 0 0,0-1 0,-1 1 0,1 0 0,-1 0 0,1 0 0,-1 0 0,1 0 0,-1 0 0,1 0 0,-1 0 0,1 0 0,-1 0 0,1 0 0,-1 0 0,0 1 0,-14 12 0,-4 19 0,17-28 0,1-1 0,0 1 0,0 0 0,0 0 0,0 0 0,1 0 0,0 0 0,0 0 0,0 0 0,0 0 0,0 0 0,1 0 0,1 6 0,-1-8 0,-1 0 0,1 0 0,0 0 0,0 0 0,0 0 0,1-1 0,-1 1 0,0 0 0,0-1 0,1 1 0,-1-1 0,1 0 0,0 1 0,-1-1 0,1 0 0,0 0 0,0 0 0,-1 0 0,1 0 0,0 0 0,0-1 0,0 1 0,0-1 0,0 1 0,0-1 0,0 0 0,1 0 0,1 0 0,-2 0-62,-1 0 0,0 0 0,0 0 0,0 0 0,0 0 0,0 0 0,0-1 0,0 1 0,0 0 0,0-1 0,-1 1 0,1-1 0,0 1-1,0-1 1,0 1 0,0-1 0,0 1 0,-1-1 0,1 0 0,0 0 0,0-1 0,3-4-6764</inkml:trace>
  <inkml:trace contextRef="#ctx0" brushRef="#br0" timeOffset="3676.01">628 1134 24575,'1'0'0,"1"1"0,0-1 0,-1 1 0,0-1 0,1 1 0,-1 0 0,1 0 0,-1 0 0,0 0 0,0 0 0,1 0 0,-1 0 0,0 0 0,0 0 0,0 0 0,0 1 0,1 1 0,12 24 0,-13-24 0,0 0 0,-1-1 0,1 1 0,-1 0 0,0 0 0,0 0 0,0 4 0,-1-6 0,1-3 0,2-14 0,-1 11 0,0-1 0,1 1 0,-1-1 0,2 1 0,-1 0 0,5-9 0,-7 14 0,1-1 0,-1 0 0,0 0 0,1 0 0,-1 0 0,1 1 0,-1-1 0,1 0 0,-1 1 0,1-1 0,0 0 0,-1 1 0,1-1 0,0 0 0,0 1 0,-1 0 0,1-1 0,0 1 0,0-1 0,0 1 0,0 0 0,0-1 0,-1 1 0,1 0 0,0 0 0,0 0 0,0 0 0,0 0 0,0 0 0,0 0 0,0 0 0,0 0 0,0 0 0,-1 0 0,1 1 0,0-1 0,0 0 0,0 1 0,0-1 0,0 0 0,-1 1 0,1-1 0,0 1 0,0 0 0,-1-1 0,1 1 0,0 0 0,-1-1 0,1 1 0,0 1 0,1 1 0,0 0 0,0 0 0,-1 1 0,1-1 0,-1 1 0,1 0 0,-1-1 0,0 7 0,0-7 0,-1-1 0,1 1 0,-1 0 0,1 0 0,0-1 0,0 1 0,0 0 0,0-1 0,1 1 0,-1-1 0,1 0 0,-1 1 0,1-1 0,0 0 0,0 0 0,2 2 0,4-2-1365,-1-2-5461</inkml:trace>
  <inkml:trace contextRef="#ctx0" brushRef="#br0" timeOffset="4112.09">834 1148 24575,'0'-1'0,"1"1"0,-1-1 0,0 0 0,0 1 0,0-1 0,0 1 0,0-1 0,0 0 0,0 1 0,0-1 0,0 1 0,0-1 0,0 1 0,0-1 0,-1 0 0,1 1 0,0-1 0,0 1 0,-1-1 0,1 1 0,0-1 0,0 1 0,-1-1 0,1 1 0,-1-1 0,1 1 0,0 0 0,-1-1 0,1 1 0,-1 0 0,1-1 0,-1 1 0,1 0 0,-1-1 0,1 1 0,-1 0 0,0 0 0,1 0 0,-1-1 0,1 1 0,-1 0 0,1 0 0,-1 0 0,0 0 0,1 0 0,-1 0 0,1 0 0,-1 0 0,0 1 0,-1 0 0,0-1 0,0 1 0,0 0 0,0 0 0,1 1 0,-1-1 0,0 0 0,1 0 0,-1 1 0,1-1 0,-1 1 0,1 0 0,-2 1 0,2 1 0,-1 0 0,0 0 0,1 0 0,0 0 0,0 0 0,0 1 0,1-1 0,-1 0 0,1 0 0,0 1 0,0 4 0,0-8 0,0 0 0,0 0 0,0 0 0,0 0 0,1 0 0,-1 1 0,0-1 0,0 0 0,1 0 0,-1 0 0,1 0 0,-1 0 0,1 0 0,-1 0 0,1 0 0,0-1 0,-1 1 0,1 0 0,0 0 0,0 0 0,-1-1 0,1 1 0,0 0 0,0-1 0,0 1 0,0 0 0,0-1 0,0 0 0,0 1 0,0-1 0,0 0 0,0 1 0,0-1 0,1 0 0,-1 0 0,0 0 0,0 0 0,0 0 0,0 0 0,0 0 0,0 0 0,0 0 0,0-1 0,1 1 0,-1 0 0,0-1 0,1 0 0,0 0 0,0 0 0,0 0 0,0 0 0,0-1 0,-1 1 0,1 0 0,0-1 0,-1 0 0,1 1 0,-1-1 0,1 0 0,-1 0 0,0 0 0,0 0 0,0 0 0,0 0 0,0 0 0,0 0 0,0 0 0,-1-1 0,1 1 0,-1-3 0,2-8 0,-1 1 0,0-24 0,-1 24 0,0 4 0,0-25 0,-5-34 0,13 173 0,-6-90-110,-2-9-15,1 0-1,0 0 1,0 0-1,0 0 1,1 0-1,0-1 1,0 1-1,1 0 0,3 5 1</inkml:trace>
  <inkml:trace contextRef="#ctx0" brushRef="#br0" timeOffset="4734.89">944 1134 24575,'2'-13'0,"2"-18"0,-4 30 0,0 1 0,0 0 0,0-1 0,0 1 0,0-1 0,0 1 0,0 0 0,0-1 0,-1 1 0,1 0 0,0-1 0,0 1 0,0 0 0,0-1 0,-1 1 0,1 0 0,0-1 0,0 1 0,-1 0 0,1 0 0,0-1 0,-1 1 0,1 0 0,-1 0 0,1-1 0,-1 1 0,0 0 0,0 0 0,1 1 0,-1-1 0,0 0 0,0 0 0,1 0 0,-1 0 0,0 1 0,0-1 0,1 0 0,-1 1 0,0-1 0,1 0 0,-1 1 0,0 0 0,-1 1 0,-1 0 0,1 1 0,1-1 0,-1 1 0,0-1 0,1 1 0,-1 0 0,1-1 0,0 1 0,0 0 0,0 0 0,0 0 0,0 0 0,1 0 0,-1 0 0,1 0 0,0 4 0,0-5 0,-1-1 0,1 1 0,0-1 0,0 1 0,0-1 0,0 1 0,0 0 0,1-1 0,-1 1 0,0-1 0,1 1 0,-1-1 0,1 1 0,-1-1 0,1 0 0,0 1 0,0-1 0,0 0 0,0 1 0,0-1 0,0 0 0,0 0 0,0 0 0,0 0 0,0 0 0,0 0 0,1 0 0,-1 0 0,0 0 0,1-1 0,-1 1 0,1 0 0,-1-1 0,3 1 0,-2-1 0,-1 0 0,0 0 0,0 0 0,0-1 0,0 1 0,0 0 0,0 0 0,0-1 0,0 1 0,0-1 0,0 1 0,0-1 0,0 1 0,0-1 0,0 0 0,0 0 0,-1 1 0,1-1 0,0 0 0,-1 0 0,1 0 0,0 0 0,-1 0 0,1 1 0,-1-1 0,1 0 0,0-2 0,9-34 0,-5 19 0,-5 16 0,1 0 0,0 0 0,0-1 0,0 1 0,0 0 0,0 0 0,0 0 0,0 0 0,1 0 0,-1 1 0,1-1 0,-1 0 0,1 1 0,3-3 0,-4 3 0,-1 1 0,1 0 0,0 0 0,-1 0 0,1 0 0,-1 0 0,1 0 0,0 0 0,-1 0 0,1 0 0,-1 0 0,1 0 0,0 0 0,-1 0 0,1 0 0,-1 0 0,1 1 0,-1-1 0,1 0 0,-1 0 0,2 1 0,12 16 0,-11-12 0,0 0 0,0 0 0,-1 1 0,0-1 0,0 1 0,0-1 0,-1 1 0,1 0 0,-1-1 0,-1 1 0,1 10 0,-1-67 0,1 47 0,7-39 0,-8 41 0,1-1 0,0 1 0,0 0 0,-1 0 0,2 0 0,-1-1 0,0 1 0,0 0 0,1 0 0,-1 1 0,1-1 0,-1 0 0,1 0 0,0 1 0,2-3 0,-3 4 2,-1 0 0,0 0 1,1 0-1,-1-1 0,1 1 0,-1 0 0,0 0 0,1 0 0,-1 0 0,1 0 0,-1 0 0,0 0 1,1 0-1,-1 0 0,1 0 0,-1 0 0,0 0 0,1 0 0,-1 0 0,1 0 0,-1 0 0,0 0 1,1 0-1,-1 1 0,1-1 0,-1 0 0,0 0 0,1 0 0,-1 1 0,0-1 0,1 0 1,-1 1-1,0-1 0,0 0 0,1 0 0,-1 1 0,0-1 0,0 1 0,1-1 0,-1 0 0,0 1 1,0-1-1,0 0 0,0 1 0,0-1 0,0 1 0,0-1 0,0 0 0,0 1 0,0-1 0,0 1 1,0-1-1,0 1 0,0-1 0,0 0 0,0 1 0,-3 24-1487,-1-16-5341</inkml:trace>
  <inkml:trace contextRef="#ctx0" brushRef="#br0" timeOffset="5099.05">532 1478 24575,'4'-1'0,"0"0"0,0 0 0,0 0 0,0 0 0,-1 0 0,1-1 0,0 0 0,3-2 0,14-5 0,52-14 0,98-18 0,78 1 0,-235 39-69,-14 1 71,0 0 1,0 0-1,0 0 1,0 0-1,0 1 1,0-1-1,0 0 1,0 0-1,0 0 1,0 0-1,0 0 1,0 0-1,0 0 1,0 0-1,0 0 1,0 0-1,0 0 1,0 0-1,0 0 1,0 0-1,0 0 0,0 0 1,0 0-1,0 0 1,0 0-1,0 1 1,0-1-1,0 0 1,0 0-1,0 0 1,0 0-1,0 0 1,0 0-1,0 0 1,0 0-1,0 0 1,0 0-1,0 0 1,0 0-1,0 0 1,0 0-1,0 0 1,0 0-1,0 0 0,0 0 1,0 1-1,0-1 1,0 0-1,0 0 1,0 0-1,0 0 1,0 0-1,0 0 1,0 0-1,0 0 1,0 0-1,1 0 1,-1 0-1,0 0 1,0 0-1,0 0 1,0 0-1,0 0 1,0 0-1,0 0 0,0 0 1,-18 9-1343,17-9 1218,-16 8-6704</inkml:trace>
  <inkml:trace contextRef="#ctx0" brushRef="#br0" timeOffset="5437.83">504 1642 24575,'0'2'0,"4"0"0,5-1 0,7-4 0,6-4 0,9-2 0,9-2 0,11-3 0,7-1 0,2 2 0,0 0 0,-5 2 0,-10 2 0,-13 0 0,-12 0 0,-10 1-8191</inkml:trace>
  <inkml:trace contextRef="#ctx0" brushRef="#br0" timeOffset="31035.75">1077 208 24575,'0'-2'0,"0"-12"0,0 0 0,-4-18 0,3 26 0,0 1 0,-1-1 0,1 1 0,-1 0 0,-1 0 0,1 0 0,-1 0 0,-6-9 0,2 7 0,1 0 0,-1 0 0,0 0 0,-1 1 0,0 0 0,0 1 0,0-1 0,-1 1 0,1 1 0,-1 0 0,0 0 0,-1 1 0,1 0 0,0 0 0,-14-1 0,-14-1 0,-1 2 0,-63 3 0,57 1 0,2-1 0,0 2 0,0 3 0,1 1 0,-49 13 0,72-14 0,1 0 0,0 2 0,0 0 0,0 0 0,1 2 0,0 0 0,1 1 0,0 1 0,0 0 0,1 1 0,1 0 0,-14 16 0,19-16 0,-1 1 0,2 1 0,0-1 0,0 1 0,2 0 0,-1 0 0,2 1 0,0 0 0,1 0 0,0 0 0,1 0 0,0 22 0,2 12 0,2-1 0,13 76 0,-10-90 0,1 0 0,2-1 0,2 0 0,1-1 0,18 38 0,-22-56 0,1 0 0,1 0 0,0-1 0,1 0 0,0 0 0,1-1 0,0-1 0,1 0 0,0 0 0,1-1 0,0-1 0,1 0 0,16 8 0,-4-6 0,0 0 0,0-2 0,1-1 0,0-1 0,1-1 0,-1-2 0,1-1 0,0-1 0,0-1 0,0-1 0,0-2 0,0-1 0,0-1 0,0-1 0,-1-1 0,0-2 0,0-1 0,37-17 0,-17 1 0,60-40 0,-83 48 0,-1-1 0,-1-1 0,-1-1 0,22-25 0,-37 37 0,1-1 0,-1 0 0,-1-1 0,0 1 0,0-1 0,-1 0 0,0 0 0,-1-1 0,0 1 0,-1-1 0,2-14 0,-1-9 0,-3 1 0,-4-46 0,3 62 0,-1-10 0,-2 0 0,-1 1 0,-15-50 0,14 59 0,-1 0 0,0 0 0,-1 1 0,-1 0 0,0 1 0,-21-26 0,26 37-91,0 0 0,-1 0 0,0 0 0,1 1 0,-1-1 0,0 1 0,0 0 0,-1 1 0,1-1 0,-1 1 0,1 0 0,-1 0 0,0 1 0,-10-2 0,8 2-6735</inkml:trace>
  <inkml:trace contextRef="#ctx0" brushRef="#br0" timeOffset="31780.91">1201 383 24575,'-2'0'0,"1"0"0,-1 0 0,1 0 0,-1 0 0,1 1 0,-1-1 0,1 1 0,-1-1 0,1 1 0,0-1 0,-2 2 0,4-1 0,11-6 0,82-33 0,-59 25 0,53-27 0,-82 36-1365</inkml:trace>
  <inkml:trace contextRef="#ctx0" brushRef="#br0" timeOffset="32342.99">1379 245 24575,'-16'0'0,"25"0"0,28 1 0,-35-1 0,-1 1 0,0-1 0,0 0 0,0 0 0,1 0 0,-1 1 0,0-1 0,0 1 0,0-1 0,0 1 0,0-1 0,0 1 0,0 0 0,0-1 0,0 1 0,0 0 0,0 0 0,0 0 0,-1 0 0,1 0 0,0 0 0,-1 0 0,2 2 0,-1-1 0,-1 0 0,0 0 0,1 0 0,-1 0 0,0 0 0,0 0 0,0 0 0,-1 0 0,1 0 0,0 0 0,-1 0 0,1 0 0,-2 2 0,-2 5 0,0 1 0,-1-1 0,-1 0 0,-7 10 0,7-8 0,4-8 0,0 0 0,1 0 0,-1-1 0,0 1 0,-1 0 0,1-1 0,0 0 0,-4 3 0,6-5-31,0 0-1,0 0 0,-1 1 0,1-1 1,0 0-1,0 0 0,0 0 0,-1 0 1,1 0-1,0 0 0,0 0 0,0 0 0,-1 0 1,1 0-1,0-1 0,0 1 0,0 0 1,0 0-1,-1 0 0,1 0 0,0 0 1,0 0-1,0 0 0,0 0 0,-1 0 1,1-1-1,0 1 0,0 0 0,0 0 1,0 0-1,0 0 0,0 0 0,-1-1 1,1 1-1,0 0 0,0 0 0,0 0 1,0 0-1,0-1 0,0 1 0,0 0 1,0 0-1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52:28.23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18 300 24575,'1'15'0,"5"9"0,12 42 0,-17-59 0,0-1 0,0 1 0,-1 0 0,0 0 0,0 0 0,0 0 0,-3 12 0,3-18 0,0 0 0,0-1 0,0 1 0,-1 0 0,1-1 0,0 1 0,0 0 0,0-1 0,0 1 0,-1 0 0,1-1 0,0 1 0,-1-1 0,1 1 0,0-1 0,-1 1 0,1 0 0,-1-1 0,1 0 0,-1 1 0,1-1 0,-1 1 0,1-1 0,-1 0 0,1 1 0,-1-1 0,0 0 0,1 1 0,-1-1 0,0 0 0,1 0 0,-1 0 0,0 0 0,1 1 0,-1-1 0,0 0 0,1 0 0,-1 0 0,0-1 0,1 1 0,-1 0 0,1 0 0,-2 0 0,1-1 0,-1 0 0,1 0 0,0 0 0,0 0 0,0 0 0,0 0 0,0 0 0,0 0 0,0 0 0,1 0 0,-1 0 0,0 0 0,1-1 0,-1 1 0,1 0 0,-1-1 0,1 1 0,-1 0 0,1-1 0,0-1 0,0 3 0,0-1 0,0 0 0,0 1 0,0-1 0,0 1 0,1-1 0,-1 0 0,0 1 0,0-1 0,1 1 0,-1-1 0,0 1 0,1-1 0,-1 1 0,1-1 0,-1 1 0,0-1 0,1 1 0,-1 0 0,1-1 0,-1 1 0,1 0 0,0-1 0,-1 1 0,1 0 0,-1 0 0,1-1 0,-1 1 0,1 0 0,0 0 0,-1 0 0,1 0 0,-1 0 0,1 0 0,0 0 0,-1 0 0,1 0 0,0 0 0,-1 0 0,1 0 0,-1 1 0,2-1 0,27 7 0,-20-4 0,3 2 0,1-1 0,24 4 0,-34-7 0,-1-1 0,1 0 0,-1 1 0,1-1 0,-1 0 0,1 0 0,-1-1 0,1 1 0,-1 0 0,1-1 0,-1 0 0,1 1 0,-1-1 0,1 0 0,-1 0 0,0-1 0,0 1 0,0 0 0,1-1 0,-1 1 0,2-4 0,-2 3 0,-1 0 0,0 0 0,0 0 0,0 0 0,0-1 0,0 1 0,-1-1 0,1 1 0,-1 0 0,1-1 0,-1 1 0,0-1 0,0 1 0,0-1 0,0 1 0,-1 0 0,1-1 0,-1 1 0,1-1 0,-1 1 0,0 0 0,-2-5 0,-2-5 0,-2 1 0,-13-22 0,15 26 0,0-1 0,-32-42 0,34 46 0,0 0 0,0 1 0,-1-1 0,1 1 0,-1 0 0,0 0 0,0 1 0,0-1 0,0 1 0,-6-3 0,9 5 0,0 0 0,-1-1 0,1 1 0,0 0 0,0 0 0,-1 0 0,1 0 0,0 0 0,0 0 0,-1 0 0,1 0 0,0 1 0,0-1 0,-1 0 0,1 1 0,0-1 0,0 1 0,0 0 0,0-1 0,0 1 0,-2 1 0,0 0 0,1 1 0,0-1 0,0 1 0,0-1 0,0 1 0,0 0 0,1 0 0,-3 5 0,2-3 0,0 0 0,0 1 0,1-1 0,0 0 0,0 1 0,0-1 0,1 1 0,0 0 0,0-1 0,0 8 0,1-11-62,0 0 0,0 0 0,0 1 0,0-1 0,1 0 0,-1 0 0,1 0 0,-1-1 0,1 1 0,-1 0 0,1-1 0,0 1-1,0-1 1,0 1 0,0-1 0,0 0 0,0 0 0,0 0 0,0 0 0,0 0 0,4 1 0,6 1-6764</inkml:trace>
  <inkml:trace contextRef="#ctx0" brushRef="#br0" timeOffset="1056.58">201 341 24575,'5'0'0,"-1"0"0,1 0 0,0-1 0,-1 0 0,1 1 0,0-2 0,4-1 0,-7 3 0,-1-1 0,0 0 0,1 1 0,-1-1 0,0 0 0,1 0 0,-1 0 0,0 0 0,0 0 0,0-1 0,0 1 0,0 0 0,0 0 0,0-1 0,0 1 0,-1 0 0,1-1 0,-1 1 0,1-1 0,-1 1 0,1-1 0,-1 1 0,0-1 0,1 1 0,-1-1 0,0-2 0,0 3 0,0 0 0,0 0 0,-1 0 0,1-1 0,0 1 0,0 0 0,-1 0 0,1 0 0,0 0 0,-1 0 0,1-1 0,-1 1 0,0 0 0,1 0 0,-1 0 0,0 1 0,0-1 0,-1-2 0,1 3 0,1 0 0,-1-1 0,1 1 0,-1 0 0,1 0 0,-1 0 0,1 0 0,-1 0 0,1 0 0,-1 0 0,1 0 0,-1 0 0,1 0 0,-1 0 0,1 0 0,-1 0 0,1 0 0,-1 0 0,1 0 0,-1 0 0,1 1 0,-1-1 0,1 0 0,-1 0 0,1 1 0,0-1 0,-1 0 0,1 1 0,-1-1 0,1 0 0,0 1 0,-1-1 0,1 1 0,0-1 0,-1 1 0,1-1 0,0 0 0,0 1 0,-1-1 0,1 1 0,0-1 0,0 1 0,0 0 0,-2 4 0,0-1 0,1 1 0,-1-1 0,1 1 0,0-1 0,0 1 0,1 0 0,-1 0 0,1-1 0,0 1 0,0 0 0,1 0 0,1 8 0,-1-11 0,0 1 0,0-1 0,0 0 0,0 1 0,0-1 0,1 0 0,-1 0 0,1 0 0,-1 0 0,1 0 0,0 0 0,0 0 0,0-1 0,0 1 0,0-1 0,0 1 0,0-1 0,0 0 0,1 1 0,-1-1 0,0-1 0,1 1 0,-1 0 0,1 0 0,-1-1 0,5 1 0,-3-1 0,1 1 0,-1-1 0,0 0 0,0-1 0,0 1 0,0-1 0,0 1 0,0-1 0,0 0 0,0-1 0,0 1 0,0-1 0,-1 1 0,1-1 0,-1 0 0,1-1 0,-1 1 0,0-1 0,1 1 0,-1-1 0,-1 0 0,1 0 0,0 0 0,-1-1 0,1 1 0,-1 0 0,0-1 0,0 0 0,-1 1 0,1-1 0,-1 0 0,0 0 0,1 0 0,-2 0 0,1 0 0,0 0 0,-1 0 0,0 0 0,0-1 0,0 1 0,-2-6 0,0-10 0,-1 0 0,-2 0 0,0 0 0,-1 1 0,-12-28 0,18 47 0,0-1 0,0 1 0,0 0 0,0-1 0,0 1 0,-1-1 0,1 1 0,0-1 0,0 1 0,0-1 0,-1 1 0,1 0 0,0-1 0,0 1 0,-1 0 0,1-1 0,0 1 0,-1 0 0,1-1 0,0 1 0,-1 0 0,1-1 0,-1 1 0,1 0 0,-1 0 0,1 0 0,0-1 0,-1 1 0,1 0 0,-1 0 0,1 0 0,-2 0 0,-3 15 0,4 26 0,3-27 0,0-1 0,0 0 0,1 0 0,1 0 0,10 23 0,-13-32 0,1-1 0,0 1 0,-1-1 0,1 0 0,0 0 0,1 1 0,-1-1 0,1 0 0,-1-1 0,1 1 0,0 0 0,0-1 0,0 0 0,0 1 0,1-1 0,-1-1 0,0 1 0,1 0 0,-1-1 0,1 0 0,0 1 0,0-2 0,-1 1 0,1 0 0,4 0 0,-6-2 0,0 1 0,0 0 0,0-1 0,0 1 0,0-1 0,0 0 0,0 1 0,0-1 0,0 0 0,0 0 0,0-1 0,-1 1 0,1 0 0,0-1 0,-1 1 0,1 0 0,-1-1 0,1 0 0,-1 1 0,0-1 0,0 0 0,0 0 0,0 0 0,0 0 0,0 0 0,0 0 0,-1 0 0,1 0 0,-1 0 0,1-3 0,1-8 0,0 1 0,-2-1 0,0-22 0,0 34 0,0-24 0,-1 0 0,-2 0 0,0 0 0,-10-34 0,12 58 0,1 0 0,0 0 0,0 0 0,0 0 0,-1 0 0,1 0 0,-1 1 0,1-1 0,-1 0 0,1 0 0,-1 1 0,1-1 0,-1 0 0,1 0 0,-3 0 0,3 1 0,0 0 0,0 0 0,-1 0 0,1 0 0,0 1 0,-1-1 0,1 0 0,0 0 0,0 0 0,-1 1 0,1-1 0,0 0 0,0 1 0,0-1 0,0 0 0,-1 0 0,1 1 0,0-1 0,0 0 0,0 1 0,0-1 0,0 0 0,0 1 0,0-1 0,0 0 0,0 1 0,0-1 0,-3 33 0,4-13 0,0 0 0,2-1 0,1 1 0,0 0 0,1-1 0,2 0 0,-1 0 0,16 28 0,-11-35 0,-11-12 0,0 0 0,1 0 0,-1 0 0,0 0 0,0 0 0,1 0 0,-1 0 0,0 0 0,0 0 0,1 0 0,-1 0 0,0 0 0,0-1 0,1 1 0,-1 0 0,0 0 0,0 0 0,0 0 0,1 0 0,-1 0 0,0-1 0,0 1 0,0 0 0,1 0 0,-1 0 0,0-1 0,0 1 0,0 0 0,0 0 0,0 0 0,0-1 0,1 1 0,-1 0 0,7-34 0,-7 31 0,0-1 0,1 1 0,-1 0 0,1 0 0,0 0 0,2-6 0,-2 9 0,-1-1 0,1 1 0,0 0 0,-1 0 0,1 0 0,-1-1 0,1 1 0,0 0 0,-1 0 0,1 0 0,0 0 0,-1 0 0,1 0 0,-1 0 0,1 1 0,0-1 0,-1 0 0,1 0 0,-1 0 0,1 0 0,0 1 0,-1-1 0,1 0 0,-1 1 0,1-1 0,-1 0 0,1 1 0,19 15 0,-14-11 0,-4-4 7,-1 0 0,0 0-1,0 0 1,0-1 0,1 1-1,-1 0 1,0-1-1,1 1 1,-1-1 0,0 1-1,1-1 1,-1 0 0,1 0-1,-1 1 1,0-1 0,1 0-1,1 0 1,-2-1-62,0 1 0,0-1 0,0 1 0,-1-1 0,1 0 0,0 1 0,-1-1 0,1 1 0,0-1 0,-1 0 0,1 0 0,-1 0 0,1 1 0,-1-1 0,1 0 0,-1 0 0,1 0 0,-1 0 0,0 0 0,0 0 0,1 1 0,-1-1 0,0 0 0,0 0 0,0 0 0,0-1 0,0-7-6771</inkml:trace>
  <inkml:trace contextRef="#ctx0" brushRef="#br0" timeOffset="1387.76">604 103 24575,'-1'0'0,"-2"1"0,2 2 0,-1 3 0,2 2 0,1 0 0,4-2 0,1-1 0,0-3 0,-1-2 0</inkml:trace>
  <inkml:trace contextRef="#ctx0" brushRef="#br0" timeOffset="1866.81">618 135 24575,'0'-2'0,"0"0"0,1 1 0,1 4 0,3 7 0,-1 3 0,2 3 0,-1 2 0,-1-2 0,1-1 0,-2-2 0,0-1 0,1-4 0</inkml:trace>
  <inkml:trace contextRef="#ctx0" brushRef="#br0" timeOffset="2216.14">595 30 24575,'0'-3'0,"0"3"0,0 0 0,1 1 0,-1-1 0,0 0 0,1 1 0,-1-1 0,1 0 0,-1 0 0,0 1 0,1-1 0,-1 0 0,1 0 0,-1 0 0,0 0 0,1 1 0,-1-1 0,1 0 0,-1 0 0,1 0 0,-1 0 0,1 0 0,-1 0 0,1 0 0,-1 0 0,1-1 0,-1 1 0,-1 0 0,0 0 0,0 0 0,1 0 0,-1 0 0,0 0 0,1 0 0,-1 0 0,0 0 0,1-1 0,-1 1 0,1 0 0,-1-1 0,0 1 0,1 0 0,-1-1 0,1 1 0,-1-1 0,1 1 0,-1-1 0,1 1 0,-1-1 0,1 1 0,0-1 0,-1 1 0,1-1 0,0 0 0,-1 1 0,1-1 0,0 0 0,0 1 0,0-1 0,-1 0 0,1 1 0,0-1 0,0 0 0,0 1 0,0-1 0,0 0 0,0 1 0,0-1 0,1 0 0,-1 1 0,0-1 0,0 0 0,0 1 0,1-1 0,-1 1 0,0-1 0,1 0 0,-1 1 0,0-1 0,1 1 0,-1-1 0,1 1 0,-1-1 0,1 1 0,-1-1 0,1 1 0,0 0 0,0-1 0,-4 3-95,0-1 0,1 1 0,-1 0 0,1 1 0,0-1 0,-1 0 0,1 1 0,0-1-1,-2 4 1,3-4-319,-8 10-6412</inkml:trace>
  <inkml:trace contextRef="#ctx0" brushRef="#br0" timeOffset="2626.97">196 538 24575,'22'-2'0,"0"0"0,0-2 0,0-1 0,-1 0 0,31-13 0,-10 4 0,-36 12 0,88-28 0,168-30 0,-256 60-71,-9 2 192,-13 5-631,12-5-395,-10 5-5921</inkml:trace>
  <inkml:trace contextRef="#ctx0" brushRef="#br0" timeOffset="2973.88">256 588 24575,'25'-2'-11,"0"-2"-1,-1 0 1,1-2-1,38-14 1,-6 2 68,179-41-57,-163 42 0,-71 16 20,0 1-158,1 0-1,-1-1 1,0 0-1,0 1 1,0-1-1,0 0 1,0 0-1,1 0 0,1-2 1</inkml:trace>
  <inkml:trace contextRef="#ctx0" brushRef="#br0" timeOffset="3462.1">815 240 24575,'-2'-2'0,"0"-1"0,0 1 0,0-1 0,1 0 0,-1 1 0,1-1 0,0 0 0,0 0 0,0 0 0,0 0 0,0 0 0,1 0 0,-1 0 0,1-1 0,0 1 0,0 0 0,0 0 0,0 0 0,1 0 0,-1 0 0,1 0 0,0 0 0,0 0 0,2-5 0,-1 2 0,0 1 0,1-1 0,0 1 0,0 0 0,0 0 0,1 1 0,-1-1 0,1 0 0,0 1 0,0 0 0,1 0 0,6-4 0,-10 7 0,1 0 0,-1 1 0,0-1 0,0 1 0,0-1 0,0 1 0,0-1 0,1 1 0,-1 0 0,0 0 0,0 0 0,1-1 0,-1 1 0,0 0 0,0 1 0,1-1 0,-1 0 0,0 0 0,0 0 0,1 1 0,-1-1 0,0 1 0,0-1 0,1 1 0,1 1 0,-1 0 0,1 0 0,-1 0 0,0 0 0,0 0 0,0 1 0,0-1 0,0 1 0,2 4 0,1 3 0,0 1 0,0-1 0,-2 1 0,4 15 0,-3-11 0,-1 0 0,-1 1 0,-1-1 0,0 1 0,-1 0 0,-3 26 0,2-38-1365</inkml:trace>
  <inkml:trace contextRef="#ctx0" brushRef="#br0" timeOffset="3708.03">897 295 24575,'0'1'0,"2"0"0,0 2 0,2 1 0,1 2 0,1 0 0,1 2 0,-1 0 0,0-1 0,0 0 0</inkml:trace>
  <inkml:trace contextRef="#ctx0" brushRef="#br0" timeOffset="3968.1">1026 268 24575,'-3'1'0,"-1"4"0,-3 4 0,-1 3 0,-1 1 0,-1 0 0,-1-1 0,2-2-8191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49:59.640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1586 548 24575,'0'-1'0,"0"0"0,0 0 0,0 0 0,0 0 0,0 0 0,0 0 0,0 0 0,0 0 0,-1 0 0,1 0 0,0 0 0,-1 0 0,1 0 0,-1 0 0,1 0 0,-1 0 0,1 0 0,-1 0 0,1 0 0,-1 1 0,-1-2 0,1 2 0,0 0 0,0 0 0,0-1 0,0 1 0,0 0 0,0 1 0,0-1 0,0 0 0,0 0 0,0 0 0,0 1 0,0-1 0,0 0 0,0 1 0,1-1 0,-1 1 0,0-1 0,0 1 0,0-1 0,0 1 0,1 0 0,-1-1 0,0 2 0,-4 2 0,0-1 0,0 1 0,1 1 0,0-1 0,0 1 0,0 0 0,1 0 0,-1 0 0,1 0 0,1 0 0,-4 8 0,6-12 0,0 0 0,0-1 0,0 1 0,0 0 0,0-1 0,0 1 0,1 0 0,-1-1 0,0 1 0,0-1 0,1 1 0,-1 0 0,0-1 0,1 1 0,-1-1 0,0 1 0,1-1 0,-1 1 0,1-1 0,-1 1 0,1-1 0,-1 1 0,1-1 0,-1 0 0,1 1 0,0-1 0,-1 0 0,1 0 0,0 1 0,-1-1 0,1 0 0,-1 0 0,2 0 0,26 4 0,-23-3 0,4-1 0,0 1 0,-1 1 0,1 0 0,-1 0 0,13 5 0,-20-7 0,1 1 0,-1-1 0,0 1 0,1 0 0,-1 0 0,0 0 0,1 0 0,-1 0 0,0 0 0,0 0 0,0 0 0,0 0 0,0 1 0,0-1 0,0 0 0,0 1 0,0-1 0,-1 0 0,1 1 0,0-1 0,-1 1 0,1-1 0,-1 1 0,0-1 0,0 1 0,1 0 0,-1-1 0,0 1 0,0-1 0,-1 1 0,1 0 0,0-1 0,0 1 0,-1-1 0,1 1 0,-1-1 0,-1 3 0,-1 3 0,-1 0 0,0-1 0,0 0 0,0 1 0,-1-2 0,0 1 0,-1-1 0,1 1 0,-1-1 0,0-1 0,0 1 0,0-1 0,-1 0 0,-7 3 0,14-7 4,-1 1-1,0-1 0,1 0 1,-1 1-1,0-1 1,0 0-1,1 0 0,-1 0 1,0 0-1,0 1 1,0-1-1,1 0 0,-1 0 1,0 0-1,0-1 1,0 1-1,1 0 0,-1 0 1,0 0-1,0 0 0,1-1 1,-1 1-1,0 0 1,0-1-1,1 1 0,-1-1 1,0 1-1,1-1 1,-1 1-1,1-1 0,-1 1 1,1-1-1,-1 1 1,0-2-1,0 0-168,0-1 0,0 0 0,0 1 0,0-1 1,0 0-1,1 0 0,-1 1 0,1-5 0,-2-9-6661</inkml:trace>
  <inkml:trace contextRef="#ctx0" brushRef="#br0" timeOffset="300.39">1673 489 24575,'0'0'0,"2"5"0,1 3 0,4 5 0,1 4 0,2 6 0,0 3 0,2 3 0,-2 1 0,-1-3 0,-2-5 0,0-4 0,0-5 0,0-4 0,-1-7 0,-1-4 0,-2-5 0,-1-2-8191</inkml:trace>
  <inkml:trace contextRef="#ctx0" brushRef="#br0" timeOffset="514.63">1709 603 24575,'-1'0'0,"-1"0"0,3-1 0,2 0 0,3-2 0,4-1 0,0 0-8191</inkml:trace>
  <inkml:trace contextRef="#ctx0" brushRef="#br0" timeOffset="1545.4">1883 617 24575,'0'-3'0,"0"0"0,-1 0 0,1 0 0,-1 0 0,0 0 0,0 0 0,0 0 0,0 1 0,0-1 0,-3-4 0,4 7 0,-1-1 0,1 1 0,0 0 0,0-1 0,-1 1 0,1 0 0,0-1 0,-1 1 0,1 0 0,-1-1 0,1 1 0,0 0 0,-1 0 0,1-1 0,-1 1 0,1 0 0,-1 0 0,1 0 0,-1 0 0,1-1 0,-1 1 0,1 0 0,-1 0 0,1 0 0,-1 0 0,0 1 0,0-1 0,0 1 0,0 0 0,1-1 0,-1 1 0,0 0 0,0-1 0,1 1 0,-1 0 0,1 0 0,-1-1 0,0 1 0,1 0 0,0 0 0,-1 0 0,1 0 0,-1 0 0,1 1 0,-2 4 0,1-1 0,0 1 0,0 0 0,0 0 0,1 0 0,-1 0 0,2 10 0,0-14 0,-1 0 0,0 0 0,1 0 0,-1 0 0,1 0 0,0-1 0,-1 1 0,1 0 0,0 0 0,0 0 0,3 2 0,-4-3 0,1 0 0,0-1 0,0 1 0,0 0 0,-1-1 0,1 1 0,0-1 0,0 0 0,0 1 0,0-1 0,0 0 0,0 1 0,0-1 0,0 0 0,0 0 0,0 0 0,0 0 0,0 0 0,0 0 0,0 0 0,0 0 0,0 0 0,0-1 0,2 1 0,-2-1 0,1 0 0,-1 1 0,1-1 0,-1 0 0,1 0 0,-1 0 0,0 0 0,1 0 0,-1 0 0,0-1 0,0 1 0,0 0 0,0 0 0,0-1 0,0 1 0,0-1 0,0 1 0,0-1 0,-1 1 0,1-1 0,0-1 0,3-21 0,-4 27 0,1 0 0,0-1 0,0 1 0,0 0 0,0-1 0,0 1 0,0-1 0,1 1 0,-1-1 0,1 0 0,0 0 0,0 0 0,-1 0 0,1 0 0,1 0 0,-1 0 0,0 0 0,0-1 0,1 1 0,-1-1 0,1 0 0,-1 0 0,5 2 0,-5-3 0,-1 1 0,0-1 0,1 1 0,-1-1 0,1 0 0,-1 0 0,1 0 0,-1 0 0,0 0 0,1 0 0,-1 0 0,1 0 0,-1 0 0,1-1 0,-1 1 0,0-1 0,1 1 0,-1-1 0,0 0 0,0 1 0,1-1 0,-1 0 0,0 0 0,0 0 0,0 0 0,0 0 0,0 0 0,0 0 0,0 0 0,0 0 0,0 0 0,-1 0 0,1-1 0,0 1 0,-1 0 0,1-1 0,-1 1 0,1 0 0,-1-1 0,0 1 0,0-1 0,1 1 0,-1-1 0,0 1 0,0 0 0,-1-2 0,2-1 0,-1 1 0,0-1 0,0 1 0,-1-1 0,1 1 0,-1-1 0,0 1 0,0 0 0,0-1 0,0 1 0,0 0 0,-3-3 0,5 10 0,11 6 0,-12-10 0,1 1 0,0-1 0,0 0 0,0 0 0,0 0 0,0 0 0,0 0 0,0 0 0,0 0 0,0 0 0,0 0 0,0 0 0,0 0 0,0 0 0,0-1 0,0 1 0,-1 0 0,1-1 0,0 1 0,0-1 0,0 1 0,0-1 0,-1 1 0,1-1 0,0 0 0,-1 1 0,1-1 0,0 0 0,0-1 0,8-15 0,-9 17 0,1 5 0,0 0 0,0 1 0,1-1 0,-1 0 0,1 0 0,0 0 0,1 0 0,-1-1 0,1 1 0,6 8 0,-8-12 0,0 1 0,0-1 0,1 1 0,-1 0 0,1-1 0,-1 0 0,1 1 0,-1-1 0,1 0 0,0 0 0,-1 0 0,1 0 0,0 0 0,0 0 0,0-1 0,0 1 0,0-1 0,0 1 0,0-1 0,0 0 0,0 0 0,0 1 0,0-1 0,0-1 0,0 1 0,0 0 0,0 0 0,0-1 0,0 1 0,0-1 0,3-1 0,-3 1 0,0-1 0,-1 1 0,1 0 0,-1-1 0,1 1 0,-1-1 0,1 0 0,-1 1 0,0-1 0,0 0 0,0 0 0,0 0 0,0 0 0,0 0 0,-1 0 0,1 0 0,-1 0 0,1 0 0,-1 0 0,0 0 0,0-4 0,0-4 0,0-1 0,-4-20 0,3 25 0,0-8 0,-1-2 0,0 1 0,-1-1 0,-1 0 0,-1 1 0,-10-27 0,13 42 0,2 6 0,2 9 0,69 179-1076,-68-187 787,-1-1-6537</inkml:trace>
  <inkml:trace contextRef="#ctx0" brushRef="#br0" timeOffset="2461.33">2126 576 24575,'2'0'0,"2"0"0,-1 0 0,1 0 0,-1-1 0,1 1 0,-1-1 0,1 0 0,-1 1 0,1-2 0,-1 1 0,0 0 0,6-3 0,0-3 0,-7 5 0,1 1 0,-1-1 0,1 0 0,0 1 0,0-1 0,-1 1 0,6-2 0,-7 3 0,-1 0 0,0 0 0,1 0 0,-1 0 0,1 0 0,-1 0 0,0 0 0,1 0 0,-1 0 0,1 0 0,-1 1 0,0-1 0,1 0 0,-1 0 0,1 0 0,-1 0 0,0 1 0,1-1 0,-1 0 0,0 0 0,1 1 0,-1-1 0,0 0 0,1 1 0,3 17 0,-4-16 0,0 0 0,1 0 0,-1 0 0,1 0 0,-1 0 0,1 0 0,0 0 0,-1 0 0,1 0 0,0 0 0,0 0 0,1 0 0,-1 0 0,0-1 0,1 1 0,-1 0 0,1-1 0,-1 1 0,1-1 0,0 0 0,-1 0 0,1 1 0,0-1 0,0 0 0,3 1 0,-4-2 0,1 0 0,-1 1 0,1-1 0,-1 0 0,1 0 0,-1 0 0,1 0 0,-1 0 0,1 0 0,-1 0 0,1 0 0,-1-1 0,1 1 0,-1 0 0,0-1 0,1 0 0,-1 1 0,1-1 0,-1 0 0,0 1 0,0-1 0,1 0 0,-1 0 0,0 0 0,0 0 0,0 0 0,0-1 0,0 1 0,0 0 0,-1 0 0,1-1 0,0 1 0,-1 0 0,1-1 0,0 1 0,-1-2 0,1 2 0,-1 1 0,0-1 0,0 0 0,0 1 0,0-1 0,1 1 0,-1-1 0,0 1 0,1-1 0,-1 0 0,0 1 0,1-1 0,-1 1 0,0 0 0,1-1 0,-1 1 0,1-1 0,-1 1 0,2-1 0,6 7 0,1 1 0,-8-6 0,0 0 0,0 0 0,0 0 0,0 0 0,0 0 0,1-1 0,-1 1 0,0-1 0,0 1 0,1-1 0,-1 1 0,0-1 0,1 0 0,-1 1 0,0-1 0,1 0 0,-1 0 0,1 0 0,-1 0 0,0 0 0,1 0 0,-1-1 0,0 1 0,1 0 0,-1-1 0,0 1 0,1-1 0,-1 1 0,0-1 0,0 0 0,1 0 0,-1 1 0,0-1 0,0 0 0,0 0 0,0 0 0,0 0 0,0 0 0,-1 0 0,1 0 0,0-1 0,0 1 0,0-2 0,2-2 0,-1 0 0,0 0 0,0-1 0,0 1 0,-1-1 0,0 1 0,0-1 0,0-8 0,1 40 0,1-1 0,1 1 0,2-1 0,14 42 0,-1-1 0,6 37 0,-59-225 0,24 80 0,1 9 0,2 0 0,1 0 0,-2-48 0,8 79 0,0 0 0,0 0 0,1 0 0,-1 0 0,0 0 0,1 0 0,-1 0 0,1 0 0,0 0 0,-1 0 0,1 0 0,0 0 0,0 1 0,2-3 0,-2 3 0,-1 0 0,1 0 0,0 1 0,0-1 0,0 0 0,0 1 0,0-1 0,0 1 0,0-1 0,0 1 0,0-1 0,0 1 0,0 0 0,0-1 0,0 1 0,0 0 0,0 0 0,0 0 0,2 0 0,-1 0 0,0 1 0,0-1 0,0 1 0,-1-1 0,1 1 0,0 0 0,0 0 0,-1 0 0,1 0 0,0 0 0,-1 0 0,1 0 0,-1 1 0,0-1 0,1 0 0,-1 1 0,0-1 0,0 1 0,0 0 0,0-1 0,0 1 0,0 0 0,0 0 0,-1-1 0,1 1 0,0 0 0,-1 3 0,1-3 6,-1 0 0,0 0 0,0-1 0,0 1 0,0 0 0,0 0 0,-1 0 0,1 0 0,0-1 0,-1 1 0,1 0 0,-1 0 0,0-1 0,0 1 0,0 0 0,0-1 0,0 1 0,0-1 0,-1 2 0,-2 1-218,1-1 0,0 0 0,0-1-1,-1 1 1,0 0 0,-7 3 0,-2 0-6614</inkml:trace>
  <inkml:trace contextRef="#ctx0" brushRef="#br0" timeOffset="3076.34">1705 580 24575,'-2'0'0,"-2"0"0,2 0 0,2 0 0,4-2 0,3-1 0,2-1 0,1 1 0,-2 0-8191</inkml:trace>
  <inkml:trace contextRef="#ctx0" brushRef="#br0" timeOffset="3485.43">1563 873 24575,'0'2'0,"0"2"0,1 2 0,2 4 0,0 2 0,-1 1 0,3 0 0,-1 0 0,1-3 0,0-2-8191</inkml:trace>
  <inkml:trace contextRef="#ctx0" brushRef="#br0" timeOffset="3979.59">1581 901 24575,'25'-2'0,"-1"-1"0,1-1 0,-1-1 0,32-11 0,9-2 0,361-63 0,-226 47 0,-188 31 0,31-5 0,-40 7 0,-1 0 0,1 0 0,-1 0 0,1 0 0,-1 0 0,1 0 0,-1-1 0,0 1 0,1-1 0,-1 0 0,0 0 0,2-2 0,-4 14 36,0-3-386,0 0-1,0 0 1,2 13 0,1-13-6476</inkml:trace>
  <inkml:trace contextRef="#ctx0" brushRef="#br0" timeOffset="7452.44">2314 337 24575,'-1'1'0,"1"-1"0,-1 0 0,1 0 0,-1 0 0,1 0 0,-1 0 0,0 0 0,1-1 0,-1 1 0,1 0 0,-1 0 0,1 0 0,-1 0 0,1-1 0,-1 1 0,0 0 0,1 0 0,0-1 0,-1 1 0,1-1 0,-1 1 0,1 0 0,-1-1 0,1 1 0,0-1 0,-1 1 0,1-1 0,0 1 0,-1-1 0,1 1 0,0-1 0,0 1 0,0-1 0,-1 1 0,1-1 0,0 1 0,0-1 0,0 0 0,0 1 0,0-1 0,0 1 0,0-1 0,0 0 0,0 1 0,0-1 0,1 1 0,-1-1 0,0 1 0,0-1 0,1 0 0,0-3 0,0 1 0,1 0 0,-1 0 0,1 0 0,0 0 0,4-6 0,36-34 0,1 1 0,2 3 0,1 1 0,74-44 0,-108 74 0,1 1 0,0 0 0,0 1 0,22-7 0,-30 12 0,0 0 0,0 0 0,0 0 0,0 0 0,0 1 0,0 0 0,0 0 0,0 1 0,0-1 0,0 1 0,0 0 0,0 0 0,0 1 0,0-1 0,0 1 0,7 4 0,11 11 0,0 0 0,-2 2 0,0 0 0,-1 1 0,-1 1 0,31 47 0,-42-56 0,-1 0 0,0 1 0,-1 0 0,8 23 0,-13-32-1365</inkml:trace>
  <inkml:trace contextRef="#ctx0" brushRef="#br0" timeOffset="7696.2">2932 241 24575,'3'2'0,"1"0"0,3 0 0,1 1 0,2 0 0,0 0 0,1-1 0,-1 1 0,0-1 0,0 1 0,0-2 0,-1 0 0,-1 0-8191</inkml:trace>
  <inkml:trace contextRef="#ctx0" brushRef="#br0" timeOffset="7974.2">3111 214 24575,'0'-2'0,"-1"0"0,-1 2 0,-4 2 0,-1 4 0,-2 3 0,0 2 0,1 1 0,-2 1 0,2 0 0,0-2 0,2-1 0,1-2-8191</inkml:trace>
  <inkml:trace contextRef="#ctx0" brushRef="#br0" timeOffset="9197.52">3079 525 24575,'0'1'0,"0"-1"0,0 1 0,0 0 0,0-1 0,0 1 0,0-1 0,0 1 0,0 0 0,0-1 0,1 1 0,-1-1 0,0 1 0,0 0 0,1-1 0,-1 1 0,0-1 0,0 1 0,1-1 0,-1 1 0,1-1 0,-1 0 0,0 1 0,1-1 0,-1 1 0,1-1 0,-1 0 0,1 1 0,-1-1 0,1 0 0,0 1 0,1-1 0,0 0 0,-1 0 0,1 0 0,-1 0 0,1 0 0,-1 0 0,1 0 0,0-1 0,-1 1 0,1-1 0,2 0 0,0-1 0,1 0 0,0-1 0,0 0 0,-1 0 0,1 0 0,5-5 0,-8 6 0,0-1 0,0 0 0,0 1 0,0-1 0,-1 0 0,1 0 0,-1 0 0,0 0 0,1 0 0,-1 0 0,-1 0 0,1-1 0,0 1 0,-1 0 0,0 0 0,1-1 0,-1 1 0,0 0 0,-1-1 0,1 1 0,-1 0 0,0 0 0,1-1 0,-1 1 0,0 0 0,-1 0 0,1 0 0,-1 0 0,1 0 0,-1 0 0,0 1 0,-4-5 0,2 2 0,0 0 0,0 1 0,-1 0 0,1 0 0,-1 0 0,0 1 0,0-1 0,-1 1 0,1 0 0,-1 1 0,1-1 0,-1 1 0,0 0 0,0 1 0,0 0 0,0-1 0,-7 1 0,8 1 0,1 0 0,-1 0 0,0 1 0,1 0 0,-1 0 0,1 0 0,-1 0 0,1 1 0,0 0 0,-1-1 0,1 2 0,0-1 0,0 0 0,0 1 0,-4 4 0,3-2 0,0 0 0,0 1 0,1-1 0,0 1 0,0 0 0,0 0 0,1 0 0,0 0 0,-3 11 0,2-4 0,0 1 0,1 0 0,1 0 0,0 0 0,1 0 0,1 1 0,0-1 0,0 0 0,5 22 0,-3-28 0,0 1 0,1-1 0,0 0 0,0-1 0,1 1 0,0-1 0,0 1 0,1-1 0,0 0 0,0-1 0,1 1 0,-1-1 0,13 10 0,-15-14 0,1 1 0,0-1 0,-1 0 0,1 0 0,0 0 0,0 0 0,0 0 0,0-1 0,0 0 0,0 0 0,1 0 0,-1 0 0,0-1 0,1 0 0,-1 1 0,0-2 0,1 1 0,-1 0 0,0-1 0,0 0 0,1 0 0,-1 0 0,0-1 0,0 1 0,0-1 0,0 0 0,0 0 0,4-4 0,0 0 0,0 0 0,-1 0 0,0-1 0,0 0 0,-1 0 0,0-1 0,0 1 0,0-1 0,-1-1 0,-1 1 0,1-1 0,-2 0 0,1 0 0,-1 0 0,2-10 0,-3 12 0,-1 0 0,0 0 0,0 0 0,-1-1 0,0 1 0,0 0 0,-1 0 0,0 0 0,0 0 0,0 0 0,-1 0 0,0 0 0,-1 0 0,1 0 0,-1 1 0,-1-1 0,1 1 0,-1 0 0,0 0 0,-9-10 0,8 12 0,0 0 0,0 1 0,0-1 0,-1 1 0,1 0 0,-1 1 0,0-1 0,0 1 0,1 0 0,-1 1 0,-8-2 0,10 2 0,0 1 0,1 0 0,-1 0 0,0 0 0,1 0 0,-1 0 0,0 1 0,1-1 0,-5 3 0,6-3 0,0 1 0,1 0 0,-1 0 0,0-1 0,1 1 0,-1 0 0,1 1 0,0-1 0,-1 0 0,1 0 0,0 1 0,0-1 0,0 0 0,0 1 0,0-1 0,0 1 0,0 0 0,0-1 0,0 3 0,0-2 0,1 0 0,0 1 0,-1-1 0,1 0 0,0 0 0,1 0 0,-1 1 0,0-1 0,0 0 0,1 0 0,0 0 0,-1 0 0,1 0 0,0 0 0,0 0 0,0 0 0,0 0 0,0 0 0,3 3 0,4 5 0,1 0 0,12 11 0,-2-2 0,1 6 0,22 36 0,-12-16 0,-30-44-44,0-1 0,1 1 0,-1 0 0,1 0 0,-1 0 0,1-1 0,-1 1 0,1 0 0,0-1 0,-1 1 0,1 0 0,0-1 0,-1 1 0,1-1 0,0 1 0,0-1 0,0 1 0,0-1-1,-1 0 1,1 1 0,0-1 0,0 0 0,0 0 0,0 1 0,0-1 0,0 0 0,0 0 0,0 0 0,0 0 0,1-1 0,4-3-6782</inkml:trace>
  <inkml:trace contextRef="#ctx0" brushRef="#br0" timeOffset="9580.56">3304 420 24575,'-2'-10'0,"-2"18"0,3-7 0,1 1 0,-1 0 0,1-1 0,0 1 0,0 0 0,0 0 0,0-1 0,0 1 0,0 0 0,0 0 0,0-1 0,1 1 0,-1 0 0,2 2 0,-1-2 0,1 0 0,0-1 0,0 1 0,0-1 0,0 1 0,0-1 0,1 0 0,-1 1 0,0-1 0,4 1 0,-4-2 0,0 1 0,1 0 0,-1 0 0,0 0 0,0 0 0,0 0 0,-1 0 0,1 1 0,0-1 0,0 1 0,2 2 0,-4-4-37,0 0 0,0 0 1,0 0-1,0 1 0,0-1 0,0 0 0,0 0 0,0 0 0,0 1 0,0-1 0,1 0 0,-1 0 1,0 0-1,0 0 0,0 1 0,0-1 0,0 0 0,0 0 0,0 0 0,0 1 0,0-1 0,-1 0 1,1 0-1,0 0 0,0 1 0,0-1 0,0 0 0,0 0 0,0 0 0,0 0 0,0 1 0,0-1 1,-1 0-1,1 0 0,0 0 0,0 0 0</inkml:trace>
  <inkml:trace contextRef="#ctx0" brushRef="#br0" timeOffset="10283.53">3427 369 24575,'-3'33'0,"16"53"0,-9-64 0,-14-47 0,2 0 0,1-1 0,1 0 0,1 0 0,1-1 0,0-45 0,4 67 0,0-1 0,1 1 0,0 0 0,0 0 0,1 0 0,0 0 0,-1 0 0,6-8 0,-7 12 0,0 0 0,1 0 0,-1 0 0,1 1 0,-1-1 0,1 0 0,0 0 0,-1 0 0,1 1 0,0-1 0,0 0 0,-1 1 0,1-1 0,0 0 0,0 1 0,0-1 0,0 1 0,0 0 0,0-1 0,0 1 0,0 0 0,0-1 0,-1 1 0,2 0 0,-1 0 0,0 0 0,0 0 0,0 0 0,0 0 0,0 0 0,0 0 0,0 1 0,0-1 0,0 0 0,-1 0 0,1 1 0,0-1 0,0 1 0,0-1 0,0 1 0,0-1 0,0 1 0,-1 0 0,1-1 0,0 1 0,0 0 0,-1-1 0,1 1 0,-1 0 0,1 0 0,0 1 0,1 0 0,-1 0 0,1 0 0,-1 0 0,0-1 0,0 1 0,0 0 0,0 1 0,0-1 0,0 0 0,-1 0 0,1 0 0,-1 0 0,1 1 0,-1-1 0,0 0 0,0 1 0,0-1 0,0 0 0,0 0 0,0 1 0,-1-1 0,1 0 0,-2 4 0,0-2 0,0 1 0,-1 0 0,1-1 0,-1 0 0,0 1 0,0-1 0,0 0 0,-1-1 0,-4 5 0,8-8 0,-1 1 0,1-1 0,0 1 0,0-1 0,-1 1 0,1 0 0,0-1 0,0 1 0,0-1 0,0 1 0,0-1 0,0 1 0,0-1 0,0 1 0,0 0 0,0-1 0,0 1 0,0-1 0,0 1 0,0-1 0,0 1 0,1 0 0,-1-1 0,0 1 0,0-1 0,1 1 0,-1-1 0,0 1 0,1-1 0,-1 0 0,0 1 0,1-1 0,-1 1 0,1-1 0,-1 0 0,1 1 0,0-1 0,20 17 0,-18-14 0,37 21 0,-29-19 0,-1 1 0,0 0 0,-1 1 0,11 9 0,-15-10-1365</inkml:trace>
  <inkml:trace contextRef="#ctx0" brushRef="#br0" timeOffset="10650.46">2823 837 24575,'9'-2'0,"1"0"0,-1 0 0,1-1 0,17-7 0,2-1 0,43-13 0,420-127 0,-482 149-83,-10 3 200,-16 6-378,9-3-877,-10 4-5688</inkml:trace>
  <inkml:trace contextRef="#ctx0" brushRef="#br0" timeOffset="11005.68">2901 910 24575,'-3'0'0,"0"2"0,4-3 0,7-3 0,13-7 0,15-8 0,21-7 0,20-6 0,16-1 0,8-2 0,1 2 0,-4 1 0,-8 3 0,-12 3 0,-14 7 0,-17 5 0,-15 6 0,-15 3-8191</inkml:trace>
  <inkml:trace contextRef="#ctx0" brushRef="#br0" timeOffset="137988.5">174 708 24575,'0'-3'0,"-1"-1"0,-1 1 0,1-1 0,-1 1 0,1 0 0,-1 0 0,0 0 0,0 0 0,-3-4 0,-2-4 0,3 5 0,2 2 0,0 1 0,1 0 0,-1 0 0,-1-1 0,1 2 0,0-1 0,-1 0 0,-3-3 0,6 6 0,-1 0 0,1 0 0,0 0 0,0 0 0,0 0 0,0 0 0,0 0 0,0 0 0,0 0 0,-1 0 0,1 0 0,0 0 0,0 0 0,0 0 0,0 0 0,0 0 0,0 0 0,0 0 0,-1 0 0,1 0 0,0 0 0,0 0 0,0 0 0,0 0 0,0 0 0,0 0 0,0 0 0,-1 0 0,1 0 0,0 0 0,0 0 0,0 1 0,0-1 0,0 0 0,0 0 0,0 0 0,0 0 0,0 0 0,0 0 0,0 0 0,0 1 0,0-1 0,0 0 0,0 0 0,0 0 0,-1 0 0,1 0 0,0 0 0,1 1 0,-2 10 0,4 12 0,26 109 0,27 157 0,-37-48 0,-4-24 0,-14-210 0,-1-4 0,0-1 0,0 0 0,0 1 0,1-1 0,-1 0 0,1 1 0,-1-1 0,1 0 0,0 0 0,0 0 0,0 0 0,0 0 0,0 0 0,3 4 0,-4-6 0,0 0 0,0 0 0,1 0 0,-1 0 0,0 0 0,0 0 0,1 0 0,-1 0 0,0 0 0,0 1 0,1-1 0,-1 0 0,0 0 0,0 0 0,1 0 0,-1-1 0,0 1 0,0 0 0,1 0 0,-1 0 0,0 0 0,0 0 0,1 0 0,-1 0 0,0 0 0,0 0 0,0-1 0,1 1 0,-1 0 0,0 0 0,0 0 0,0 0 0,0-1 0,1 1 0,-1 0 0,0 0 0,0 0 0,0-1 0,0 1 0,0 0 0,0 0 0,1-1 0,-1 1 0,0 0 0,0 0 0,0-1 0,0 1 0,0 0 0,0-1 0,3-14 0,-3 15 0,2-23-1365,-1-2-5461</inkml:trace>
  <inkml:trace contextRef="#ctx0" brushRef="#br0" timeOffset="138749.43">211 649 24575,'-38'-5'0,"36"4"0,0 1 0,0-1 0,0 1 0,1-1 0,-1 0 0,0 1 0,0-1 0,1 0 0,-1 0 0,1 0 0,-1-1 0,1 1 0,-1 0 0,1 0 0,0-1 0,0 1 0,-2-4 0,2 5 0,1 0 0,0-1 0,0 1 0,0 0 0,1-1 0,-1 1 0,0 0 0,0-1 0,0 1 0,0 0 0,0-1 0,0 1 0,0 0 0,0 0 0,1-1 0,-1 1 0,0 0 0,0-1 0,0 1 0,1 0 0,-1 0 0,0 0 0,0-1 0,1 1 0,-1 0 0,0 0 0,0 0 0,1 0 0,-1-1 0,0 1 0,1 0 0,-1 0 0,0 0 0,0 0 0,1 0 0,14-4 0,-12 3 0,804-194 0,-785 189 0,-13 4 0,0 0 0,-1 0 0,1-1 0,-1 0 0,0-1 0,10-5 0,-17 8 0,0 0 0,-1 0 0,1 0 0,-1 0 0,1 0 0,-1 0 0,1 0 0,-1 0 0,1 0 0,-1 0 0,0 0 0,0 0 0,0 0 0,1 0 0,-1 0 0,0 0 0,0 0 0,0 0 0,-1 0 0,1 0 0,0 0 0,0 0 0,-1 0 0,1 0 0,0 0 0,-1 0 0,1 0 0,-1 0 0,1 0 0,-1 0 0,0 0 0,1 0 0,-1 1 0,0-1 0,1 0 0,-1 0 0,0 1 0,0-1 0,0 1 0,0-1 0,0 1 0,0-1 0,-1 0 0,2 1 0,-1 0 0,1 0 0,-1 0 0,1 1 0,0-1 0,-1 0 0,1 0 0,0 0 0,-1 0 0,1 1 0,0-1 0,-1 0 0,1 0 0,0 1 0,0-1 0,-1 0 0,1 0 0,0 1 0,0-1 0,-1 0 0,1 1 0,0-1 0,0 0 0,0 1 0,0-1 0,0 0 0,-1 1 0,1-1 0,0 1 0,0-1 0,0 1 0,-2 14 0,2-12 0,-1 292 0,2-240 0,7 107 0,36 202 0,-34-318 0,1 14 0,-10-60-21,-1 0-1,0 1 0,0-1 1,0 0-1,0 0 0,0 1 1,0-1-1,0 0 0,0 0 1,0 1-1,0-1 0,0 0 1,1 0-1,-2 1 0,1-1 1,0 0-1,0 1 0,0-1 0,0 0 1,0 0-1,0 1 0,0-1 1,0 0-1,0 0 0,0 1 1,0-1-1,-1 0 0,1 0 1,0 0-1,0 1 0,0-1 1,0 0-1,-1 0 0,1 0 1,0 1-1,0-1 0,-1 0 1,1 0-1,0 0 0,0 0 1,0 0-1,-1 0 0,1 0 1,0 0-1,-1 1 0,1-1 1,0 0-1,0 0 0,-1 0 1,1 0-1,0 0 0,0 0 1,-1 0-1,1 0 0,0-1 1,0 1-1,-1 0 0,1 0 1,0 0-1,0 0 0,-1 0 1,1-1-1,-6-2-6804</inkml:trace>
  <inkml:trace contextRef="#ctx0" brushRef="#br0" timeOffset="139642.37">317 1570 24575,'-14'0'0,"20"-1"0,15-1 0,277-66 0,-187 39 0,465-89 0,-561 116 0,-11 3 0,1-2 0,-1 1 0,0 0 0,0-1 0,0 0 0,0 0 0,0 0 0,0 0 0,0-1 0,-1 1 0,8-5 0,-12 1-1365,-4 0-5461</inkml:trace>
  <inkml:trace contextRef="#ctx0" brushRef="#br0" timeOffset="140281.37">811 676 24575,'11'5'0,"-11"-5"0,1 1 0,-1-1 0,0 0 0,1 1 0,-1-1 0,0 0 0,1 0 0,-1 0 0,0 1 0,1-1 0,-1 0 0,0 0 0,1 0 0,-1 0 0,0 0 0,1 0 0,-1 0 0,1 0 0,-1 0 0,0 0 0,1 0 0,-1 0 0,1 0 0,-1 0 0,0 0 0,1 0 0,-1 0 0,1 0 0,-1 0 0,0-1 0,1 1 0,-1 0 0,0 0 0,1-1 0,-1 1 0,0 0 0,0 0 0,1-1 0,-1 1 0,0 0 0,1-1 0,-1 1 0,0 0 0,0-1 0,0 1 0,0 0 0,1-1 0,-1 0 0,15-20 0,-1-1 0,-1-1 0,-1 0 0,10-26 0,4-7 0,-25 53 0,28-57 0,2 2 0,44-60 0,-73 115-99,14-15 331,-16 17-295,1 0 1,-1 1-1,1-1 1,0 1 0,-1-1-1,1 1 1,0-1-1,-1 1 1,1 0 0,0-1-1,0 1 1,-1 0-1,1 0 1,0-1 0,0 1-1,0 0 1,0 0-1,-1 0 1,1 0 0,0 0-1,0 0 1,0 0-1,0 0 1,5 4-6764</inkml:trace>
  <inkml:trace contextRef="#ctx0" brushRef="#br0" timeOffset="156966.11">889 979 24575,'1'2'0,"1"1"0,-1-1 0,0 0 0,1 1 0,-1-1 0,1 0 0,0 0 0,-1 0 0,1 0 0,3 2 0,1 2 0,-4-4 0,31 33 0,-30-32 0,0-1 0,0 1 0,0 0 0,1-1 0,0 0 0,-1 0 0,1 0 0,0 0 0,4 1 0,-7-3 0,0 0 0,0 0 0,0 0 0,0 0 0,0 0 0,0-1 0,0 1 0,0 0 0,0-1 0,0 1 0,0 0 0,0-1 0,0 0 0,0 1 0,0-1 0,0 1 0,0-1 0,-1 0 0,1 1 0,0-1 0,0-1 0,17-23 0,-13 17 0,31-46 0,-14 20 0,0 2 0,49-53 0,-69 82-195,1 1 0,0-1 0,0 1 0,-1 0 0,1 0 0,5-2 0,1 1-6631</inkml:trace>
  <inkml:trace contextRef="#ctx0" brushRef="#br0" timeOffset="171323.26">0 1409 24575,'20'50'0,"-19"-45"0,1-1 0,-1 0 0,1 1 0,0-1 0,0 0 0,0 0 0,5 7 0,-6-11 0,0 1 0,0 0 0,0 0 0,0-1 0,0 1 0,0-1 0,0 1 0,0-1 0,0 1 0,1-1 0,-1 0 0,0 1 0,0-1 0,1 0 0,-1 0 0,0 0 0,0 0 0,1 0 0,-1 0 0,0 0 0,0-1 0,0 1 0,1 0 0,-1-1 0,0 1 0,0-1 0,0 1 0,0-1 0,0 0 0,0 1 0,0-1 0,0 0 0,1-1 0,46-32 0,-3-2 0,64-63 0,28-25 0,-111 104-455,0 0 0,50-26 0,-64 41-6371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4:53:40.59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1 234 24575,'0'0'0,"0"0"0,0 0 0,0-1 0,0 1 0,0 0 0,0 0 0,0-1 0,0 1 0,0 0 0,0 0 0,0 0 0,0-1 0,0 1 0,0 0 0,0 0 0,0-1 0,1 1 0,-1 0 0,0 0 0,0 0 0,0-1 0,0 1 0,1 0 0,-1 0 0,0 0 0,0 0 0,0 0 0,1-1 0,-1 1 0,0 0 0,0 0 0,0 0 0,1 0 0,-1 0 0,0 0 0,0 0 0,1 0 0,-1 0 0,0 0 0,0 0 0,1 0 0,-1 0 0,0 0 0,0 0 0,0 0 0,1 0 0,-1 0 0,1 0 0,17-2 0,-15 2 0,55-9 0,0-3 0,72-25 0,-41 12 0,-42 12 0,266-67 0,-218 60 0,126-10 0,-209 30-63,-17 3 196,-20 3-1069,23-5 437,-20 4-6327</inkml:trace>
  <inkml:trace contextRef="#ctx0" brushRef="#br0" timeOffset="512.59">257 253 24575,'-72'38'0,"-70"43"0,142-81 0,-1 0 0,0 1 0,1-1 0,-1 0 0,0 1 0,1-1 0,-1 1 0,1-1 0,-1 1 0,0 0 0,1-1 0,0 1 0,-1 0 0,1-1 0,-1 1 0,1 0 0,0-1 0,-1 2 0,1-2 0,0 0 0,1 1 0,-1-1 0,0 0 0,0 1 0,0-1 0,1 0 0,-1 0 0,0 1 0,0-1 0,1 0 0,-1 0 0,0 0 0,1 0 0,-1 1 0,0-1 0,1 0 0,-1 0 0,0 0 0,1 0 0,-1 0 0,0 0 0,1 0 0,-1 0 0,0 0 0,1 0 0,31-1 0,57-14 0,-1-5 0,103-37 0,-108 31 0,772-188 0,-826 210-1365,-10 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5:27:57.24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15 216 24575,'-3'45'0,"10"315"0,-19-535 0,10 129 0,-3-40 0,11-144 0,-4 220 0,-1 1 0,1-1 0,1 1 0,6-17 0,-9 25 0,1 0 0,0-1 0,-1 1 0,1 0 0,0 0 0,0 0 0,0-1 0,0 1 0,0 0 0,0 0 0,0 0 0,0 0 0,0 1 0,0-1 0,0 0 0,1 0 0,0 0 0,0 1 0,-1 0 0,0 0 0,0 0 0,1 0 0,-1 0 0,0 1 0,0-1 0,0 0 0,1 1 0,-1-1 0,0 1 0,0-1 0,0 1 0,0-1 0,0 1 0,0 0 0,0 0 0,0 0 0,0-1 0,0 1 0,0 0 0,0 0 0,1 2 0,1 2-170,0-1-1,-1 1 0,1 0 1,-1-1-1,0 1 0,0 0 1,2 9-1,0 3-6655</inkml:trace>
  <inkml:trace contextRef="#ctx0" brushRef="#br0" timeOffset="235.34">28 293 24575,'1'-3'0,"4"-4"0,5-3 0,4 0 0,2 0 0,1 1 0,-2 2 0,-1 3 0,-3 1-8191</inkml:trace>
  <inkml:trace contextRef="#ctx0" brushRef="#br0" timeOffset="519.21">267 225 24575,'0'0'0,"0"4"0,0 4 0,0 4 0,0 4 0,0 4 0,0 3 0,0 2 0,2 3 0,1 1 0,0-1 0,-1-1 0,2-5 0,-1-6 0,-1-8-8191</inkml:trace>
  <inkml:trace contextRef="#ctx0" brushRef="#br0" timeOffset="826.92">312 9 24575,'0'0'0,"-1"1"0,1-1 0,0 0 0,-1 0 0,1 0 0,-1 0 0,1 0 0,0 1 0,-1-1 0,1 0 0,-1 0 0,1 1 0,0-1 0,-1 0 0,1 1 0,0-1 0,0 0 0,-1 1 0,1-1 0,0 1 0,0-1 0,-1 0 0,1 1 0,0-1 0,0 1 0,0-1 0,0 0 0,0 1 0,0-1 0,0 1 0,0-1 0,0 1 0,0-1 0,0 1 0,0-1 0,0 0 0,0 1 0,0-1 0,0 1 0,1 0 0,-1 0 0,0 0 0,0 0 0,0 0 0,1 0 0,-1 0 0,0 0 0,1 0 0,-1 0 0,1 0 0,-1 0 0,1 0 0,0 0 0,-1 0 0,1 0 0,0 0 0,0 0 0,0-1 0,-1 1 0,0-1 0,1 0 0,-1 0 0,1 0 0,-1 0 0,0 1 0,1-1 0,-1 0 0,0 0 0,1 0 0,-1 0 0,1 0 0,-1 0 0,0 0 0,1 0 0,-1 0 0,1 0 0,-1 0 0,0 0 0,1 0 0,-1-1 0,1 1 0,-1 0 0,0 0 0,1 0 0,-1 0 0,0-1 0,1 1 0,-1 0 0,0 0 0,0-1 0,1 1 0,-1 0 0,0-1 0,1 1 0,-1 0 0,0-1 0,0 0 0,1 0 0,-1 0 0,1 0 0,-1-1 0,0 1 0,0 0 0,0-1 0,1 1 0,-1 0 0,-1-1 0,1 1 0,0 0 0,-1-3 0,1 3 0,0 0 0,0 1 0,0-1 0,0 0 0,0 0 0,-1 1 0,1-1 0,0 0 0,-1 0 0,1 1 0,0-1 0,-1 0 0,1 1 0,-1-1 0,1 1 0,-1-1 0,1 1 0,-1-1 0,1 1 0,-1-1 0,0 1 0,1-1 0,-1 1 0,0-1 0,1 1 0,-1 0 0,0 0 0,1-1 0,-1 1 0,0 0 0,0 0 0,0 0 0,1 0 0,-1 0 0,0 0 0,0 0 0,1 0 0,-1 0 0,0 0 0,0 0 0,1 0 0,-1 1 0,0-1 0,0 0 0,1 1 0,-1-1 0,0 0 0,1 1 0,-1-1 0,1 1 0,-1-1 0,0 1 0,1-1 0,-1 1 0,1-1 0,-1 2 0,-2 1 8,1-1-1,0 1 1,0 0-1,0-1 1,1 1-1,-1 0 1,1 0-1,-1 0 1,1 0-1,0 1 1,0-1-1,0 0 1,1 0-1,-1 1 1,1 5-1,-1-7-72,1 0 1,1 1-1,-1-1 1,0 0-1,0 1 1,1-1-1,0 1 0,-1-1 1,1 0-1,0 0 1,0 1-1,0-1 1,0 0-1,0 0 1,1 0-1,-1 0 0,1 0 1,-1-1-1,1 1 1,0 0-1,0-1 1,2 2-1,4 1-6761</inkml:trace>
  <inkml:trace contextRef="#ctx0" brushRef="#br0" timeOffset="1109.08">413 5 24575,'18'445'0,"-17"-432"0,1 7 0,1-1 0,0 0 0,10 33 0,-12-51-92,-1 0 43,0 0 0,0-1 0,0 1 0,1-1 0,-1 1 0,0 0 0,0-1 0,1 1 0,-1-1 0,0 1 0,1-1 0,-1 1 1,1 0-1,-1-1 0,0 0 0,1 1 0,-1-1 0,1 1 0,-1-1 0,1 0 0,0 1 0,-1-1 0,1 0 0,-1 1 0,2-1 0</inkml:trace>
  <inkml:trace contextRef="#ctx0" brushRef="#br0" timeOffset="1413.16">574 9 24575,'6'107'0,"0"-21"0,-5-36 0,-2-20 0,2 0 0,1 0 0,9 43 0,-11-72-4,0 0-1,1 0 0,-1 0 0,0 0 1,0 0-1,1 0 0,-1 0 0,1 0 1,-1 0-1,1 0 0,-1 0 0,1-1 1,0 1-1,-1 0 0,1 0 1,1 1-1,-1-2 12,-1 0 0,1 0 0,-1 0-1,1 0 1,-1 0 0,0 0 0,1 0 0,-1 0 0,1 0 0,-1 0 0,0 0 0,1-1 0,-1 1-1,0 0 1,1 0 0,-1 0 0,0-1 0,1 1 0,-1 0 0,0 0 0,1-1 0,-1 1 0,0 0-1,1-1 1,-1 1 0,0 0 0,0-1 0,1 1 0,1-4-219,0 0 0,0 0 0,0 0-1,0 0 1,-1 0 0,2-6 0,0-5-6614</inkml:trace>
  <inkml:trace contextRef="#ctx0" brushRef="#br0" timeOffset="1608.2">519 307 24575,'-2'0'0,"2"0"0,1 0 0,3-2 0,3-3 0,3-1 0,3-2 0,1-2 0,1 1 0,1 1 0,-3 1-8191</inkml:trace>
  <inkml:trace contextRef="#ctx0" brushRef="#br0" timeOffset="2251.69">734 271 24575,'1'-1'0,"0"1"0,0-1 0,0 1 0,1-1 0,-1 1 0,0-1 0,0 0 0,0 1 0,-1-1 0,1 0 0,0 0 0,0 0 0,0 0 0,0 0 0,-1 0 0,1 0 0,0 0 0,-1 0 0,1 0 0,-1 0 0,1 0 0,-1 0 0,0 0 0,1-1 0,-1 1 0,0 0 0,0 0 0,0-2 0,1 2 0,-1-1 0,0 0 0,1 0 0,-1 0 0,0 0 0,0 1 0,0-1 0,0 0 0,-1 0 0,1 0 0,0 0 0,-1 0 0,0 1 0,1-1 0,-1 0 0,0 1 0,-1-4 0,2 5 0,-1 0 0,1-1 0,0 1 0,-1 0 0,1 0 0,0-1 0,-1 1 0,1 0 0,-1 0 0,1 0 0,0 0 0,-1-1 0,1 1 0,-1 0 0,1 0 0,0 0 0,-1 0 0,1 0 0,-1 0 0,1 0 0,-1 0 0,1 0 0,0 0 0,-1 1 0,1-1 0,-1 0 0,1 0 0,0 0 0,-1 0 0,1 1 0,-1-1 0,-9 14 0,-1 17 0,10-24 0,0-1 0,1 0 0,0 0 0,0 0 0,0 0 0,1 1 0,0-1 0,0 0 0,0 0 0,3 7 0,-3-11 0,0 0 0,-1 0 0,1 0 0,0 0 0,0 0 0,1 0 0,-1 0 0,0 0 0,1-1 0,-1 1 0,1 0 0,-1-1 0,1 1 0,0-1 0,0 0 0,0 0 0,0 1 0,0-1 0,0 0 0,0-1 0,0 1 0,0 0 0,0 0 0,0-1 0,1 0 0,-1 1 0,0-1 0,0 0 0,1 0 0,-1 0 0,3-1 0,-3 1 0,0-1 0,-1 1 0,1-1 0,0 0 0,0 0 0,0 0 0,-1 0 0,1 0 0,-1 0 0,1 0 0,-1-1 0,1 1 0,-1-1 0,0 1 0,1-1 0,-1 1 0,0-1 0,0 0 0,0 1 0,0-1 0,0 0 0,0-3 0,3-6 0,-1-1 0,3-19 0,-3 14 0,0 3 0,-3 8 0,1 1 0,0-1 0,1 1 0,-1-1 0,1 1 0,0 0 0,0 0 0,0 0 0,5-7 0,-6 11 0,0 1 0,-1 0 0,1-1 0,0 1 0,0 0 0,0-1 0,-1 1 0,1 0 0,0 0 0,0-1 0,0 1 0,0 0 0,0 0 0,-1 0 0,1 0 0,0 0 0,0 1 0,0-1 0,0 0 0,0 0 0,-1 1 0,1-1 0,0 0 0,0 1 0,0-1 0,-1 0 0,1 1 0,0-1 0,-1 1 0,2 0 0,22 20 0,-21-18 0,12 11 0,-1 1 0,17 24 0,-27-34 0,0 2 0,0-1 0,0 0 0,-1 1 0,0 0 0,-1-1 0,1 1 0,-1 0 0,-1 0 0,2 11 0,-2-17 0,-1 0 0,0 0 0,0 0 0,0 1 0,0-1 0,0 0 0,0 0 0,-1 0 0,1 1 0,0-1 0,0 0 0,-1 0 0,1 0 0,-1 0 0,1 0 0,-1 0 0,1 0 0,-1 0 0,0 0 0,0 0 0,1 0 0,-1 0 0,0 0 0,0 0 0,0-1 0,0 1 0,0 0 0,0-1 0,0 1 0,0-1 0,0 1 0,0-1 0,0 1 0,-1-1 0,0 1 0,0-1 0,1 0 0,-1 0 0,1-1 0,-1 1 0,1 0 0,0 0 0,-1-1 0,1 1 0,-1-1 0,1 0 0,0 1 0,0-1 0,-1 0 0,1 1 0,0-1 0,0 0 0,0 0 0,0 0 0,0 0 0,0 0 0,0 0 0,0-1 0,0 1 0,0 0 0,1 0 0,-1-1 0,1 1 0,-1 0 0,0-3 0,-1-5 0,0 0 0,1 0 0,0 0 0,0-1 0,1 1 0,0 0 0,1 0 0,0 0 0,3-14 0,-1 12 0,0 0 0,0 1 0,1-1 0,1 0 0,-1 1 0,2 0 0,8-13 0,-2 10-1365,-2 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5:28:07.370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 78 24575,'-2'0'0,"1"0"0,2 0 0,4 0 0,6 0 0,7 0 0,4 0 0,3 0 0,1-1 0,0-2 0,-4 2 0,-5-1 0,-4-1 0,-5 0-8191</inkml:trace>
  <inkml:trace contextRef="#ctx0" brushRef="#br0" timeOffset="358.94">154 0 24575,'5'1'0,"0"-1"0,0 1 0,0 1 0,0-1 0,0 1 0,0-1 0,0 1 0,-1 1 0,1-1 0,6 5 0,-10-6 0,1 0 0,0 0 0,-1 0 0,1 1 0,-1-1 0,1 0 0,-1 1 0,0-1 0,1 1 0,-1 0 0,0-1 0,0 1 0,0 0 0,0 0 0,-1-1 0,1 1 0,0 0 0,-1 0 0,1 0 0,-1 0 0,0 0 0,0 0 0,1 0 0,-1 0 0,0 0 0,-1 0 0,1 0 0,0 0 0,-1 0 0,1 0 0,-1 0 0,1-1 0,-2 4 0,0-3-124,1 0 0,-1 0 0,1 0 0,-1 0 0,0 0 0,0 0-1,0 0 1,0-1 0,0 1 0,-3 1 0,-5 3-6702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5:28:12.75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109 206 24575,'1'0'0,"-1"-1"0,0 1 0,0-1 0,0 1 0,0-1 0,0 1 0,0-1 0,0 1 0,0-1 0,0 1 0,0-1 0,0 1 0,0-1 0,-1 1 0,1-1 0,0 1 0,0-1 0,-1 1 0,1-1 0,0 1 0,0-1 0,-1 1 0,1-1 0,0 1 0,-1 0 0,1-1 0,-1 1 0,1 0 0,0-1 0,-1 1 0,1 0 0,-1 0 0,1-1 0,-1 1 0,1 0 0,-1 0 0,1 0 0,-1 0 0,1-1 0,-1 1 0,1 0 0,-1 0 0,0 0 0,1 0 0,-1 0 0,1 0 0,-1 1 0,1-1 0,-1 0 0,1 0 0,-1 0 0,1 0 0,-1 1 0,0-1 0,-2 2 0,0-1 0,1 1 0,-1-1 0,0 1 0,1 0 0,-1 0 0,-3 4 0,0 1 0,1 0 0,0 1 0,0 0 0,1-1 0,0 2 0,0-1 0,1 0 0,0 1 0,0-1 0,1 1 0,0 0 0,1 0 0,0 0 0,0 0 0,1 12 0,0-20 0,0 0 0,1 0 0,-1 0 0,0 0 0,0 0 0,1 0 0,-1 0 0,1 0 0,-1 0 0,0 0 0,1 0 0,0 0 0,-1 0 0,1-1 0,0 1 0,-1 0 0,1 0 0,0-1 0,0 1 0,0 0 0,0-1 0,-1 1 0,1-1 0,0 1 0,0-1 0,0 1 0,0-1 0,0 0 0,0 0 0,0 1 0,0-1 0,0 0 0,1 0 0,-1 0 0,0 0 0,0 0 0,0 0 0,1-1 0,0 1 0,1-1 0,-1 1 0,0-1 0,0 0 0,0 0 0,1 0 0,-1 0 0,0 0 0,-1-1 0,1 1 0,0 0 0,0-1 0,0 0 0,-1 1 0,1-1 0,1-3 0,-1 2-227,1-1-1,-2 0 1,1-1-1,0 1 1,1-8-1,-2 6-6598</inkml:trace>
  <inkml:trace contextRef="#ctx0" brushRef="#br0" timeOffset="793.83">68 243 24575,'-2'-16'0,"-2"24"0,-4 28 0,6-18 0,-4 28 0,-2 0 0,-28 87 0,35-148 0,1-13 0,21-126 0,-17 132 0,1 1 0,2 1 0,0-1 0,1 1 0,13-23 0,-20 41 0,0 0 0,0 0 0,0 0 0,1 0 0,-1 0 0,1 0 0,-1 0 0,1 1 0,-1-1 0,1 1 0,0-1 0,0 1 0,0 0 0,0 0 0,0 0 0,0 0 0,0 0 0,0 0 0,1 0 0,-1 1 0,4-2 0,-4 3 0,0-1 0,0 1 0,-1-1 0,1 1 0,0-1 0,0 1 0,-1 0 0,1 0 0,-1 0 0,1 0 0,-1 0 0,1 0 0,-1 0 0,1 0 0,-1 1 0,0-1 0,0 1 0,0-1 0,0 1 0,0-1 0,0 1 0,0-1 0,0 1 0,-1 0 0,1 0 0,0-1 0,-1 3 0,2 2 0,-1-1 0,0 0 0,-1 0 0,1 0 0,-1 1 0,0-1 0,-1 0 0,1 0 0,-1 1 0,0-1 0,0 0 0,-1 0 0,1 0 0,-1 0 0,0 0 0,-1-1 0,1 1 0,-7 8 0,4-6 0,-1 1 0,0-1 0,0 0 0,-1 0 0,0-1 0,0 0 0,0 0 0,-1-1 0,-15 8 0,22-12 0,-1-1 0,1 1 0,0-1 0,-1 1 0,1-1 0,-1 0 0,1 0 0,-1 1 0,0-1 0,1 0 0,-1-1 0,-1 1 0,2 0 0,1 0 0,-1 0 0,1-1 0,-1 1 0,1 0 0,0 0 0,-1 0 0,1-1 0,-1 1 0,1 0 0,0-1 0,-1 1 0,1 0 0,0 0 0,-1-1 0,1 1 0,0-1 0,0 1 0,-1 0 0,1-1 0,0 1 0,0-1 0,0 1 0,-1 0 0,1-1 0,0 1 0,0-1 0,0 1 0,0-1 0,0 1 0,0-1 0,0 1 0,0-1 0,0 1 0,0-1 0,0 1 0,0 0 0,1-1 0,-1 1 0,0-1 0,0 1 0,0-1 0,0 1 0,1-1 0,-1 1 0,1-1 0,-1 1 0,1-1 0,-1 1 0,1-1 0,-1 1 0,0-1 0,1 1 0,0 0 0,-1-1 0,1 1 0,-1 0 0,1 0 0,-1-1 0,1 1 0,0 0 0,-1 0 0,1 0 0,0 0 0,-1 0 0,1 0 0,-1 0 0,1 0 0,0 0 0,-1 0 0,1 0 0,0 0 0,-1 0 0,1 0 0,-1 0 0,1 1 0,0-1 0,-1 0 0,1 1 0,-1-1 0,1 0 0,-1 1 0,1-1 0,-1 0 0,1 1 0,0 0 0,22 19 0,-16-11 0,0 1 0,-1 0 0,0 0 0,-1 1 0,6 16 0,-6-15 0,0 0 0,1 0 0,12 18 0,-18-29-28,1-1-1,-1 0 1,0 1-1,0-1 1,1 1 0,-1-1-1,0 0 1,1 1-1,-1-1 1,0 0-1,1 1 1,-1-1-1,1 0 1,-1 0 0,1 1-1,-1-1 1,1 0-1,-1 0 1,0 0-1,1 0 1,-1 0-1,1 1 1,-1-1 0,1 0-1,-1 0 1,1 0-1,-1 0 1,1 0-1,-1-1 1,1 1-1,-1 0 1,1 0 0,-1 0-1,1 0 1,-1 0-1,1-1 1,-1 1-1,0 0 1,1 0-1,-1-1 1,1 1 0,-1 0-1,0-1 1,1 1-1,-1 0 1,0-1-1,1 0 1,5-6-6798</inkml:trace>
  <inkml:trace contextRef="#ctx0" brushRef="#br0" timeOffset="1570.79">215 380 24575,'2'1'0,"1"0"0,-1-1 0,1 1 0,0-1 0,-1 0 0,1 0 0,-1 0 0,1 0 0,0-1 0,-1 1 0,1-1 0,-1 1 0,1-1 0,-1 0 0,5-2 0,-6 2 0,0 1 0,0 0 0,0 0 0,0-1 0,-1 1 0,1-1 0,0 1 0,0-1 0,-1 1 0,1-1 0,0 1 0,0-1 0,-1 0 0,1 1 0,-1-1 0,1 0 0,0 1 0,-1-1 0,0 0 0,1 0 0,-1 0 0,1 1 0,-1-1 0,0 0 0,0 0 0,1 0 0,-1 0 0,0 0 0,0 0 0,0 0 0,0 0 0,0 0 0,0 1 0,0-1 0,0 0 0,-1 0 0,1 0 0,0 0 0,0 0 0,-1 0 0,1 1 0,-1-1 0,1 0 0,-1 0 0,0 0 0,0 0 0,1 0 0,-1 1 0,0-1 0,0 1 0,1-1 0,-1 1 0,0-1 0,0 1 0,0 0 0,0-1 0,0 1 0,0 0 0,0 0 0,0 0 0,0 0 0,0 0 0,1 0 0,-1 0 0,0 0 0,0 0 0,0 0 0,0 0 0,0 1 0,0-1 0,0 0 0,0 1 0,0-1 0,1 0 0,-1 1 0,0-1 0,-1 2 0,-1 0 0,0 0 0,0 0 0,0 1 0,0-1 0,0 1 0,-4 5 0,4-4 0,1 0 0,0 0 0,0 0 0,0 0 0,0 0 0,1 0 0,-1 1 0,1-1 0,0 1 0,1-1 0,-1 1 0,1-1 0,0 1 0,0-1 0,0 1 0,0 0 0,1-1 0,0 1 0,0-1 0,3 9 0,-2-10 0,-1 0 0,1 1 0,0-1 0,0 0 0,0 0 0,1-1 0,-1 1 0,1 0 0,-1-1 0,1 0 0,0 1 0,0-1 0,0 0 0,0-1 0,0 1 0,0 0 0,1-1 0,-1 0 0,1 1 0,-1-2 0,1 1 0,-1 0 0,1-1 0,-1 1 0,1-1 0,6 0 0,-2-1 0,1 1 0,-1-1 0,0-1 0,0 1 0,0-1 0,0-1 0,0 1 0,-1-1 0,1-1 0,-1 1 0,0-1 0,0-1 0,0 1 0,0-1 0,-1-1 0,0 1 0,0-1 0,0 0 0,-1 0 0,0 0 0,0-1 0,-1 0 0,1 0 0,-1 0 0,-1-1 0,0 1 0,4-14 0,-6 21 0,-1-1 0,0 0 0,1 0 0,-1 0 0,0 0 0,0 1 0,0-1 0,1 0 0,-1 0 0,0 0 0,0 0 0,0 0 0,-1 0 0,1 0 0,0 1 0,0-1 0,0 0 0,-1 0 0,1 0 0,0 0 0,-1 0 0,1 1 0,-1-1 0,1 0 0,-1 0 0,1 1 0,-1-1 0,1 0 0,-1 1 0,0-1 0,1 1 0,-1-1 0,-1 0 0,0 1 0,1-1 0,-1 1 0,0 0 0,0 0 0,1 0 0,-1 0 0,0 0 0,0 1 0,1-1 0,-1 0 0,0 1 0,1-1 0,-1 1 0,0 0 0,-2 1 0,1-1 0,0 1 0,1 0 0,-1-1 0,0 1 0,1 0 0,-1 0 0,1 1 0,0-1 0,-3 4 0,4-5 0,1 0 0,-1 0 0,0 0 0,1 0 0,-1 0 0,1 0 0,0 0 0,-1 0 0,1 0 0,0 0 0,0 0 0,-1 0 0,1 0 0,0 0 0,0 0 0,0 0 0,0 0 0,0 1 0,1-1 0,-1 0 0,0 0 0,0 0 0,1 0 0,-1 0 0,1 0 0,0 2 0,0-2 0,-1-1 0,1 1 0,0 0 0,0 0 0,-1 0 0,1 0 0,0-1 0,0 1 0,0 0 0,0-1 0,0 1 0,0-1 0,0 1 0,0-1 0,0 0 0,0 1 0,0-1 0,1 0 0,-1 0 0,0 1 0,0-1 0,0 0 0,0 0 0,0 0 0,0-1 0,1 1 0,-1 0 0,0 0 0,0-1 0,0 1 0,0 0 0,0-1 0,0 1 0,0-1 0,0 1 0,0-1 0,0 0 0,0 1 0,0-1 0,0 0 0,-1 0 0,1 0 0,1-1 0,2-2 0,0 0 0,0-1 0,-1 1 0,5-9 0,8 137 0,-9-84 0,-1 1 0,-3 0 0,-2 73 0,-2-108 0,0 1 0,-1-1 0,1 0 0,-1 0 0,0-1 0,-1 1 0,0 0 0,1-1 0,-7 8 0,9-11 0,-1-1 0,0 0 0,0 0 0,0 1 0,0-1 0,0 0 0,-1 0 0,1 0 0,0 0 0,0-1 0,-1 1 0,1 0 0,0 0 0,-1-1 0,1 1 0,-1-1 0,1 1 0,-1-1 0,1 0 0,-1 1 0,1-1 0,-1 0 0,1 0 0,-1 0 0,1 0 0,-1 0 0,1-1 0,-1 1 0,1 0 0,-1-1 0,1 1 0,-1-1 0,1 1 0,0-1 0,-1 0 0,1 0 0,0 1 0,-1-1 0,1 0 0,0 0 0,0 0 0,0-1 0,-1 0 0,-1-2-76,0 1 1,1-1-1,-1 0 0,1 0 0,0 0 0,1 0 0,-1 0 0,1-1 1,-1 1-1,1 0 0,1-1 0,-1 1 0,0-1 0,1 1 1,0-1-1,0 1 0,2-9 0,2-14-6750</inkml:trace>
  <inkml:trace contextRef="#ctx0" brushRef="#br0" timeOffset="1809">636 403 24575,'0'4'0,"0"5"0,0 5 0,0 1 0,0 1 0,0 1 0,0-1 0,0-2 0,0-3 0,0-4 0</inkml:trace>
  <inkml:trace contextRef="#ctx0" brushRef="#br0" timeOffset="1992.74">659 312 24575,'0'1'0,"0"4"0,0 4 0,3 2 0,0 2 0,1 0 0,1-1-8191</inkml:trace>
  <inkml:trace contextRef="#ctx0" brushRef="#br0" timeOffset="2578.86">765 445 24575,'1'-11'0,"0"-18"0,-1 29 0,0-1 0,-1 1 0,1-1 0,0 1 0,-1-1 0,1 1 0,0-1 0,-1 1 0,1-1 0,0 1 0,-1-1 0,1 1 0,-1 0 0,1-1 0,-1 1 0,1-1 0,-1 1 0,1 0 0,-1 0 0,1-1 0,-1 1 0,1 0 0,-1 0 0,0 0 0,1 0 0,-1 0 0,1 0 0,-1-1 0,1 1 0,-1 0 0,0 1 0,1-1 0,-1 0 0,1 0 0,-1 0 0,0 0 0,1 0 0,-1 1 0,1-1 0,-1 0 0,1 0 0,-1 1 0,0 0 0,-1 0 0,-1 0 0,1 1 0,0-1 0,0 1 0,0 0 0,0 0 0,0 0 0,0 0 0,0 0 0,1 0 0,-1 0 0,1 0 0,0 1 0,-1-1 0,1 1 0,0-1 0,0 1 0,1-1 0,-1 1 0,0 4 0,0-5 0,1 1 0,-1 0 0,1-1 0,0 1 0,0-1 0,0 1 0,0 0 0,0-1 0,1 1 0,-1-1 0,1 1 0,0-1 0,0 1 0,0-1 0,0 1 0,0-1 0,0 0 0,1 1 0,-1-1 0,1 0 0,1 2 0,-1-3 0,-1 1 0,1-1 0,-1 0 0,1 1 0,-1-1 0,1 0 0,0 0 0,0 0 0,0-1 0,-1 1 0,1 0 0,0-1 0,0 1 0,0-1 0,0 0 0,0 1 0,0-1 0,0 0 0,0 0 0,0 0 0,0-1 0,0 1 0,0 0 0,0-1 0,2 0 0,-1-1 0,0 0 0,0 0 0,-1 0 0,1 0 0,-1 0 0,0-1 0,1 1 0,-1-1 0,0 0 0,0 1 0,-1-1 0,1 0 0,0 0 0,1-4 0,3-11 0,10-21 0,-15 37 0,0 0 0,0 1 0,0-1 0,1 0 0,-1 0 0,0 1 0,1-1 0,-1 1 0,1-1 0,-1 1 0,1 0 0,0-1 0,-1 1 0,1 0 0,3-1 0,-4 2 0,1 0 0,-1 0 0,1 0 0,-1 0 0,1 0 0,-1 0 0,1 1 0,-1-1 0,1 0 0,-1 1 0,1-1 0,-1 1 0,0 0 0,1-1 0,-1 1 0,0 0 0,1 0 0,-1 0 0,0 0 0,0 0 0,0 0 0,0 0 0,0 0 0,0 1 0,0-1 0,0 0 0,1 3 0,2 4 0,0-1 0,0 1 0,3 13 0,-4-11 0,-1 0 0,1 19 0,-2-20 0,1-19 0,1 0 0,0 0 0,9-18 0,-11 26 0,0 0 0,0-1 0,0 1 0,0 0 0,0 0 0,1 0 0,-1 1 0,0-1 0,1 0 0,0 0 0,-1 1 0,1-1 0,0 1 0,0-1 0,0 1 0,0 0 0,0 0 0,0 0 0,0 0 0,0 0 0,1 0 0,-1 1 0,4-1 0,-4 1 0,0 1 0,-1 0 0,1-1 0,0 1 0,0 0 0,-1 0 0,1 0 0,-1 0 0,1 0 0,-1 1 0,1-1 0,-1 0 0,1 1 0,-1-1 0,0 1 0,0-1 0,0 1 0,0 0 0,0-1 0,0 1 0,-1 0 0,1 0 0,0 0 0,-1-1 0,0 1 0,1 2 0,1 2 0,-1-1 0,0 1 0,-1 0 0,1 0 0,-1 0 0,0-1 0,-1 10 0,0-12-105,0 0 0,0-1 0,0 1 0,0 0 0,0-1 0,0 1 0,-1-1 0,0 0 0,1 0 0,-1 1 0,0-1 0,-2 2 0,-5 4-6721</inkml:trace>
  <inkml:trace contextRef="#ctx0" brushRef="#br0" timeOffset="2996.03">77 660 24575,'405'-5'0,"57"0"0,-456 6 37,-12-1-1439,-6 0-5424</inkml:trace>
  <inkml:trace contextRef="#ctx0" brushRef="#br0" timeOffset="3379.71">64 756 24575,'0'0'0,"0"0"0,0 0 0,0 0 0,0 0 0,0 0 0,1 0 0,-1 0 0,0 0 0,0 0 0,0 0 0,0 0 0,0 0 0,0 0 0,1 0 0,-1 0 0,0 1 0,0-1 0,0 0 0,0 0 0,0 0 0,0 0 0,0 0 0,1 0 0,-1 0 0,0 0 0,0 0 0,0 1 0,0-1 0,0 0 0,0 0 0,0 0 0,0 0 0,0 0 0,0 0 0,0 1 0,0-1 0,0 0 0,0 0 0,0 0 0,0 0 0,0 0 0,0 1 0,0-1 0,0 0 0,0 0 0,0 0 0,0 0 0,0 0 0,0 0 0,0 1 0,0-1 0,0 0 0,0 0 0,-1 0 0,1 0 0,0 0 0,0 0 0,15 2 0,349-3 0,-187-4 0,-56 5 0,70-1 0,-177-1-1365,-7 0-5461</inkml:trace>
  <inkml:trace contextRef="#ctx0" brushRef="#br0" timeOffset="4350.95">971 179 24575,'0'-5'0,"1"0"0,0 0 0,0 0 0,0 0 0,1 0 0,0 1 0,0-1 0,0 1 0,0-1 0,1 1 0,0 0 0,0 0 0,0 0 0,0 0 0,0 0 0,1 1 0,0-1 0,5-3 0,6-4 0,1 0 0,0 1 0,26-12 0,-27 16 0,-1-1 0,1 2 0,0 0 0,1 0 0,-1 2 0,1 0 0,18-1 0,-25 3 0,0 1 0,0 1 0,-1 0 0,1 0 0,0 1 0,-1 0 0,1 0 0,-1 1 0,1 0 0,-1 1 0,0-1 0,-1 2 0,1-1 0,10 8 0,-3 1 0,-1-1 0,25 29 0,-34-36 0,0 1 0,-1 0 0,0 0 0,0 0 0,0 1 0,-1-1 0,0 1 0,0 0 0,-1 0 0,3 13 0,-5-19-59,0-1 0,1 1-1,-1 0 1,0-1-1,0 1 1,0-1 0,0 1-1,0 0 1,-1-1 0,1 1-1,0 0 1,0-1 0,0 1-1,0-1 1,-1 1-1,1 0 1,0-1 0,-1 1-1,1-1 1,0 1 0,-1-1-1,0 2 1,-4 1-6767</inkml:trace>
  <inkml:trace contextRef="#ctx0" brushRef="#br0" timeOffset="4592.14">1411 188 24575,'0'0'0,"3"0"0,2 1 0,1 0 0,3 0 0,2 1 0,2 1 0,0-1 0,0 0 0,-1-1 0,-1 0 0,-1-1-8191</inkml:trace>
  <inkml:trace contextRef="#ctx0" brushRef="#br0" timeOffset="4789.55">1612 170 24575,'0'-2'0,"-1"0"0,-2 0 0,-3 0 0,1 2 0,-3 0 0,-1 3 0,-2 2 0,2 4 0,-1-1 0,3 1 0,2 0 0,2-1-8191</inkml:trace>
  <inkml:trace contextRef="#ctx0" brushRef="#br0" timeOffset="5253.26">1548 367 24575,'0'4'0,"0"4"0,2 6 0,2 7 0,-1 6 0,1 5 0,1 4 0,-1 3 0,1 2 0,0-1 0,-1-4 0,-1-6 0,-1-6 0,-1-6 0,-1-8 0,0-10 0</inkml:trace>
  <inkml:trace contextRef="#ctx0" brushRef="#br0" timeOffset="5520.89">1566 467 24575,'0'-11'0,"0"4"0,0 0 0,0 0 0,0 0 0,1 0 0,3-13 0,-3 19 0,-1-1 0,1 1 0,0-1 0,-1 1 0,1-1 0,0 1 0,0 0 0,0 0 0,0-1 0,0 1 0,0 0 0,1 0 0,-1 0 0,0 0 0,1 0 0,-1 0 0,0 1 0,1-1 0,-1 0 0,1 1 0,-1-1 0,1 1 0,-1-1 0,1 1 0,-1 0 0,1 0 0,0 0 0,-1 0 0,1 0 0,-1 0 0,4 0 0,-4 1 0,1-1 0,0 1 0,-1 0 0,1 0 0,0-1 0,-1 1 0,1 0 0,-1 0 0,0 1 0,1-1 0,-1 0 0,0 0 0,0 1 0,1-1 0,-1 0 0,0 1 0,0-1 0,-1 1 0,1 0 0,0-1 0,0 1 0,-1 0 0,1-1 0,-1 1 0,0 0 0,1 0 0,-1-1 0,0 1 0,0 2 0,1 3 0,-1-1 0,0 0 0,0 1 0,0-1 0,-1 0 0,0 1 0,-2 6 0,3-11-114,-1 0 1,0 0-1,1 0 0,-1 0 0,0 0 1,0 0-1,-1 0 0,1 0 0,0 0 1,-1-1-1,-2 4 0</inkml:trace>
  <inkml:trace contextRef="#ctx0" brushRef="#br0" timeOffset="5871.02">1699 394 24575,'8'10'0,"-1"0"0,15 12 0,-16-16 0,0-1 0,-1 1 0,1 1 0,-1-1 0,-1 1 0,1 0 0,5 12 0,-10-18 0,1-1 0,-1 0 0,0 1 0,0-1 0,1 1 0,-1-1 0,0 1 0,0-1 0,0 1 0,0-1 0,0 1 0,0-1 0,0 1 0,0 0 0,0-1 0,0 1 0,0-1 0,0 1 0,0-1 0,0 1 0,0-1 0,0 1 0,-1-1 0,1 1 0,0-1 0,0 1 0,-1-1 0,1 0 0,0 1 0,-1-1 0,1 1 0,0-1 0,-1 0 0,1 1 0,0-1 0,-1 0 0,1 1 0,-1-1 0,1 0 0,-1 0 0,1 1 0,-1-1 0,1 0 0,-1 0 0,0 0 0,0 0 0,0 0 0,0 0 0,0 0 0,0 0 0,0 0 0,0 0 0,0-1 0,0 1 0,0 0 0,0-1 0,0 1 0,1 0 0,-1-1 0,0 0 0,0 1 0,0-1 0,1 1 0,-1-1 0,0 0 0,1 1 0,-1-1 0,0 0 0,0-1 0,0-1 6,-1-1 0,1 1-1,0-1 1,0 1 0,0-1-1,0 0 1,1 0 0,0 1 0,-1-1-1,1 0 1,1 0 0,-1 0-1,0 1 1,1-1 0,0 0-1,0 1 1,0-1 0,0 0 0,1 1-1,2-5 1,-2 4-74,-1 1 1,1 0-1,0 0 1,0 0-1,0 0 1,0 1-1,1-1 1,-1 0-1,1 1 1,-1 0-1,1 0 1,0-1-1,0 2 1,0-1-1,0 0 1,0 0-1,1 1 1,-1 0-1,0 0 1,1 0-1,5-1 1,-1 2-6759</inkml:trace>
  <inkml:trace contextRef="#ctx0" brushRef="#br0" timeOffset="6181.86">1892 385 24575,'-16'33'0,"16"-30"0,-1 0 0,1 0 0,-1 0 0,1 0 0,0 0 0,0 0 0,0 0 0,1 0 0,-1 0 0,1 0 0,0 0 0,0 0 0,0 0 0,0 0 0,0 0 0,0-1 0,1 1 0,-1 0 0,3 2 0,-2-3 0,-1-1 0,0 1 0,1-1 0,-1 0 0,1 1 0,-1-1 0,1 0 0,0 0 0,-1 0 0,1 0 0,0 0 0,0-1 0,0 1 0,0 0 0,0-1 0,0 0 0,0 1 0,0-1 0,0 0 0,0 0 0,0 0 0,-1 0 0,1 0 0,0-1 0,0 1 0,0 0 0,0-1 0,0 0 0,0 1 0,3-2 0,-4 0 5,1 1 1,-1 0-1,1 0 0,-1 0 0,0-1 0,1 1 1,-1-1-1,0 1 0,0-1 0,0 0 1,0 1-1,0-1 0,0 0 0,-1 1 0,1-1 1,0 0-1,-1 0 0,0 0 0,1 0 0,-1 0 1,0 0-1,0-2 0,0 0-119,0 1 0,0 0-1,0-1 1,0 1 0,-1 0 0,0 0-1,0-1 1,0 1 0,0 0 0,0 0-1,0 0 1,-3-3 0,-1-1-6712</inkml:trace>
  <inkml:trace contextRef="#ctx0" brushRef="#br0" timeOffset="6662.72">2203 385 24575,'0'-1'0,"0"0"0,0 0 0,0-1 0,0 1 0,0 0 0,0 0 0,0 0 0,-1 0 0,1 0 0,0 0 0,-1 0 0,1 0 0,-1 0 0,1 0 0,-1 0 0,1 0 0,-1 0 0,0 0 0,0 0 0,1 0 0,-1 1 0,0-1 0,0 0 0,0 1 0,0-1 0,0 0 0,0 1 0,0-1 0,0 1 0,0 0 0,0-1 0,0 1 0,0 0 0,0-1 0,0 1 0,0 0 0,-3 0 0,2 0 0,0 0 0,0 1 0,0-1 0,-1 0 0,1 1 0,0-1 0,0 1 0,0 0 0,0 0 0,0 0 0,0 0 0,0 0 0,0 0 0,1 1 0,-1-1 0,0 0 0,1 1 0,-3 2 0,2-1 0,0 0 0,1-1 0,-1 1 0,1 0 0,0 0 0,0 0 0,0 0 0,0 1 0,0-1 0,1 0 0,-1 0 0,1 0 0,0 1 0,0-1 0,0 0 0,1 5 0,0-6 0,-1-1 0,1 1 0,-1-1 0,1 0 0,-1 1 0,1-1 0,0 0 0,0 1 0,0-1 0,-1 0 0,1 0 0,0 0 0,1 0 0,-1 0 0,0 0 0,0 0 0,0 0 0,0-1 0,1 1 0,-1 0 0,0-1 0,1 1 0,-1-1 0,1 1 0,-1-1 0,0 0 0,1 1 0,-1-1 0,1 0 0,-1 0 0,1 0 0,-1 0 0,1 0 0,-1-1 0,1 1 0,-1 0 0,1-1 0,1 0 0,-1 0 0,1 0 0,0 0 0,0-1 0,-1 1 0,1-1 0,0 0 0,-1 1 0,0-1 0,1 0 0,-1-1 0,0 1 0,0 0 0,0-1 0,-1 1 0,1-1 0,0 1 0,-1-1 0,0 0 0,1 0 0,-1 1 0,0-1 0,-1 0 0,2-4 0,1-9 0,0-1 0,1-33 0,-3 37 0,1-78 0,0 121-4,1 1 0,1-1 0,15 55-1,-4-17-1343,-12-56-5478</inkml:trace>
  <inkml:trace contextRef="#ctx0" brushRef="#br0" timeOffset="6993.06">2363 422 24575,'0'1'0,"0"3"0,2 1 0,2 1 0,3-1 0,1-2 0,2-1 0,1 0 0,-2-6 0,-2-2 0,-2-3 0,-3-1 0,-1 0 0,-1 1 0,-1 3 0</inkml:trace>
  <inkml:trace contextRef="#ctx0" brushRef="#br0" timeOffset="7477.1">2542 376 24575,'-9'-2'0,"8"1"0,1 1 0,-1 0 0,1 0 0,-1 0 0,1-1 0,-1 1 0,1 0 0,-1 0 0,1 0 0,-1 0 0,0 0 0,1 0 0,-1 0 0,1 0 0,-1 0 0,1 0 0,-1 0 0,1 1 0,-1-1 0,1 0 0,-1 0 0,1 0 0,-1 1 0,1-1 0,0 0 0,-1 1 0,1-1 0,-1 0 0,1 1 0,0-1 0,-1 0 0,1 1 0,0-1 0,-1 1 0,1-1 0,0 1 0,0-1 0,-1 1 0,1 0 0,-1 0 0,0 0 0,0 1 0,0-1 0,0 1 0,0-1 0,0 1 0,0 0 0,1-1 0,-1 1 0,1 0 0,-1 0 0,1-1 0,0 1 0,0 0 0,0 0 0,0 0 0,0-1 0,0 1 0,0 0 0,0 0 0,1 0 0,0 2 0,0-2 0,0-1 0,1 1 0,-1 0 0,0-1 0,1 1 0,-1-1 0,1 0 0,0 1 0,0-1 0,-1 0 0,1 0 0,0 0 0,0 0 0,0 0 0,0-1 0,2 1 0,5 2 0,-1-2 0,1 1 0,-1-2 0,1 1 0,0-1 0,-1 0 0,1-1 0,9-1 0,-15 1 0,0 0 0,-1 0 0,1 0 0,-1 0 0,1 0 0,-1 0 0,0-1 0,1 1 0,-1-1 0,0 0 0,0 0 0,0 0 0,0 0 0,-1 0 0,1 0 0,0 0 0,-1 0 0,0-1 0,1 1 0,-1-1 0,0 1 0,0-1 0,0 1 0,-1-1 0,1 0 0,0-4 0,0-6 0,0 0 0,0-1 0,-1 1 0,-2-14 0,1 17 0,2 36 0,5 53 0,-1-39-1365,-4-31-5461</inkml:trace>
  <inkml:trace contextRef="#ctx0" brushRef="#br0" timeOffset="7665">2643 358 24575,'4'0'0,"3"0"0,5 0 0,-1 0-8191</inkml:trace>
  <inkml:trace contextRef="#ctx0" brushRef="#br0" timeOffset="8085.92">1795 596 24575,'35'-7'0,"-1"2"0,63 0 0,-39 2 0,390-10 0,-441 13 83,-11 0-1531,-7 0-5378</inkml:trace>
  <inkml:trace contextRef="#ctx0" brushRef="#br0" timeOffset="8424.94">1956 637 24575,'-2'0'0,"0"0"0,6 0 0,10-1 0,14-2 0,13 1 0,11-2 0,7 0 0,4 0 0,2 2 0,-2-3 0,-5 1 0,-9 1 0,-10 0 0,-11 2 0,-11-2 0,-12-1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5:28:28.09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38 96 24575,'-5'0'0,"-5"0"0,-3 0 0,4 0 0,8 0 0,11 0 0,8 0 0,9 0 0,5-2 0,5-2 0,-2 1 0,-3 1 0,-7 0 0,-8 1 0,-9 1 0</inkml:trace>
  <inkml:trace contextRef="#ctx0" brushRef="#br0" timeOffset="234.07">171 9 24575,'4'-2'0,"0"1"0,0-1 0,0 1 0,1 0 0,-1 0 0,1 1 0,-1-1 0,0 1 0,1 0 0,-1 0 0,1 1 0,-1-1 0,0 1 0,1 0 0,-1 0 0,7 3 0,-9-3 0,0 0 0,0-1 0,-1 1 0,1 0 0,0 1 0,-1-1 0,1 0 0,0 0 0,-1 1 0,0-1 0,1 1 0,-1-1 0,0 1 0,1-1 0,-1 1 0,0 0 0,0 0 0,-1 0 0,1-1 0,0 1 0,-1 0 0,1 0 0,-1 0 0,1 0 0,-1 0 0,0 0 0,0 0 0,0 0 0,0 0 0,0 0 0,0 0 0,-1 0 0,1 0 0,-1 0 0,1 0 0,-1 0 0,-1 2 0,-3 8-195,-2-2 0,1 1 0,-1-1 0,0 0 0,-1 0 0,-18 16 0,13-13-6631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28T05:28:04.49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261 2149 24575,'0'-2'0,"2"-19"0,3 15 0,5 13 0,2 9 0,-1 1 0,0 1 0,-2 0 0,10 22 0,4 8 0,-18-38 0,4 7 0,0 0 0,18 23 0,-26-39 0,-1 0 0,1 0 0,-1-1 0,0 1 0,1 0 0,0-1 0,-1 1 0,1-1 0,-1 1 0,1-1 0,0 1 0,-1-1 0,1 1 0,0-1 0,-1 1 0,1-1 0,0 0 0,0 0 0,-1 1 0,1-1 0,0 0 0,0 0 0,0 0 0,-1 0 0,1 0 0,1 0 0,-1 0 0,-1-1 0,1 0 0,0 1 0,0-1 0,-1 0 0,1 1 0,-1-1 0,1 0 0,0 0 0,-1 0 0,1 0 0,-1 1 0,0-1 0,1 0 0,-1 0 0,0 0 0,0 0 0,1-1 0,1-10 0,-1 2 0,0-22 0,-1 27 0,0-195 0,-1-14 0,4 184 0,-3 30 0,0-1 0,0 1 0,0 0 0,0-1 0,0 1 0,1 0 0,-1-1 0,0 1 0,0 0 0,0-1 0,0 1 0,0 0 0,0-1 0,0 1 0,0 0 0,0-1 0,1 1 0,-1 0 0,0 0 0,0-1 0,1 1 0,-1 0 0,0 0 0,1 0 0,-1-1 0,0 1 0,1 0 0,-1 0 0,0 0 0,1 0 0,-1 0 0,0 0 0,1 0 0,-1 0 0,0 0 0,1 0 0,-1 0 0,1 0 0,-1 0 0,0 0 0,1 0 0,-1 0 0,0 0 0,1 0 0,-1 0 0,0 1 0,1-1 0,-1 0 0,0 0 0,1 0 0,-1 1 0,0-1 0,0 0 0,1 0 0,-1 1 0,0-1 0,0 0 0,1 0 0,-1 1 0,0-1 0,0 0 0,0 1 0,17 21 0,-16-20 0,35 55-1365,-19-29-5461</inkml:trace>
  <inkml:trace contextRef="#ctx0" brushRef="#br0" timeOffset="1171.83">663 2109 24575,'-5'-51'0,"4"46"0,0 1 0,0 0 0,0 0 0,0 0 0,-1 0 0,0 0 0,0 0 0,0 0 0,-4-6 0,5 10 0,1 0 0,0 0 0,-1-1 0,1 1 0,-1 0 0,1-1 0,0 1 0,-1 0 0,1 0 0,-1 0 0,1 0 0,-1 0 0,1-1 0,0 1 0,-1 0 0,1 0 0,-1 0 0,1 0 0,-1 0 0,1 0 0,-1 0 0,1 0 0,-1 1 0,1-1 0,0 0 0,-1 0 0,1 0 0,-1 0 0,1 1 0,-1-1 0,1 0 0,0 0 0,-1 1 0,1-1 0,0 0 0,-1 1 0,1-1 0,0 0 0,-1 1 0,1-1 0,-1 1 0,-10 18 0,7-8 0,0 1 0,0 0 0,1-1 0,-2 17 0,4-22 0,0 1 0,1 0 0,0 0 0,0 0 0,1-1 0,-1 1 0,1 0 0,1 0 0,2 8 0,-4-14 0,1 0 0,-1 1 0,1-1 0,-1 0 0,1 0 0,0 0 0,-1 0 0,1 0 0,0 0 0,0 0 0,0 0 0,-1 0 0,1 0 0,0-1 0,0 1 0,1 0 0,1 1 0,-3-2 0,1 0 0,0 0 0,0 0 0,-1 0 0,1 0 0,0 0 0,0 0 0,-1 0 0,1 0 0,0-1 0,0 1 0,-1 0 0,1 0 0,0-1 0,0 1 0,-1 0 0,1-1 0,0 1 0,-1-1 0,1 1 0,0-1 0,2-2 0,-1 1 0,0-1 0,0 1 0,0-1 0,0 0 0,0 0 0,-1 0 0,1 0 0,-1 0 0,0 0 0,1-6 0,0-1 0,3-10 0,1 18 0,5 10 0,-6-2 0,1-1 0,-1 1 0,2-1 0,-1 1 0,1-2 0,-1 1 0,1-1 0,9 5 0,-13-8 0,-1 0 0,0 0 0,1 0 0,-1-1 0,0 1 0,1-1 0,-1 1 0,1-1 0,-1 0 0,1 0 0,-1 0 0,1 0 0,-1 0 0,1 0 0,-1-1 0,0 1 0,1-1 0,-1 0 0,1 0 0,-1 0 0,0 0 0,0 0 0,0 0 0,0-1 0,0 1 0,0-1 0,0 1 0,0-1 0,0 0 0,0 0 0,1-2 0,0-1 0,0 0 0,-1 0 0,0 0 0,0 1 0,0-1 0,-1 0 0,1-1 0,-1 1 0,-1 0 0,1-1 0,-1-8 0,0-8 0,-6-32 0,5 43 0,-1-4 0,-1-13 0,-1 1 0,-1 1 0,-13-40 0,13 60 0,1 14 0,2 16 0,1-2 0,2 1 0,0-2 0,1 2 0,2-1 0,0 0 0,1-1 0,2 0 0,0 1 0,1-2 0,20 36 0,-27-53 0,1 0 0,0 0 0,0 0 0,0-1 0,0 1 0,1-1 0,-1 1 0,1-1 0,-1 0 0,6 3 0,-8-5 0,0 0 0,1 0 0,-1 1 0,1-1 0,0 0 0,-1 0 0,1 0 0,-1 0 0,1 0 0,-1 0 0,1 0 0,-1 0 0,1 0 0,-1 0 0,1 0 0,-1 0 0,1 0 0,-1 0 0,1-1 0,-1 1 0,1 0 0,-1 0 0,1-1 0,-1 1 0,1-1 0,0 0 0,0 0 0,0 0 0,0-1 0,0 1 0,0 0 0,-1-1 0,1 1 0,0-1 0,-1 1 0,0-1 0,1 1 0,-1-1 0,0-1 0,3-34 0,-3 31 0,0-1 0,0 1 0,1 0 0,-1-1 0,2 1 0,-1 1 0,5-13 0,-6 17 0,0 1 0,1-1 0,-1 1 0,0-1 0,1 1 0,-1-1 0,1 1 0,-1 0 0,0-1 0,1 1 0,-1 0 0,1-1 0,-1 1 0,1 0 0,-1 0 0,1-1 0,-1 1 0,1 0 0,0 0 0,-1 0 0,1 0 0,-1 0 0,1-1 0,-1 1 0,1 0 0,0 0 0,-1 1 0,1-1 0,-1 0 0,1 0 0,-1 0 0,1 0 0,-1 0 0,1 1 0,-1-1 0,1 0 0,-1 0 0,1 1 0,-1-1 0,1 0 0,-1 1 0,1-1 0,-1 1 0,0-1 0,1 1 0,-1-1 0,1 0 0,-1 1 0,1 0 0,21 27 0,-20-24 0,3 4 0,20 26 0,-24-32 0,1-1 0,-1 1 0,0-1 0,1 1 0,-1-1 0,1 0 0,0 1 0,-1-1 0,1-1 0,0 1 0,0 0 0,0-1 0,0 1 0,0 0 0,0-1 0,2 1 0,-3-1 0,0 0 0,0-1 0,0 1 0,0 0 0,0-1 0,-1 1 0,1-1 0,0 1 0,0-1 0,0 1 0,-1-1 0,1 1 0,0 0 0,-1-1 0,1 0 0,0 0 0,-1 1 0,1-1 0,-1 0 0,1 0 0,-1 0 0,0 0 0,1 0 0,-1 0 0,0 1 0,0-1 0,1-2 0,3-29 0,-4 29 0,1-2 0,2-22 0,3 20 0,-5 7 0,-1 1 0,1-1 0,0 0 0,-1 0 0,1 0 0,-1 1 0,1-1 0,-1 0 0,1 0 0,-1 1 0,1-1 0,-1 1 0,1-1 0,-1 0 0,0 1 0,1-1 0,-1 1 0,0-1 0,1 2 0,2 1 0,-1 0 0,1 0 0,0 0 0,0-1 0,0 0 0,0 1 0,1-1 0,-1 1 0,1-1 0,-1 0 0,1-1 0,0 1 0,6 1 0,-8-3 0,0 1 0,-1-1 0,1 0 0,-1 0 0,1 0 0,0 0 0,-1-1 0,1 1 0,0 0 0,-1-1 0,1 1 0,-1-1 0,1 0 0,-1 1 0,1-1 0,-1 0 0,1 0 0,-1 0 0,0 0 0,0 0 0,1 0 0,-1 0 0,0 0 0,0-1 0,0 1 0,0 0 0,0-1 0,0 1 0,-1-1 0,1 1 0,0 0 0,-1 0 0,1-1 0,-1 1 0,0-1 0,1-3 0,0 0 0,1-1 0,-1 0 0,0 1 0,-1-1 0,1 0 0,-1 0 0,0 0 0,-1 0 0,0 2 0,-1-10 0,2 13 0,0 1 0,0 0 0,-1 0 0,1 0 0,0-1 0,0 1 0,0 0 0,0 0 0,0-1 0,0 1 0,0 0 0,-1 0 0,1 0 0,0 0 0,0-1 0,0 1 0,-1 0 0,1 0 0,0 0 0,0 0 0,0 0 0,-1 0 0,1-1 0,0 1 0,0 0 0,-1 0 0,1 0 0,0 0 0,0 0 0,-1 0 0,1 0 0,0 0 0,0 0 0,0 0 0,-1 0 0,1 0 0,-8 8 0,-2 12 0,7-13 0,1 0 0,0 0 0,1 0 0,0 1 0,0-1 0,0 13 0,1-19 0,0 1 0,0-1 0,0 0 0,0 1 0,1-1 0,-1 0 0,0 0 0,1 0 0,-1 1 0,1-1 0,-1 0 0,1 0 0,0 0 0,-1 0 0,1 0 0,0 0 0,0 0 0,-1 0 0,1 0 0,0 0 0,0 0 0,0-1 0,0 1 0,0 0 0,1-1 0,-1 1 0,0 0 0,0-1 0,0 0 0,0 1 0,1-1 0,-1 0 0,0 1 0,0-1 0,1 0 0,-1 0 0,0 0 0,0 0 0,1 0 0,-1-1 0,0 1 0,0 0 0,1 0 0,-1-1 0,0 1 0,2-2 0,7-2-136,0-1-1,0 0 1,0 0-1,-1-1 1,0 0-1,0 0 1,-1-1-1,0-1 0,9-9 1,8-9-6690</inkml:trace>
  <inkml:trace contextRef="#ctx0" brushRef="#br0" timeOffset="-1454.13">357 1057 24575,'-1'79'0,"-3"-1"0,-4 1 0,-4-1 0,-25 90 0,29-144 0,3-17 0,2-13 0,3-23 0,0 1 0,7-44 0,-2 32 0,-4 27 0,20-153 0,-16 136 0,2-1 0,1 0 0,15-35 0,-21 62 0,0-1 0,1 0 0,0 0 0,5-7 0,-8 12 0,0-1 0,1 1 0,-1-1 0,1 1 0,-1-1 0,0 1 0,1-1 0,-1 1 0,1-1 0,-1 1 0,1-1 0,0 1 0,-1 0 0,1-1 0,-1 1 0,1 0 0,0 0 0,-1 0 0,1-1 0,-1 1 0,1 0 0,0 0 0,-1 0 0,1 0 0,0 0 0,-1 0 0,1 0 0,0 0 0,-1 0 0,1 0 0,0 1 0,-1-1 0,1 0 0,0 0 0,-1 1 0,1-1 0,-1 0 0,1 1 0,-1-1 0,1 0 0,-1 1 0,1-1 0,-1 1 0,1-1 0,-1 1 0,1-1 0,0 2 0,2 4 0,1 1 0,-1-1 0,0 1 0,0-1 0,-1 1 0,1 0 0,-2 0 0,1 0 0,-1 1 0,0 13 0,0-3 0,-1 2 0,-1-1 0,-4 19 0,2-24 0,0 0 0,-1 0 0,0-2 0,-11 25 0,13-34 0,1 1 0,-1 0 0,0-1 0,0 1 0,-1-1 0,1 0 0,-1-1 0,1 1 0,-1 0 0,0 0 0,0-1 0,0 1 0,0-1 0,-1 0 0,1 0 0,-1 0 0,1 0 0,-1-1 0,0 1 0,1-1 0,-8 1 0,10-2 0,-1 0 0,0 0 0,1 0 0,0-1 0,-1 1 0,1-1 0,-1 1 0,1-1 0,-1 1 0,1-1 0,0 0 0,0 0 0,-1 0 0,1 0 0,0 0 0,0 0 0,0 0 0,0 0 0,0 0 0,0 0 0,0-1 0,0 1 0,1 0 0,-1-1 0,0 1 0,1 0 0,-1-1 0,0-2 0,-1-1 0,1-2 0,-1 1 0,1-1 0,-1-13 0,2 15 0,0 1 0,1-1 0,-1 1 0,1-1 0,0 1 0,0 0 0,3-8 0,-4 11 0,0 0 0,1 0 0,-1 0 0,1 0 0,0 0 0,-1 0 0,1 0 0,0 1 0,-1-1 0,1 0 0,0 0 0,0 1 0,0-1 0,-1 1 0,1-1 0,0 1 0,0-1 0,0 1 0,0-1 0,0 1 0,0 0 0,0-1 0,0 1 0,0 0 0,0 0 0,0 0 0,1 0 0,-1 0 0,0 0 0,0 0 0,0 0 0,0 0 0,0 1 0,0-1 0,0 0 0,0 1 0,0-1 0,0 1 0,1 0 0,6 4 0,0 0 0,0 0 0,-1 1 0,1 0 0,-1-1 0,-1 2 0,1-1 0,-1 2 0,9 13 0,3 6 0,18 41 0,-25-44 0,-10-18 0,1-1 0,1 1 0,-1 0 0,1-1 0,0 0 0,0 0 0,1-1 0,-1 1 0,6 5 0,-9-10-33,1 1 0,-1-1-1,1 0 1,-1 0 0,0 0-1,1 0 1,-1 0 0,1 0 0,-1 0-1,0 0 1,1 0 0,-1 0-1,1 0 1,-1 0 0,0 0-1,1 0 1,-1 0 0,0 0 0,1 0-1,-1 0 1,1 0 0,-1-1-1,0 1 1,1 0 0,-1 0-1,0 0 1,1-1 0,-1 1 0,0 0-1,1 0 1,-1-1 0,0 1-1,0 0 1,1-1 0,-1 1-1,0 0 1,0-1 0,0 1 0,0 0-1,1-1 1,3-9-6793</inkml:trace>
  <inkml:trace contextRef="#ctx0" brushRef="#br0" timeOffset="-1117.1">590 1229 24575,'-1'36'0,"0"-13"0,4 36 0,-3-58 0,0 0 0,0 0 0,0 0 0,0 0 0,1 0 0,-1 0 0,0-1 0,1 1 0,-1 0 0,0 0 0,1 0 0,-1 0 0,1-1 0,-1 1 0,1 0 0,-1 0 0,1-1 0,0 1 0,-1 0 0,1-1 0,0 1 0,0-1 0,-1 1 0,1-1 0,0 1 0,0-1 0,0 0 0,0 1 0,0-1 0,-1 0 0,1 0 0,0 0 0,0 0 0,0 1 0,0-1 0,0 0 0,0 0 0,0-1 0,0 1 0,0 0 0,-1 0 0,1 0 0,0-1 0,0 1 0,0 0 0,1-1 0,1 0 0,0-1 0,0 1 0,0-1 0,0 0 0,0 0 0,0 0 0,0 0 0,-1 0 0,1-1 0,-1 1 0,4-4 0,-3-1 0,0 1 0,0-1 0,-1 0 0,0 0 0,0-1 0,0 1 0,-1-1 0,0 1 0,-1-1 0,0 1 0,0 0 0,0 0 0,-1-1 0,0 1 0,-1-1 0,0 1 0,-4-12 0,6 18 0,0 0 0,-1-1 0,1 1 0,-1 0 0,1 1 0,-1-2 0,1 1 0,-1 0 0,0 0 0,0 0 0,0 0 0,1 0 0,-1 0 0,0 0 0,0 0 0,0 0 0,0 0 0,-1 1 0,1-1 0,0 0 0,0 1 0,0-1 0,-1 1 0,1-1 0,0 1 0,0 0 0,-1-1 0,1 1 0,0 0 0,-1 0 0,1 0 0,0 0 0,-1 0 0,1 0 0,0 0 0,-1 0 0,1 1 0,0-1 0,-1 1 0,1-1 0,0 1 0,0-1 0,-1 1 0,1-1 0,0 1 0,0 0 0,-1 1 0,-4 3 0,1-1 0,0 0 0,0 1 0,1 0 0,-1 0 0,1 1 0,0 0 0,-3 6 0,2-1 0,0 0 0,-6 19 0,10-25 0,0-1 0,0 0 0,0 1 0,1-1 0,0 1 0,-1-1 0,2 1 0,-1-1 0,0 0 0,3 8 0,-3-11-42,1 0-1,-1 0 0,1 0 1,-1 0-1,1 0 0,0 0 1,-1 0-1,1-1 0,0 1 1,0 0-1,0 0 0,-1-1 1,1 1-1,0 0 0,0-1 1,0 1-1,0-1 0,0 1 1,0-1-1,0 0 0,0 1 1,1-1-1,-1 0 0,0 0 1,0 0-1,0 0 0,0 0 1,0 0-1,0 0 0,0 0 1,3-1-1,10-1-6783</inkml:trace>
  <inkml:trace contextRef="#ctx0" brushRef="#br0" timeOffset="-671.06">865 1175 24575,'-2'0'0,"1"1"0,0-1 0,-1 1 0,1-1 0,0 1 0,0 0 0,0 0 0,-1 0 0,1-1 0,0 1 0,0 0 0,0 0 0,0 0 0,1 1 0,-1-1 0,0 0 0,0 0 0,1 0 0,-1 0 0,0 0 0,1 0 0,-1 3 0,-9 31 0,9-33 0,1 0 0,0 0 0,-1 0 0,1 0 0,0 0 0,0 0 0,0 0 0,0 0 0,1 0 0,-1 0 0,1 0 0,-1-1 0,1 1 0,0 0 0,-1 0 0,1 0 0,0-1 0,0 1 0,0 0 0,1 0 0,1 2 0,-2-4 0,0 1 0,-1-1 0,1 1 0,0-1 0,0 1 0,-1-1 0,1 0 0,0 0 0,0 1 0,0-1 0,0 0 0,-1 0 0,1 0 0,0 0 0,0 0 0,0 0 0,0 0 0,0 0 0,-1 0 0,2 0 0,0-1 0,0 0 0,0 0 0,-1 1 0,1-1 0,0 0 0,-1-1 0,1 1 0,-1 0 0,0 0 0,1-1 0,-1 1 0,2-3 0,8-15 0,-9 16 0,-1 0 0,0 0 0,1 0 0,-1 0 0,1 1 0,0-1 0,0 1 0,0-1 0,0 1 0,0 0 0,1-1 0,2-1 0,-4 5 0,0-1 0,1 1 0,-1 0 0,0 0 0,0 0 0,0-1 0,0 1 0,0 0 0,0 0 0,0 0 0,0 1 0,0-1 0,-1 0 0,1 0 0,0 0 0,-1 1 0,2 1 0,2 4 0,-2-5 0,0 0 0,0 0 0,0 0 0,1 0 0,-1 0 0,1 0 0,-1-1 0,1 1 0,-1-1 0,1 0 0,0 1 0,0-1 0,0-1 0,5 1 0,-7-1 0,0 0 0,1 0 0,-1 0 0,0 0 0,1 0 0,-1 0 0,0 0 0,0 0 0,1-1 0,-1 1 0,0 0 0,0 0 0,0-1 0,1 1 0,-1-1 0,0 0 0,0 1 0,0-1 0,0 0 0,0 0 0,0 0 0,-1 0 0,1 0 0,0 0 0,0 0 0,-1 0 0,1 0 0,0 0 0,-1 0 0,1-1 0,-1 1 0,0 0 0,1 0 0,-1-1 0,0 1 0,0-2 0,2-7 0,0 0 0,-1 0 0,-1 0 0,0 1 0,0-1 0,-1-1 0,0 1 0,-1 0 0,0 0 0,-6-15 0,8 24-29,0 1-1,0 0 0,0 0 1,0 0-1,0-1 0,0 1 0,0 0 1,0 0-1,0 0 0,-1-1 1,1 1-1,0 0 0,0 0 1,0 0-1,0 0 0,0-1 1,0 1-1,-1 0 0,1 0 1,0 0-1,0 0 0,0 0 1,-1 0-1,1-1 0,0 1 1,0 0-1,0 0 0,0 0 1,-1 0-1,1 0 0,0 0 0,0 0 1,-1 0-1,1 0 0,0 0 1,0 0-1,0 0 0,-1 0 1,1 0-1,0 0 0,0 0 1,0 0-1,-1 1 0,1-1 1,0 0-1</inkml:trace>
  <inkml:trace contextRef="#ctx0" brushRef="#br0" timeOffset="-3928.9">119 96 24575,'2'-16'0,"-1"8"0,-1 0 0,1 0 0,-1-12 0,0 19 0,0 1 0,0-1 0,0 0 0,-1 0 0,1 1 0,0-1 0,0 0 0,0 0 0,-1 0 0,1 0 0,0 1 0,-1-1 0,1 0 0,-1 0 0,1 1 0,-1-1 0,1 0 0,-1 1 0,1-1 0,-1 0 0,0 1 0,1-1 0,-1 1 0,0-1 0,1 1 0,-1-1 0,0 1 0,0 0 0,0-1 0,1 1 0,-1 0 0,0 0 0,0-1 0,0 1 0,0 0 0,0 0 0,0 0 0,-1 0 0,0 1 0,1-1 0,-1 1 0,0-1 0,1 1 0,-1 0 0,0 0 0,1-1 0,-1 1 0,1 0 0,0 0 0,-1 1 0,1-1 0,0 0 0,-1 0 0,-1 4 0,-15 22 0,17-24 0,-8 16 0,0-1 0,2 1 0,0 0 0,1 1 0,1-1 0,1 2 0,1-1 0,0 1 0,2-2 0,0 2 0,2 0 0,0-2 0,5 27 0,-5-42 0,0 1 0,0-2 0,1 1 0,-1 1 0,1-1 0,0 0 0,1 0 0,-1 0 0,1 0 0,-1 0 0,1-1 0,0 1 0,1-1 0,-1 0 0,1 0 0,5 5 0,-5-6 0,-1-1 0,1 0 0,-1 1 0,1-1 0,-1 0 0,1 0 0,0-1 0,-1 0 0,1 0 0,0 0 0,-1 0 0,1 0 0,0 0 0,-1 0 0,1-1 0,0 1 0,-1-1 0,1-1 0,-1 1 0,1 0 0,3-3 0,-1 1 0,-1 0 0,1 0 0,0-1 0,-1 0 0,0 0 0,0 0 0,0-1 0,0 0 0,-1 0 0,0 0 0,0 0 0,0-1 0,0 1 0,-1 0 0,3-9 0,-2 4 0,-1 0 0,-1 0 0,1-1 0,-2 2 0,1-1 0,-2-1 0,1 1 0,-1 0 0,-2-12 0,1 46 0,4 27 0,-2-45 0,0 0 0,1 0 0,0 1 0,0-1 0,0 0 0,1 0 0,7 10 0,-9-15 0,0 1 0,0 0 0,0-1 0,1 1 0,-1-1 0,1 1 0,-1-1 0,1 0 0,0 1 0,-1-1 0,1 0 0,0 0 0,0 0 0,0 0 0,0 0 0,0-1 0,0 1 0,0-1 0,0 1 0,0-1 0,0 0 0,0 1 0,0-1 0,0 0 0,0-1 0,0 1 0,0 0 0,3-1 0,-3 0 0,1 0 0,-1 0 0,0-1 0,0 1 0,0 0 0,-1-1 0,1 1 0,0-1 0,0 0 0,-1 1 0,1-1 0,-1 0 0,0 0 0,1 1 0,-1-1 0,0 0 0,0-1 0,0 1 0,-1 0 0,1 0 0,0-1 0,-1 1 0,0 0 0,1-1 0,-1-3 0,1-2 0,-1-1 0,0 1 0,-1-1 0,0 2 0,-3-17 0,3 19 0,-1 0 0,1 0 0,-1 1 0,0-1 0,0 0 0,-1 0 0,1 1 0,-5-4 0,6 7 0,1 0 0,-1 0 0,0 0 0,0 1 0,0-1 0,0 0 0,0 1 0,0-1 0,0 1 0,0-1 0,0 1 0,0-1 0,-1 1 0,1 0 0,0-1 0,0 1 0,0 0 0,0 0 0,-1 0 0,1 0 0,0 0 0,0 0 0,0 0 0,0 1 0,-1-1 0,1 0 0,0 1 0,0-1 0,0 0 0,0 1 0,0 0 0,0-1 0,0 1 0,0-1 0,0 1 0,0 0 0,0 0 0,0 0 0,1 0 0,-2 1 0,-1 1-80,0-1 0,0 1-1,0 0 1,0 0 0,1 0-1,-1 1 1,1 0 0,0-1-1,0 1 1,1 0 0,-1 0 0,1 0-1,0 0 1,0 0 0,0 0-1,0 6 1,2-2-6746</inkml:trace>
  <inkml:trace contextRef="#ctx0" brushRef="#br0" timeOffset="-3670.29">389 100 24575,'0'-1'0,"0"0"0,0 4 0,0 3 0,2 7 0,2 8 0,-1 7 0,-1 7 0,2 6 0,0 2 0,0-3 0,-2-2 0,0-8 0,-1-6 0,1-7 0,2-7 0,0-6 0</inkml:trace>
  <inkml:trace contextRef="#ctx0" brushRef="#br0" timeOffset="-3334.29">516 281 24575,'0'2'0,"-1"0"0,0 0 0,1 0 0,-1 0 0,1 0 0,-1 0 0,1 0 0,0 0 0,0 1 0,0 2 0,0-4 0,0 5 0,0 0 0,1 0 0,-1-1 0,1 1 0,0 0 0,0 0 0,1 0 0,0-1 0,0 1 0,3 4 0,-4-8 0,0 0 0,0 0 0,1 0 0,-1-1 0,1 1 0,-1 0 0,1-1 0,0 1 0,0-1 0,0 1 0,-1-1 0,1 0 0,1 0 0,-1 0 0,0 0 0,0 0 0,0 0 0,0-1 0,1 1 0,-1-1 0,0 1 0,1-1 0,-1 0 0,0 0 0,1 0 0,-1 0 0,0 0 0,4-2 0,-4 2 0,1-1 0,-1 0 0,0 0 0,0 0 0,0-1 0,0 1 0,0 0 0,0-1 0,0 1 0,-1-1 0,1 0 0,-1 0 0,1 1 0,-1-1 0,1 0 0,-1 0 0,0 0 0,0 0 0,0 0 0,0 0 0,-1 0 0,1-1 0,0 1 0,-1 0 0,0-1 0,1-3 0,0-8 0,0-1 0,-2-26 0,1 38 0,-1-10-1365,0 5-5461</inkml:trace>
  <inkml:trace contextRef="#ctx0" brushRef="#br0" timeOffset="-2742.2">681 262 24575,'0'0'0,"0"0"0,0 0 0,0-1 0,0 1 0,0 0 0,0 0 0,0 0 0,0-1 0,0 1 0,0 0 0,0 0 0,0-1 0,0 1 0,0 0 0,0 0 0,0 0 0,0-1 0,1 1 0,-1 0 0,0 0 0,0 0 0,0-1 0,0 1 0,0 0 0,0 0 0,1 0 0,-1 0 0,0-1 0,0 1 0,0 0 0,0 0 0,1 0 0,-1 0 0,0 0 0,0 0 0,1 0 0,-1-1 0,0 1 0,0 0 0,0 0 0,1 0 0,10 6 0,7 14 0,-14-13 0,0 0 0,0 1 0,0-1 0,4 16 0,-7-20 0,0 0 0,0 0 0,-1 1 0,1-1 0,-1 0 0,0 0 0,1 1 0,-1-1 0,-1 0 0,1 1 0,0-1 0,-1 0 0,0-1 0,0 2 0,-1 4 0,1-8 0,1 0 0,0 1 0,0-1 0,0 1 0,0-1 0,0 0 0,-1 1 0,1-1 0,0 0 0,0 0 0,-1 1 0,1-1 0,0 0 0,0 1 0,-1-1 0,1 0 0,0 0 0,-1 0 0,1 1 0,0-1 0,-1 0 0,1 0 0,-1 0 0,1 0 0,0 0 0,-1 1 0,1-1 0,0 0 0,-1 0 0,1 0 0,-1 0 0,0 0 0,-5-12 0,1-18 0,5 21 0,0 0 0,1 0 0,0 0 0,0 0 0,1 1 0,0 0 0,0-1 0,1 1 0,0-1 0,1 1 0,0 0 0,9-14 0,-12 22 0,-1-1 0,1 0 0,-1 1 0,1-1 0,0 0 0,-1 1 0,1-1 0,0 0 0,-1 1 0,1-1 0,0 1 0,0 0 0,0-1 0,-1 1 0,1 0 0,0-1 0,0 1 0,0 0 0,0 0 0,0-1 0,-1 1 0,1 0 0,0 0 0,0 0 0,0 0 0,0 1 0,1-1 0,0 1 0,-1 0 0,1-1 0,0 1 0,-1 1 0,1-1 0,-1 0 0,1 0 0,-1 0 0,0 1 0,0-1 0,1 1 0,0 1 0,4 7 0,0 1 0,0 0 0,4 13 0,-8-19 0,13 49 0,-15-62 0,0-1 0,1 1 0,0 0 0,0 0 0,1 0 0,3-10 0,-4 14 0,1 0 0,-1 0 0,1 0 0,0 0 0,0 1 0,0-1 0,1 1 0,-1-1 0,1 1 0,0 0 0,0 0 0,0 0 0,0 2 0,6-6 0,-8 7 0,0-1 0,-1 1 0,1-1 0,0 1 0,0 0 0,0-1 0,0 1 0,0 0 0,0 0 0,-1 0 0,1 0 0,0-1 0,0 1 0,0 0 0,0 1 0,0-1 0,0 0 0,0 0 0,0 0 0,0 0 0,-1 1 0,1-1 0,0 0 0,0 1 0,1 0 0,0 1 0,0-1 0,-1 1 0,1 0 0,-1-1 0,1 0 0,-1 1 0,0 0 0,0 0 0,0 0 0,1 3 0,2 5 0,-1 1 0,-1-1 0,2 14 0,-1-5 0,-1 36 0,-3-52-1365</inkml:trace>
  <inkml:trace contextRef="#ctx0" brushRef="#br0" timeOffset="-2372.34">1030 185 24575,'2'2'0,"0"-1"0,0 0 0,0 0 0,0 1 0,0 0 0,0-1 0,-1 1 0,1 0 0,-1 0 0,1-1 0,-1 1 0,1 0 0,1 5 0,12 27 0,-9 4 0,-4-23 0,3-38 0,-2 3 0,1 2 0,8-23 0,-10 34 0,0 0 0,1 0 0,1 1 0,-1 0 0,1-1 0,0 1 0,0 0 0,11-11 0,-15 16 0,1 0 0,0 0 0,0 0 0,0 1 0,0-1 0,0 0 0,0 0 0,1 1 0,-1-1 0,0 1 0,0-1 0,0 1 0,0-1 0,1 1 0,-1 0 0,0-1 0,1 1 0,-1 0 0,0 0 0,0 0 0,1 0 0,-1 0 0,0 1 0,2-1 0,-1 1 0,0 0 0,0 0 0,-1 0 0,1 1 0,0-1 0,-1 0 0,1 1 0,-1-1 0,0 1 0,1 0 0,-1-1 0,0 1 0,2 3 0,1 5 0,1 0 0,-2-1 0,1 1 0,2 17 0,-2-12-151,-2 0-1,0-1 0,-1 1 0,0 1 1,-1-1-1,-1-1 0,0 1 1,-6 25-1,2-26-6674</inkml:trace>
  <inkml:trace contextRef="#ctx0" brushRef="#br0" timeOffset="28289.65">1514 1121 24575,'3'0'0,"40"0"0,76-9 0,-118 9 0,-1 0 0,1 0 0,-1 0 0,1 0 0,-1 0 0,1 0 0,-1 0 0,1 0 0,-1 0 0,1 0 0,-1 0 0,1 0 0,-1-1 0,1 1 0,-1 0 0,1 0 0,-1-1 0,1 1 0,-1 0 0,0 0 0,1-1 0,-1 1 0,1-1 0,-1 1 0,0 0 0,1-1 0,-1 1 0,0-1 0,0 1 0,1-1 0,-1 1 0,0 0 0,0-1 0,0 1 0,0-1 0,0 0 0,1 0 0,-2 0 0,0-1 0,0 1 0,1 0 0,-1-1 0,0 1 0,0 0 0,0 0 0,-1-1 0,1 1 0,0 0 0,0 0 0,-2-1 0,-43-24 0,46 26 0,0 0 0,0 0 0,0 0 0,0-1 0,0 1 0,0 0 0,0 0 0,1 0 0,-1 0 0,0 0 0,0 0 0,0 0 0,0 0 0,0 0 0,0 0 0,0-1 0,0 1 0,0 0 0,0 0 0,0 0 0,0 0 0,0 0 0,0 0 0,0 0 0,0-1 0,0 1 0,0 0 0,0 0 0,0 0 0,0 0 0,0 0 0,0 0 0,0 0 0,0 0 0,0 0 0,0 0 0,0 0 0,0 0 0,0 0 0,-1 0 0,1 0 0,0 0 0,0 0 0,0 0 0,0 0 0,0-1 0,0 1 0,0 0 0,0 0 0,0 0 0,0 0 0,-1 0 0,1 0 0,0 0 0,0 0 0,0 0 0,0 0 0,0 0 0,0 0 0,0 0 0,-1 0 0,1 0 0,0 0 0,0 0 0,0 0 0,0 0 0,0 0 0,0 0 0,13-1 0,-10 1 0,1 0 0,-1 0 0,0 0 0,0 1 0,1 0 0,-1-1 0,0 0 0,0 1 0,3 2 0,-4-2 3,0 1 0,0 0 0,0-1 0,-1 1 0,1 0 0,0 0 0,-1 0 0,0 0 0,1 0 0,-1 0 0,0 0 0,0 1-1,0-1 1,-1 0 0,1 0 0,0 1 0,-1-1 0,1 1 0,-1-1 0,0 1 0,0-1 0,0 0 0,0 1 0,0-1 0,-1 1 0,1-1 0,-1 1 0,-1 1 0,-2 8-142,-1 0 0,0-1 0,0 0 1,-10 13-1,6-10-618,4-4-6069</inkml:trace>
  <inkml:trace contextRef="#ctx0" brushRef="#br0" timeOffset="24632.67">2220 1 24575,'0'328'0,"-2"-352"0,1 17 0,1-1 0,0 0 0,0 1 0,2-12 0,-2 17 0,0 0 0,1 0 0,-1 0 0,1 1 0,0-1 0,0 0 0,-1 0 0,1 1 0,0 0 0,0 0 0,1-1 0,-1 1 0,0-1 0,0 1 0,1 0 0,-1 0 0,1-1 0,-1 1 0,1 0 0,0 0 0,-1 1 0,1-1 0,1-1 0,19-5 0,-12 4 0,0 0 0,0-1 0,-1 0 0,13-7 0,-20 9 0,1 0 0,-1 1 0,0-1 0,1 0 0,-1 0 0,0-1 0,0 1 0,-1 0 0,1 0 0,0 0 0,-1-1 0,1 0 0,-1 0 0,0 1 0,0-1 0,0 0 0,0 0 0,-1 0 0,2-4 0,-2-8 0,1 1 0,-2 0 0,-2-20 0,-1 113 0,3-31 0,-1-20 0,2-2 0,1 1 0,7 39 0,-1-50 120,-7-15-155,1-1 1,-1 0-1,0 0 1,1 0-1,-1 0 1,0 1-1,1-1 1,-1 0-1,0 0 1,1 0-1,-1 0 1,1 0-1,-1 0 0,0 0 1,1 0-1,-1 0 1,0 0-1,1 0 1,-1 0-1,0-1 1,1 1-1,-1 0 1,0 0-1,1 0 1,-1 0-1,0-1 1,1 1-1,-1 0 0,0 0 1,0 0-1,1-1 1,-1 1-1,0 0 1,0 0-1,1-1 1,-1 1-1,0 0 1,0-1-1,0 1 1,0 0-1,1-1 0,-1 1 1,5-9-6792</inkml:trace>
  <inkml:trace contextRef="#ctx0" brushRef="#br0" timeOffset="24958.73">2443 258 24575,'3'1'0,"-1"0"0,1-1 0,-1 1 0,1-1 0,-1 1 0,1-1 0,0 0 0,-1 0 0,5 0 0,-5 0 0,0 0 0,0-1 0,0 1 0,0-1 0,0 1 0,0-1 0,0 0 0,0 1 0,-1-1 0,1 0 0,0 0 0,-1 0 0,1-1 0,-1 1 0,1 0 0,-1-1 0,1 1 0,-1-1 0,0 1 0,0-1 0,0 0 0,2-1 0,-2 1 0,-1 1 0,1 0 0,-1-1 0,1 1 0,-1-1 0,1 1 0,-1-1 0,0 1 0,0-1 0,0 1 0,0-1 0,0 1 0,0-1 0,0 1 0,0-1 0,0 1 0,-1-1 0,1 1 0,-1-1 0,1 1 0,-1-1 0,0 1 0,1 0 0,-1-1 0,0 1 0,0 0 0,0 0 0,0-1 0,-2-1 0,2 3 0,1-1 0,-1 1 0,1 0 0,-1-1 0,0 1 0,1-1 0,-1 1 0,1 0 0,-1 0 0,0-1 0,1 1 0,-1 0 0,0 0 0,1 0 0,-1 0 0,0 0 0,0 0 0,1 0 0,-1 0 0,0 0 0,1 0 0,-1 0 0,0 0 0,0 0 0,1 0 0,-1 1 0,1-1 0,-2 1 0,0 0 0,0 0 0,1 1 0,-1-1 0,1 1 0,-1-1 0,1 1 0,0 0 0,-1 0 0,0 3 0,-3 3 0,1 2 0,1-1 0,-3 9 0,4-13 0,1 0 0,0 0 0,0 0 0,1 0 0,0 0 0,0 0 0,0 0 0,0 0 0,1 0 0,0-1 0,0 1 0,0 0 0,0-1 0,4 8 0,-4-10 0,0 0 0,1 1 0,-1-1 0,1 0 0,0 0 0,-1 0 0,1 0 0,0 0 0,0-1 0,1 1 0,-1-1 0,0 1 0,0-1 0,1 0 0,-1 1 0,1-1 0,-1 0 0,1-1 0,-1 1 0,1 0 0,0-1 0,-1 0 0,1 1 0,0-1 0,-1 0 0,1 0 0,0-1 0,4 0 0,-3 0-227,0 0-1,0 0 1,1 0-1,-1-1 1,6-2-1,2-3-6598</inkml:trace>
  <inkml:trace contextRef="#ctx0" brushRef="#br0" timeOffset="25921.74">2636 258 24575,'0'-1'0,"0"0"0,0 0 0,0 0 0,0 0 0,1 0 0,-1 0 0,-1 0 0,1 0 0,0 0 0,0 0 0,0 0 0,0 1 0,-1-1 0,1 0 0,0 0 0,-1 0 0,1 0 0,-1 0 0,1 1 0,-1-1 0,1 1 0,-1-1 0,0 1 0,1-1 0,-1 0 0,0 1 0,0-1 0,1 1 0,-1-1 0,0 1 0,0-1 0,0 1 0,0 0 0,1-1 0,-1 1 0,0 0 0,0 0 0,0 0 0,0-1 0,0 1 0,0 0 0,0 0 0,0 0 0,-1 1 0,-1-1 0,1 1 0,0 0 0,0 0 0,0-1 0,0 1 0,0 1 0,0-1 0,0-1 0,0 1 0,1 1 0,-1-1 0,0 1 0,1-1 0,-1 1 0,1 0 0,-1 0 0,-1 4 0,2-5 0,0 1 0,1-1 0,-1 1 0,0 0 0,1-1 0,-1 1 0,1 0 0,0 0 0,-1-1 0,1 1 0,0 0 0,0 0 0,0-1 0,1 1 0,-1 0 0,0 0 0,1-1 0,-1 1 0,1 0 0,-1 0 0,1-1 0,0 1 0,0-1 0,-1 1 0,1-1 0,0 1 0,1-1 0,-1 1 0,0-1 0,0-1 0,1 1 0,-1 0 0,0 0 0,1 0 0,-1 0 0,1 0 0,-1 0 0,1 0 0,0-1 0,-1 1 0,1 0 0,0-1 0,0 0 0,-1 1 0,1-1 0,0 0 0,0 0 0,-1 0 0,1 0 0,0 0 0,0 0 0,-1-1 0,1 1 0,0-1 0,0 1 0,-1-1 0,3-1 0,-1 0 0,0 0 0,0 0 0,0 1 0,-1-2 0,1 1 0,-1-1 0,1 1 0,-1-1 0,0 0 0,3-6 0,5-5 0,-10 14 0,0 0 0,1 0 0,-1 0 0,0 0 0,0 0 0,1 0 0,-1 0 0,0 0 0,1 0 0,-1 0 0,0 0 0,0 0 0,1 0 0,-1 0 0,0 0 0,0 1 0,1-1 0,-1 0 0,0 0 0,0 0 0,0 0 0,1 1 0,-1-1 0,0 0 0,0 0 0,0 1 0,1-1 0,-1 0 0,0 0 0,0 1 0,0-1 0,0 0 0,0 0 0,0 1 0,0-1 0,0 0 0,11 19 0,-2-3 0,-5-12 0,0-1 0,0 1 0,1-1 0,-1 0 0,1 0 0,-1-1 0,1 1 0,0-1 0,0 0 0,0 0 0,0-1 0,0 1 0,0-1 0,1 0 0,-1-1 0,0 1 0,1-1 0,7-1 0,-10 1 0,1 0 0,0 0 0,-1-1 0,1 1 0,-1-1 0,0 0 0,1 0 0,-1 0 0,0 0 0,1-1 0,-1 0 0,0 1 0,0-1 0,0 0 0,0 0 0,-1-1 0,1 1 0,-1-1 0,1 1 0,-1-1 0,0 0 0,0 0 0,0 1 0,0-1 0,0 0 0,-1 0 0,0 0 0,2-5 0,-2 3 0,-1-1 0,1 1 0,-1-1 0,0 1 0,-1-1 0,1 1 0,-1-1 0,-3-8 0,4 13 0,0 0 0,0 0 0,-1 0 0,1 0 0,0 0 0,-1 0 0,1 0 0,-1 0 0,1 0 0,-1 0 0,1 0 0,-1 1 0,0-1 0,1 0 0,-1 0 0,0 1 0,0-1 0,0 0 0,1 1 0,-1-1 0,0 0 0,0 1 0,0 0 0,0-1 0,0 1 0,0-1 0,0 1 0,0 0 0,0 0 0,0 0 0,0 0 0,0 0 0,-1 0 0,1 0 0,0 0 0,0 0 0,0 0 0,0 0 0,0 1 0,0-1 0,0 0 0,0 1 0,0-1 0,0 1 0,0-1 0,0 1 0,1-1 0,-1 1 0,0 0 0,0-1 0,0 1 0,0 1 0,-2 1 0,1 0 0,-1 0 0,1 0 0,-1 0 0,1 1 0,0-1 0,1 0 0,-1 0 0,1 1 0,-1 0 0,1 0 0,-1 7 0,1-10 0,1 1 0,-1 0 0,1 0 0,0 0 0,0 0 0,-1-1 0,1 1 0,0 0 0,1 0 0,-1 0 0,0 0 0,0 0 0,1-1 0,-1 1 0,1 0 0,0 0 0,0 0 0,-1-1 0,1 1 0,0-1 0,0 1 0,0 0 0,1-2 0,-1 1 0,0 1 0,1-1 0,-1 0 0,3 2 0,-3-2 0,0-1 0,1 0 0,-1 0 0,0 1 0,1-1 0,-1 0 0,0 0 0,1 0 0,-1 0 0,0 0 0,1-1 0,-1 1 0,0 0 0,1-1 0,-1 1 0,0 0 0,0-1 0,0 0 0,1 1 0,-1-1 0,0 0 0,0 0 0,0 1 0,0-1 0,0 0 0,0 0 0,0 1 0,0-1 0,-1 0 0,1 0 0,0-1 0,0 1 0,-1 0 0,1-2 0,3-3 0,-2 0 0,1-1 0,-1 1 0,0-1 0,2-9 0,0-13 0,-2-59 0,-2 41 0,-1 83 0,5 51 0,-2-73 0,0 0 0,1-1 0,0 1 0,2 0 0,-1 0 0,12 21 0,-14-32 0,-1 0 0,1-1 0,-1 0 0,1 1 0,0-1 0,0 0 0,0 0 0,0 0 0,0 0 0,1 0 0,-1-1 0,4 3 0,-5-4 0,0 1 0,0-1 0,1 0 0,-1 0 0,0 1 0,0-1 0,0 0 0,0 0 0,0 0 0,0-1 0,0 1 0,0 0 0,0 0 0,0 0 0,0-1 0,0 1 0,0-1 0,0 1 0,0-1 0,0 1 0,0-1 0,0 1 0,0-1 0,0 0 0,0 1 0,-1-1 0,1 0 0,0 0 0,-1 0 0,1 0 0,0 1 0,-1-1 0,1 0 0,-1 0 0,1-2 0,2-4 0,0 0 0,-1-1 0,1 1 0,1-12 0,-3 12 0,0 0 0,1 1 0,0-1 0,1 0 0,3-7 0,-3 43 0,-3-27 0,1 22 0,-1-23 0,0 0 0,0 0 0,0-1 0,0 1 0,0 0 0,0 0 0,1 0 0,-1-1 0,0 1 0,0-1 0,1 1 0,-1 0 0,0-1 0,1 1 0,-1 0 0,1-1 0,-1 1 0,1 0 0,-1-1 0,1 1 0,0-1 0,-1 1 0,2 0 0,1-3-1365</inkml:trace>
  <inkml:trace contextRef="#ctx0" brushRef="#br0" timeOffset="26246.96">3071 68 24575,'0'0'0,"0"0"0,0 0 0,0 0 0,0-1 0,0 1 0,0 0 0,0 0 0,0 0 0,0 0 0,0 0 0,0-1 0,0 1 0,0 0 0,-1 0 0,1 0 0,0 0 0,0 0 0,0 0 0,0-1 0,0 1 0,0 0 0,0 0 0,-1 0 0,1 0 0,0 0 0,0 0 0,0 0 0,0 0 0,0 0 0,-1 0 0,1 0 0,0 0 0,0 0 0,0 0 0,0 0 0,-1 0 0,1 0 0,0 0 0,0 0 0,0 0 0,0 0 0,0 0 0,-1 0 0,1 0 0,0 0 0,0 0 0,0 0 0,0 0 0,0 0 0,-1 0 0,1 0 0,0 0 0,0 0 0,0 1 0,0-1 0,0 0 0,0 0 0,0 0 0,0 0 0,-1 0 0,1 1 0,1 3 0,9 1 0,-9-5 0,0 1 0,1-1 0,-1 0 0,0 0 0,0 0 0,0 0 0,1 0 0,-1 0 0,0 0 0,0 0 0,0 0 0,1-1 0,-1 1 0,0 0 0,0-1 0,0 1 0,0-1 0,0 0 0,0 1 0,0-1 0,0 0 0,0 1 0,0-1 0,0 0 0,0 0 0,0 0 0,-1 0 0,1 0 0,0 0 0,-1 0 0,1 0 0,-1 0 0,1 0 0,-1 0 0,1 0 0,-1 0 0,0-1 0,0 1 0,1 0 0,-1 0 0,0 0 0,0-1 0,0-1 0,0 2 0,0-1 0,0 1 0,0 0 0,0-1 0,0 1 0,0 0 0,-1 0 0,1 0 0,0 0 0,-1 0 0,1 0 0,-1-1 0,1 1 0,-1 0 0,1 0 0,-1 0 0,0 0 0,0 0 0,0 0 0,1 0 0,-1 0 0,0 0 0,0 0 0,0 0 0,0 1 0,0-1 0,-1 0 0,1 1 0,0-1 0,0 1 0,0-1 0,-1 1 0,1 0 0,0-1 0,0 1 0,-3 0 0,2 0 0,0 1 0,0 0 0,1 0 0,-1 0 0,0 0 0,0 0 0,1 1 0,-1-1 0,1 0 0,-1 1 0,1-1 0,-1 1 0,1 0 0,0-1 0,0 1 0,0 0 0,0-1 0,0 1 0,0 0 0,1 0 0,-1 0 0,0 3 0,-2 6 0,0 0 0,-2 19 0,2 19-1365,3-28-5461</inkml:trace>
  <inkml:trace contextRef="#ctx0" brushRef="#br0" timeOffset="27176.76">3140 258 24575,'-1'-1'0,"1"-1"0,-1 1 0,1 0 0,0 0 0,0 0 0,-1-1 0,1 1 0,0 0 0,0 0 0,0-1 0,0 1 0,0 0 0,1 0 0,-1-1 0,0 2 0,1-1 0,-1 0 0,0 0 0,1 0 0,0 0 0,-1-1 0,0 1 0,1 0 0,-1 0 0,1 0 0,0 1 0,0-1 0,0 0 0,0 0 0,0 0 0,0 1 0,0-1 0,0 0 0,0 1 0,0-1 0,0 1 0,0-1 0,0 1 0,1-1 0,-1 1 0,0 0 0,0 0 0,1 0 0,-1 0 0,0 0 0,0 0 0,1 0 0,-1 0 0,0 0 0,0 0 0,0 1 0,1-1 0,-1 0 0,0 1 0,0-1 0,0 1 0,0 0 0,0-1 0,0 1 0,0 0 0,0 0 0,0-1 0,0 1 0,0 0 0,0 0 0,0 1 0,1 2 0,0 0 0,-1 0 0,0 0 0,0 1 0,0-1 0,0 1 0,0 7 0,0-3 0,0-9 0,1-5 0,14-32 0,-15 36 0,0-1 0,0-1 0,1 1 0,-1 0 0,1 0 0,0 0 0,0 0 0,-1 0 0,1 0 0,1 0 0,3-2 0,-6 4 0,1 0 0,0-1 0,0 1 0,0 0 0,0 0 0,0 0 0,0 0 0,0 0 0,0 1 0,-1-1 0,1 0 0,0 0 0,0 1 0,0-1 0,0 0 0,0 1 0,-1-1 0,1 1 0,0-1 0,0 1 0,-1-1 0,1 1 0,0-1 0,-1 1 0,1 0 0,-1-1 0,2 2 0,17 25 0,-12-16 0,-2-5 0,0-1 0,1 1 0,-1-1 0,1 0 0,0-1 0,0 1 0,10 4 0,-14-8 0,1 0 0,-1 0 0,1 1 0,0-1 0,-1 0 0,1-1 0,0 1 0,-1 0 0,1-1 0,0 1 0,0-1 0,0 0 0,0 0 0,-1 0 0,1 0 0,0-1 0,0 1 0,0-1 0,-1 1 0,1-1 0,0 0 0,4-3 0,-5 3 0,0 0 0,-1-2 0,1 1 0,0 0 0,-1 0 0,0-1 0,0 1 0,1 0 0,-1-1 0,-1 1 0,1-1 0,0 0 0,-1 1 0,1-1 0,-1 0 0,0 1 0,0-6 0,0 1 0,0 0 0,0 0 0,-1 1 0,0 0 0,-4-14 0,5 20 0,0-1 0,0 0 0,0 1 0,0-1 0,-1 0 0,1 1 0,0-1 0,0 1 0,-1-1 0,1 1 0,-1-1 0,1 0 0,0 1 0,-1-1 0,1 1 0,-1 0 0,1-1 0,-1 1 0,1-1 0,-1 1 0,1 0 0,-1-1 0,1 1 0,-1 0 0,0 0 0,1-1 0,-1 1 0,0 0 0,1 0 0,-1 0 0,0 0 0,-1 0 0,1 1 0,0-1 0,0 1 0,-1-1 0,1 1 0,0 0 0,0 0 0,0 0 0,0-1 0,0 1 0,0 0 0,0 0 0,0 0 0,0 2 0,-2 1 0,0 0 0,0 0 0,1 0 0,-1 1 0,1-1 0,0 1 0,-2 7 0,6 0 0,6-11 0,-7-1 0,0-1 0,0 0 0,0 1 0,0-1 0,0 0 0,0 0 0,0 0 0,0 0 0,0 0 0,0 0 0,0 0 0,-1 0 0,1 0 0,0 0 0,-1 0 0,1-1 0,2 22 0,-2 35 0,1 1 0,0-5 0,3 54 0,-10 124 0,4-219 0,-4 31 0,4-39 0,1 1 0,-1-1 0,1 0 0,-1 1 0,0-1 0,0 0 0,0 0 0,0 1 0,-1-1 0,1 0 0,0 0 0,-1 0 0,-2 1 0,4-2 0,-1-1 0,1 0 0,-1 0 0,0 0 0,1 0 0,-1 0 0,0 0 0,1 0 0,-1 0 0,0 0 0,1 0 0,-1 0 0,1 0 0,-1 0 0,0-1 0,1 1 0,-1 0 0,0 0 0,1-1 0,-1 1 0,1 0 0,-1-1 0,1 1 0,-1-1 0,1 1 0,-1-1 0,1 1 0,0-1 0,-1 1 0,1-1 0,-1 1 0,1-1 0,0 1 0,0-1 0,-1 1 0,1-2 0,-13-23 0,6 6 0,1 1 0,1-2 0,0 0 0,2 0 0,0 0 0,1 0 0,1-1 0,1 2 0,1-2 0,0 1 0,6-21 0,-4 26 0,1 2 0,0 0 0,1-1 0,0 1 0,1 0 0,1 0 0,9-14 0,-9 19 0,-1-1 0,1 1 0,1 0 0,-1 1 0,1 0 0,0 0 0,1 2 0,0-1 0,0 0 0,15-6 0,-18 9-227,0 1-1,0-1 1,1 1-1,0 1 1,10-2-1,0 3-6598</inkml:trace>
  <inkml:trace contextRef="#ctx0" brushRef="#br0" timeOffset="30670.07">2361 962 24575,'-3'-8'0,"2"8"0,1 1 0,0-1 0,0 0 0,-1 0 0,1 0 0,0 1 0,-1-1 0,1 0 0,0 1 0,0-1 0,0 0 0,-1 0 0,1 1 0,0-1 0,0 1 0,0-1 0,0 0 0,0 1 0,0-1 0,0 0 0,-1 1 0,1-1 0,0 0 0,0 1 0,0-1 0,0 0 0,1 2 0,-3 39 0,6 72 0,-1-70 0,-3 66 0,0-107 0,0 1 0,0 0 0,-1-1 0,1 1 0,-1 0 0,1 0 0,-1 0 0,0 0 0,0-1 0,-2 4 0,3-7 0,-1 0 0,1-1 0,-1 1 0,1-1 0,-1 1 0,1 0 0,0-1 0,-1 1 0,1-1 0,0 1 0,0-2 0,-1-45 0,2 1 0,2-2 0,2 2 0,3 0 0,1-1 0,19-53 0,-26 97 0,-1-1 0,0 0 0,1 0 0,0 1 0,0-1 0,0 1 0,1-1 0,0 1 0,6-7 0,-9 11 0,0 0 0,0-1 0,1 1 0,-1 0 0,0 0 0,0 0 0,1-1 0,-1 1 0,0 0 0,1 0 0,-1 0 0,0 0 0,1 0 0,-1 0 0,0 0 0,1-1 0,-1 1 0,0 0 0,1 0 0,-1 0 0,1 0 0,-1 0 0,0 1 0,1-1 0,-1 0 0,0 0 0,1 0 0,-1 0 0,0 0 0,1 0 0,-1 0 0,0 1 0,1-1 0,7 12 0,-2 18 0,-4-12 0,-1-2 0,-1 2 0,-1-1 0,0 1 0,-5 21 0,4-28 0,-1 0 0,0-1 0,0 0 0,-1-1 0,-1 1 0,0 0 0,0 0 0,0-1 0,-14 15 0,16-21 0,1 0 0,-1-1 0,-1 1 0,1-1 0,0 0 0,0 0 0,-1 0 0,0 0 0,1-1 0,-1 1 0,-7 1 0,10-3 0,1 0 0,-1 0 0,0 0 0,0 0 0,0 0 0,0 0 0,0 0 0,0 0 0,0 0 0,0 0 0,1 0 0,-1-1 0,0 1 0,0 0 0,0-1 0,0 1 0,1-1 0,-1 1 0,0-1 0,0 1 0,0-1 0,0-1 0,0 1 0,1 0 0,-1 0 0,1-1 0,-1 1 0,1 0 0,-1-1 0,1 1 0,0-1 0,0 1 0,0 0 0,0-1 0,0 1 0,0-1 0,0 1 0,0 0 0,0-1 0,1 0 0,-1 1 0,1-1 0,-1 1 0,0 0 0,0 0 0,1 0 0,-1-1 0,0 1 0,1 0 0,-1 0 0,1 0 0,0 0 0,-1 0 0,1 0 0,0 0 0,0 0 0,0 0 0,-1 0 0,1 0 0,0 1 0,2-2 0,-2 1 0,0 1 0,0 0 0,0 0 0,0 0 0,0 0 0,0 0 0,0 0 0,0 0 0,0 0 0,0 0 0,0 0 0,0 1 0,0-1 0,0 0 0,0 1 0,0-1 0,0 1 0,2 0 0,2 3 0,0 0 0,1 0 0,-2 1 0,1-1 0,0 0 0,4 7 0,-1 1 0,-1 1 0,0 0 0,10 25 0,-12-23 0,2-1 0,0 0 0,9 13 0,-16-26 0,0-1 0,1 1 0,-1 0 0,1 0 0,-1 0 0,1-1 0,0 1 0,-1 0 0,1-1 0,0 1 0,-1-1 0,1 1 0,0 0 0,0-1 0,0 0 0,-1 1 0,1-1 0,0 1 0,0-1 0,0 0 0,0 0 0,0 1 0,0-1 0,0 0 0,1 0 0,-1-1 0,0 1 0,0-1 0,0 1 0,0-1 0,0 1 0,0-1 0,0 0 0,-1 0 0,1 0 0,0 1 0,0-1 0,0 0 0,-1 0 0,1 0 0,-1 0 0,1 0 0,0-1 0,2-6 0,0 1 0,0-1 0,-1 1 0,2-11 0,-4 14 0,0 1 0,1 0 0,0 0 0,0-1 0,0 1 0,0 0 0,3-5 0,-4 8 0,0-1 0,0 1 0,1 0 0,-1 0 0,0-1 0,1 1 0,-1 0 0,0 0 0,0 0 0,1-1 0,-1 1 0,0 0 0,1 0 0,-1 0 0,0 0 0,1 0 0,-1 0 0,0-1 0,1 1 0,-1 0 0,0 0 0,1 0 0,-1 0 0,1 0 0,-1 0 0,0 0 0,1 1 0,13 10 0,-13-10 0,0 1 0,0-1 0,0 0 0,1 0 0,-1 1 0,0-1 0,1 0 0,-1 0 0,0-1 0,1 1 0,-1 0 0,1 0 0,0-1 0,-1 1 0,1-1 0,-1 1 0,1-1 0,0 0 0,-1 1 0,1-1 0,0 0 0,0 0 0,-1 0 0,1 0 0,0-1 0,-1 1 0,1 0 0,2-2 0,-3 2 0,1-1 0,-1 0 0,0 0 0,0 0 0,0 0 0,1 0 0,-1 0 0,0-1 0,0 1 0,-1 0 0,1-1 0,0 1 0,0 0 0,-1-1 0,1 1 0,-1-1 0,1 1 0,-1-1 0,1 1 0,-1-1 0,0 1 0,0-1 0,0 1 0,0-1 0,0 1 0,0 0 0,0 0 0,0-1 0,-1 0 0,1 1 0,-1-2 0,-1-1 0,1 0 0,0 1 0,-1-1 0,0 1 0,1-1 0,-2 1 0,1 0 0,0-1 0,0 1 0,-1 1 0,0-1 0,-4-4 0,6 6 0,0 1 0,0-1 0,0 1 0,0-1 0,0 1 0,0-1 0,0 1 0,0-1 0,0 1 0,-1 0 0,1 0 0,0 0 0,0-1 0,0 1 0,0 0 0,0 0 0,-1 1 0,0-1 0,0 1 0,1-1 0,0 1 0,-1 0 0,1-1 0,0 1 0,0 0 0,-1 0 0,1 0 0,0 0 0,0 0 0,0 1 0,0-1 0,0 0 0,1 0 0,-1 1 0,0-1 0,0 3 0,-4 5 0,2 0 0,-1 1 0,1-1 0,1 0 0,-3 17 0,5-24 0,0 0 0,0 1 0,0-1 0,0 1 0,0-1 0,0 0 0,1 1 0,-1-1 0,1 0 0,0 0 0,-1 1 0,4 3 0,-4-5 0,1-1 0,0 1 0,0 1 0,1-2 0,-1 1 0,0 0 0,0 0 0,0 0 0,1 0 0,-1-1 0,0 1 0,1-1 0,-1 1 0,1-1 0,-1 1 0,0-1 0,1 0 0,-1 0 0,1 0 0,-1 0 0,1 0 0,-1 0 0,2 0 0,1-1 0,-1 1 0,1-1 0,-1 0 0,0-1 0,1 1 0,-1 0 0,0-1 0,0 0 0,0 1 0,0-1 0,0 0 0,0 0 0,-1-1 0,1 1 0,-1-1 0,0 1 0,0-1 0,0 0 0,2-3 0,-1 2 0,-1 0 0,1 0 0,-1 0 0,0-1 0,-1 1 0,1-1 0,-1 1 0,0 0 0,0 0 0,0-1 0,0-6 0,0 18 0,0 0 0,1-1 0,-1 0 0,2 1 0,-1-1 0,1 1 0,4 8 0,-6-13 0,1 0 0,-1 0 0,0 0 0,1 0 0,-1 0 0,1 0 0,-1 0 0,1-1 0,0 1 0,0-1 0,0 1 0,0-1 0,0 0 0,0 0 0,0 0 0,0-1 0,0 1 0,1 0 0,-1 0 0,0-1 0,1 1 0,-1-1 0,0 0 0,1 1 0,2-1 0,-3-1 0,-1 1 0,1-1 0,-1 1 0,0-1 0,1 0 0,-1 0 0,0 1 0,1 0 0,-1-1 0,0 0 0,0 0 0,0 0 0,0 0 0,0-1 0,0 1 0,0 0 0,0 0 0,0-1 0,-1 1 0,1 0 0,-1-1 0,1 1 0,-1-1 0,1 1 0,-1-1 0,0 1 0,1-1 0,-1 1 0,0-3 0,0-14 0,0 15 0,0 7 0,0-1 0,1 0 0,-1 0 0,1 0 0,0 0 0,0 0 0,0 0 0,1 0 0,-1-1 0,1 1 0,-1 0 0,1-1 0,0 1 0,0-1 0,0 0 0,0 0 0,1 0 0,-1 0 0,1-1 0,4 4 0,-6-5 0,0 1 0,1 0 0,-1-1 0,1 1 0,-1-1 0,0 1 0,1-1 0,-1 0 0,1 0 0,-1 1 0,1-1 0,0 0 0,-1-1 0,1 1 0,-1 0 0,1 0 0,-1 0 0,1-1 0,-1 1 0,0-1 0,1 1 0,-1-1 0,0 0 0,1 0 0,-1 1 0,0-1 0,1 0 0,-1 0 0,0 0 0,0 0 0,0 1 0,0-2 0,0 1 0,0 0 0,-1 0 0,1-1 0,0 1 0,0 0 0,-1-1 0,1 1 0,0-2 0,1-4-8,-1 1 0,1-1 0,-1 1 0,0-1 0,-1 0-1,0 0 1,0 2 0,0-2 0,-1 0 0,-2-11 0,0-10-1268,2 20-5550</inkml:trace>
  <inkml:trace contextRef="#ctx0" brushRef="#br0" timeOffset="31358.79">3148 967 24575,'0'-14'0,"1"27"0,1 10 0,21 329 0,-23-350 0,0 1 0,0-1 0,0 1 0,0-1 0,0 1 0,-1-1 0,1 1 0,-1-1 0,-1 5 0,2-6 0,-1-1 0,1 0 0,0 0 0,0 0 0,0 1 0,0-1 0,-1 0 0,1 0 0,0 0 0,0 0 0,0 1 0,-1-1 0,1 0 0,0 0 0,0 0 0,-1 0 0,1 0 0,0 0 0,0 0 0,-1 0 0,1 0 0,0 0 0,0 0 0,-1 0 0,1 0 0,0 0 0,0 0 0,-1 0 0,1 0 0,0 0 0,0 0 0,-1 0 0,-12-12 0,5-1 0,0-1 0,0 1 0,1-1 0,0 0 0,1-1 0,-4-18 0,9 32 0,1 0 0,-1 0 0,1 0 0,-1 0 0,1 0 0,0 0 0,0 0 0,-1-1 0,1 1 0,0 0 0,0 0 0,0 0 0,0 0 0,0 0 0,1-1 0,-1 1 0,0 0 0,0 0 0,1 0 0,-1 0 0,1 0 0,-1 0 0,1 0 0,-1 0 0,1 0 0,0 0 0,-1 0 0,1 0 0,0 0 0,0 1 0,0-1 0,-1 0 0,1 0 0,0 1 0,0-1 0,0 1 0,0-1 0,0 1 0,1-1 0,-1 1 0,1-1 0,5 0 0,0 0 0,1 1 0,-1 0 0,-1 0 0,14 3 0,5-1 0,-6-2 0,-1-1 0,1-1 0,-1 0 0,1-1 0,34-11 0,-47 13 0,-1-1 0,1-1 0,-1 1 0,1-1 0,-1 0 0,0 0 0,0 0 0,0-1 0,-1 0 0,1 0 0,-1 0 0,0 0 0,0-1 0,0 1 0,-1-1 0,0 0 0,0 0 0,0 0 0,0 0 0,-1 0 0,0-1 0,2-8 0,2-35 0,-6 46 0,0 0 0,0 0 0,0 0 0,-1-1 0,1 1 0,-1 0 0,1 0 0,-1 0 0,0 0 0,0 0 0,-1 0 0,1 0 0,-2-2 0,2 4 0,1 1 0,0 0 0,0 0 0,0 0 0,0 0 0,0 0 0,0 0 0,0 0 0,0-1 0,-1 1 0,1 0 0,0 0 0,0 0 0,0 0 0,0 0 0,0 0 0,-1 0 0,1 0 0,0 0 0,0 0 0,0 0 0,0 0 0,0 0 0,-1 0 0,1 0 0,0 0 0,0 0 0,0 0 0,0 0 0,0 0 0,-1 0 0,1 0 0,0 0 0,0 0 0,0 0 0,0 1 0,0-1 0,0 0 0,-1 0 0,1 0 0,0 0 0,0 0 0,0 0 0,0 0 0,0 1 0,0-1 0,0 0 0,0 0 0,-5 12 0,0 12 0,1 39 0,3-1 0,2 0 0,13 83 0,-8-121 120,-1-20-321,3-12-1083,-2-3-5542</inkml:trace>
  <inkml:trace contextRef="#ctx0" brushRef="#br0" timeOffset="32589.79">3514 1224 24575,'1'1'0,"-1"0"0,0 1 0,1-1 0,-1 0 0,1 0 0,-1 0 0,1 0 0,-1 0 0,1 0 0,0 0 0,0 0 0,-1-1 0,1 1 0,0 0 0,0 0 0,0-1 0,0 1 0,0 0 0,0-1 0,0 1 0,0-1 0,0 1 0,2 0 0,0 0 0,0 0 0,0 0 0,0 0 0,0 0 0,0-1 0,0 1 0,4-1 0,-5 0 0,-1 0 0,1-1 0,-1 1 0,0-1 0,1 0 0,-1 1 0,0-1 0,0 0 0,1 0 0,-1 0 0,0 0 0,0 0 0,0 0 0,0 0 0,0 0 0,0 0 0,0 0 0,-1-1 0,1 1 0,0 0 0,-1-1 0,1 1 0,-1 0 0,1-1 0,-1-1 0,1 1 0,0 0 0,-1 0 0,1 0 0,-1 1 0,0-1 0,0 0 0,0 0 0,0 0 0,0 0 0,0 0 0,0 0 0,0 1 0,-1-1 0,1 0 0,-1 0 0,0 0 0,1 1 0,-1 0 0,-2-3 0,3 3 0,0 1 0,-1 0 0,1 0 0,-1 0 0,1-1 0,-1 1 0,1 0 0,-1 0 0,1 0 0,-1 0 0,1 0 0,-1 0 0,1 0 0,-1 0 0,1 0 0,-1 0 0,1 1 0,-1-1 0,1 0 0,-1 0 0,1 0 0,-1 1 0,1-1 0,-1 0 0,1 0 0,0 1 0,-1-1 0,1 0 0,-1 1 0,1-1 0,0 1 0,-1-1 0,1 0 0,0 1 0,0-1 0,-1 1 0,1-1 0,0 0 0,0 0 0,0 1 0,0-1 0,-1 1 0,-9 23 0,8-19 0,0 0 0,1 1 0,0-1 0,0 0 0,0 1 0,1 0 0,-1-2 0,2 7 0,-1-9 0,0 0 0,1 0 0,-1-1 0,1 1 0,-1 0 0,1-1 0,-1 1 0,1-1 0,0 1 0,0-1 0,0 1 0,0-1 0,0 0 0,0 1 0,0-1 0,1 0 0,-1 0 0,0 0 0,1 0 0,-1 0 0,1 0 0,-1 0 0,1 0 0,-1-1 0,1 1 0,0 0 0,-1-1 0,1 0 0,3 1 0,8 1 0,1-1 0,-1 0 0,1-1 0,-1 0 0,18-4 0,-24 4 0,-1-1 0,0-1 0,0 1 0,0-1 0,0 0 0,0-1 0,0 1 0,-1-1 0,1 0 0,-1-1 0,0 1 0,0-1 0,7-7 0,-9 8 0,-1 0 0,0 0 0,-1 0 0,1-1 0,-1 1 0,1-1 0,-1 1 0,0-1 0,1-6 0,-2 9 0,0 0 0,0 1 0,0-1 0,0 0 0,0 1 0,1-1 0,-1 0 0,0 0 0,-1 1 0,1-1 0,0 0 0,0 1 0,0-1 0,0 0 0,0 1 0,-1-1 0,1 0 0,0 1 0,-1-1 0,1 0 0,0 1 0,-1-1 0,1 1 0,-1-1 0,1 1 0,-1-1 0,1 1 0,-1-1 0,0 1 0,1 0 0,-1-1 0,1 1 0,-1 0 0,0-1 0,1 1 0,-1 0 0,0 0 0,1-1 0,-1 1 0,0 0 0,1 0 0,-1 0 0,0 0 0,0 0 0,1 0 0,-1 0 0,0 0 0,1 0 0,-1 1 0,0-1 0,1 0 0,-1 0 0,0 1 0,1-1 0,-1 0 0,0 1 0,1-1 0,-1 1 0,-2 1 0,0-1 0,0 1 0,0 0 0,0 1 0,0-1 0,1 0 0,-1 1 0,1 0 0,0-1 0,-1 1 0,-2 6 0,4-7 0,0-1 0,0 1 0,0 0 0,0 0 0,0 0 0,0 0 0,0 0 0,1 0 0,-1-1 0,1 1 0,0 0 0,-1 0 0,1 0 0,0 0 0,0 0 0,1 0 0,-1 0 0,0 0 0,1 0 0,-1 0 0,2 3 0,-2-4 0,1 0 0,-1 0 0,1 0 0,-1 0 0,1-1 0,0 1 0,0 0 0,-1 0 0,1-1 0,0 1 0,0-1 0,0 1 0,-1-1 0,1 1 0,0-1 0,0 1 0,0-1 0,0 0 0,0 1 0,0-1 0,0 0 0,0 0 0,0 0 0,0 0 0,0 0 0,0 0 0,0 0 0,0 0 0,0 0 0,0 0 0,0-1 0,0 1 0,0 0 0,0-1 0,0 1 0,0-1 0,0 1 0,0-1 0,0 1 0,-1-1 0,1 0 0,1-1 0,1 0 0,1-1 0,-2 0 0,1 0 0,0 0 0,0-1 0,-1 1 0,0 0 0,0-1 0,3-4 0,-3-1 0,8-13 0,3 47 0,-11-21 0,1-1 0,0 0 0,0 0 0,1 1 0,-1-1 0,1 0 0,-1 0 0,1 0 0,0-1 0,0 0 0,0 1 0,1-1 0,-1-1 0,0 1 0,10 2 0,-2-1 0,0-1 0,1 0 0,0-1 0,21 0 0,-32-1 0,0 0 0,0 0 0,0-1 0,-1 1 0,1 0 0,0 0 0,0-1 0,0 0 0,0 1 0,-1-1 0,1 0 0,0 0 0,-1 0 0,1 0 0,0 0 0,-1 0 0,1 0 0,-1 0 0,0-1 0,1 1 0,-1 0 0,0-1 0,0 0 0,0 1 0,0-1 0,0 1 0,0-1 0,0 0 0,-1 0 0,1 0 0,-1 1 0,1-1 0,-1 0 0,0 0 0,1 0 0,-1 0 0,0 0 0,0 1 0,-1 0 0,1-1 0,0 0 0,-1 0 0,1 0 0,-1 0 0,1 0 0,-1 1 0,0-1 0,0 0 0,0 1 0,0-1 0,0 0 0,0 1 0,0-1 0,0 1 0,-1 0 0,1-1 0,-1 1 0,1 0 0,-1 0 0,-2-2 0,3 3 0,0-1 0,0 1 0,0-1 0,1 1 0,-1 0 0,0-1 0,0 1 0,0 0 0,0 0 0,0-1 0,0 1 0,0 0 0,0 0 0,0 0 0,0 0 0,0 0 0,0 1 0,0-1 0,0 0 0,0 0 0,0 1 0,1-1 0,-1 0 0,0 1 0,-2 0 0,1 1 0,0 0 0,0 0 0,0 0 0,0 0 0,1 0 0,-1 0 0,0 1 0,1-1 0,-2 4 0,-1 1 0,1 0 0,0 2 0,1-1 0,-1 0 0,0 11 0,2-18 0,1 0 0,0 0 0,0 0 0,0 1 0,0-1 0,0 0 0,0 0 0,0 0 0,0 0 0,0 0 0,0 0 0,1 0 0,-1 0 0,0 0 0,1 0 0,-1 0 0,1 0 0,-1 0 0,1 0 0,-1 0 0,1-1 0,0 1 0,-1 0 0,1 0 0,0-1 0,0 1 0,0 0 0,0-1 0,0 1 0,0 0 0,-1-1 0,1 1 0,1-1 0,-1 1 0,0-1 0,1 1 0,1-1 0,-1 0 0,0 0 0,0 0 0,0-1 0,0 1 0,0 0 0,0-1 0,0 1 0,0-1 0,-1 0 0,1 0 0,0 1 0,0-1 0,0-1 0,-1 1 0,1 0 0,0 1 0,-1-1 0,2-3 0,3-3 0,-1-2 0,0 1 0,0 0 0,-1-1 0,0 0 0,-1 0 0,0 1 0,3-16 0,7-48 0,-13 71 0,-3 21 0,0-6 0,1 0 0,0 1 0,1 0 0,1-1 0,0 0 0,3 24 0,-3-37 0,0 0 0,1 0 0,-1 0 0,0 1 0,0-1 0,1 0 0,-1 0 0,0 0 0,1 0 0,-1 0 0,1 0 0,0 0 0,-1 0 0,1 0 0,0 0 0,0 0 0,-1 0 0,1 0 0,0-1 0,-1 1 0,1 0 0,0-1 0,0 1 0,0 0 0,0-1 0,0 1 0,0-1 0,1 0 0,-1 0 0,0 0 0,0 0 0,0 0 0,0 0 0,3 0 0,-2 0 0,0 0 0,0-1 0,0 1 0,0-1 0,0 0 0,0-1 0,0 1 0,0 0 0,0 0 0,0-1 0,-1 1 0,1-1 0,-1 0 0,1 1 0,-1-1 0,0 0 0,2-3 0,7-15 0,-9 16 0,1 0 0,0-1 0,0 1 0,1 0 0,4-5 0,-7 9 0,0 0 0,1 0 0,-1 0 0,0 0 0,0 0 0,1 0 0,-1 0 0,0 0 0,0 0 0,1 0 0,-1 0 0,0 0 0,0 0 0,1 1 0,-1-1 0,0 0 0,0 0 0,0 0 0,1 0 0,-1 0 0,0 0 0,0 1 0,0-1 0,1 0 0,-1 0 0,0 0 0,0 1 0,0-1 0,0 0 0,0 0 0,0 1 0,1-1 0,-1 0 0,0 0 0,0 0 0,0 1 0,0-1 0,0 0 0,0 0 0,0 1 0,0-1 0,0 0 0,0 1 0,0-1 0,0 0 0,4 19 0,-3-15 0,0-1 8,-1-1-1,1 0 1,0 0-1,0 0 1,0 0-1,0-1 1,0 1-1,0 0 1,1 0-1,-1-1 1,1 1-1,-1 0 1,1-1-1,-1 0 1,4 3-1,-4-4-51,0 1 1,0-1-1,0 1 0,0-1 1,0 0-1,0 1 0,0-1 1,0 0-1,0 0 0,0 0 1,0 0-1,1 0 0,-1 0 1,0 0-1,0 0 0,0 0 1,0-1-1,0 1 0,0 0 0,0-1 1,0 1-1,0-1 0,0 1 1,-1-1-1,1 1 0,0-1 1,0 1-1,0-1 0,0 0 1,-1 0-1,1 1 0,0-1 1,0-2-1,5-5-6782</inkml:trace>
  <inkml:trace contextRef="#ctx0" brushRef="#br0" timeOffset="32774.08">4205 1129 24575,'-1'0'0,"-1"-2"0,0 3 0,0 2 0,1 4 0,1 2 0,1-1-8191</inkml:trace>
  <inkml:trace contextRef="#ctx0" brushRef="#br0" timeOffset="33591.81">4224 1283 24575,'-1'-2'0,"1"1"0,0-1 0,0 1 0,1 0 0,-1-1 0,0 1 0,0 0 0,1-1 0,-1 1 0,0-1 0,1 1 0,0 0 0,-1 0 0,1-1 0,0 1 0,-1 0 0,1 0 0,0 0 0,0 1 0,0-1 0,0 0 0,0 0 0,0 0 0,0 0 0,1 1 0,-1-1 0,0 0 0,0 1 0,1-1 0,-1 0 0,0 1 0,1 0 0,-1-1 0,0 1 0,1 0 0,1 0 0,-2 0 0,0 0 0,0 0 0,1 0 0,-1 1 0,0-1 0,0 0 0,0 1 0,0-1 0,0 1 0,0-1 0,0 1 0,0-1 0,0 1 0,0 0 0,0-1 0,0 1 0,-1 0 0,1 0 0,0 0 0,0-1 0,-1 1 0,1 0 0,-1 0 0,1 0 0,-1 0 0,1 0 0,-1 0 0,0 0 0,1 0 0,-1 0 0,0 0 0,0 1 0,0-1 0,0 0 0,0 0 0,0 0 0,0 0 0,0 0 0,0 1 0,0-1 0,-1 0 0,0 1 0,2-4 0,-1 1 0,1-1 0,-1 0 0,1 1 0,0-1 0,-1 1 0,1-1 0,0 0 0,0 1 0,0 0 0,0-1 0,0 1 0,1 0 0,-1-1 0,0 1 0,1 0 0,-1 1 0,0-1 0,1 0 0,-1 0 0,1 1 0,0-1 0,-1 0 0,1 1 0,0-1 0,-1 1 0,1-1 0,0 1 0,-1 0 0,1 0 0,3 0 0,1 0 0,0 1 0,0 0 0,0 0 0,-1 0 0,1 1 0,0-1 0,0 1 0,9 5 0,-13-6 0,-1 0 0,1 0 0,0 0 0,0 0 0,0-1 0,0 1 0,-1 0 0,1-1 0,0 0 0,0 1 0,0-1 0,0 0 0,0 0 0,0 0 0,0 0 0,0 0 0,0-1 0,0 1 0,0-1 0,0 1 0,0-1 0,0 0 0,2-1 0,-2 0 0,0 0 0,0 0 0,0 1 0,0-2 0,-1 2 0,1-1 0,-1 0 0,0 0 0,0-1 0,0 1 0,0-1 0,0 1 0,0-1 0,-1 1 0,1-1 0,-1 1 0,1-5 0,-1 6 0,0-1 0,0 1 0,0 0 0,0 0 0,0-1 0,0 1 0,0 0 0,0 0 0,0 0 0,-1-1 0,1 1 0,0 0 0,-1 0 0,0-2 0,0 2 0,1 1 0,0 0 0,-1-1 0,1 1 0,0 0 0,-1-1 0,1 1 0,-1 0 0,1 0 0,-1 0 0,1-1 0,-1 1 0,1 0 0,0 0 0,-1 0 0,1 0 0,-1 0 0,1 0 0,-1 0 0,1 0 0,-1 0 0,1 0 0,-1 0 0,1 0 0,-1 0 0,-1 1 0,0 0 0,0 0 0,0 0 0,0 0 0,0 0 0,0 0 0,0 0 0,1 1 0,-1-1 0,0 1 0,1-1 0,0 1 0,-1 0 0,-1 3 0,0-1 0,1 0 0,0 1 0,0-1 0,0 1 0,0-1 0,1 1 0,0-1 0,0 1 0,0-1 0,0 1 0,1 0 0,0 9 0,0-13 0,0-1 0,0 0 0,0 1 0,0-1 0,0 0 0,1 1 0,-1-1 0,0 0 0,0 1 0,0-1 0,0 0 0,1 1 0,-1-1 0,0 0 0,0 0 0,0 1 0,1-1 0,-1 0 0,0 0 0,1 1 0,-1-1 0,0 0 0,0 0 0,1 0 0,-1 0 0,0 1 0,1-1 0,-1 0 0,0 0 0,1 0 0,-1 0 0,1 0 0,-1 0 0,13-6 0,7-16 0,-9 10 0,-11 12 0,1 0 0,-1 0 0,0 0 0,0 0 0,0 0 0,0 0 0,0-1 0,1 1 0,-1 0 0,0 0 0,0 0 0,0 0 0,0 0 0,1 0 0,-1 0 0,0 0 0,0 0 0,0 0 0,0 0 0,1 0 0,-1 0 0,0 0 0,0 0 0,0 0 0,0 0 0,1 0 0,-1 0 0,0 0 0,0 0 0,0 0 0,0 1 0,1-1 0,-1 0 0,0 0 0,0 0 0,0 0 0,0 0 0,0 1 0,1 2 0,0 0 0,0 0 0,-1 0 0,1 0 0,-1 0 0,0 1 0,0 3 0,3 100 0,-20 203 0,16-305 0,-5 25 0,5-29 0,1 1 0,0-1 0,-1 0 0,1 0 0,0 0 0,-1 0 0,1 0 0,-1 1 0,0-1 0,1 0 0,-1 0 0,0-1 0,0 1 0,0 0 0,1 0 0,-1 0 0,0 0 0,0-1 0,0 1 0,-2 1 0,2-2 0,0-1 0,1 1 0,-1 0 0,0 0 0,1 0 0,-1 0 0,0-1 0,1 1 0,-1 0 0,0 0 0,1-1 0,-1 1 0,1 0 0,-1-1 0,1 1 0,-1-1 0,1 1 0,-1-1 0,1 1 0,-1-1 0,1 1 0,-1-1 0,1 0 0,0 1 0,-1-1 0,1 0 0,0 1 0,0-1 0,-1-1 0,-5-20 0,6 21 0,-3-14-80,2-1 0,0 0-1,0 1 1,2-1 0,0 0-1,1 0 1,0 0 0,1 1-1,1 0 1,1-1 0,0 1 0,1 1-1,0 0 1,1-1 0,1 1-1,12-15 1,7-11-6746</inkml:trace>
  <inkml:trace contextRef="#ctx0" brushRef="#br0" timeOffset="34585.74">1359 2001 24575,'-17'-7'0,"17"7"0,10 1 0,11 0 0,0-1 0,0-1 0,0 0 0,-1-2 0,1-1 0,-1 0 0,30-11 0,-49 15 0,-1-1 0,1 1 0,0 0 0,-1 0 0,1-1 0,-1 1 0,1 0 0,0-1 0,-1 1 0,1 0 0,-1-1 0,1 1 0,-1-1 0,1 1 0,-1-1 0,0 1 0,1-1 0,-1 1 0,0-1 0,1 1 0,-1-1 0,0 0 0,1 1 0,-1-1 0,0 1 0,0-1 0,0 0 0,0 1 0,0-1 0,0 0 0,0 1 0,0-1 0,0 0 0,0 1 0,0-1 0,0 0 0,0 1 0,0-1 0,-1 1 0,1-1 0,0 0 0,0 1 0,-1-1 0,1 1 0,-1-1 0,1 1 0,0-1 0,-1 1 0,1-1 0,-1 0 0,-5-4 0,1 0 0,-1-1 0,-10-7 0,4 3 0,2-4 0,10 14 0,0 0 0,0 0 0,0 0 0,0-1 0,0 1 0,0 0 0,0 0 0,0 0 0,0 0 0,0-1 0,0 1 0,0 0 0,0 0 0,0 0 0,0 0 0,0-1 0,0 1 0,1 0 0,-1 0 0,0 0 0,0 0 0,0 0 0,0 0 0,0 0 0,1-1 0,-1 1 0,0 0 0,0 0 0,0 0 0,0 0 0,0 0 0,1 0 0,-1 0 0,0 0 0,0 0 0,0 0 0,1 0 0,-1 0 0,0 0 0,0 0 0,0 0 0,1 0 0,1 0 0,0 0 0,0 1 0,0-1 0,1 1 0,-1 0 0,0 0 0,0-1 0,0 1 0,0 1 0,-1-1 0,4 2 0,0 1 10,-2-1 0,1 1 0,0 0 0,-1 0 0,0 0 0,0 0 0,0 1 0,0-1 0,-1 1 0,1-1 0,2 11 0,-4-13-67,-1 1 0,1-1 0,-1 1 0,1 0-1,-1-1 1,0 1 0,0-1 0,-1 1 0,1 0 0,0-1 0,-1 1 0,0-1-1,1 1 1,-1-1 0,0 1 0,0-1 0,-1 1 0,1-1 0,0 0 0,-1-1 0,1 2-1,-1-1 1,0-1 0,0 1 0,-2 2 0,-6 4-6769</inkml:trace>
  <inkml:trace contextRef="#ctx0" brushRef="#br0" timeOffset="35130.94">2197 1775 24575,'-12'154'0,"9"-124"0,1-12 0,-1 15 0,-2 1 0,-11 45 0,14-97 0,4-17 0,14-30 0,3-1 0,32-74 0,-49 137 0,-1-4 0,1 1 0,1 0 0,0 0 0,0 0 0,0 0 0,1 0 0,9-9 0,-13 14 0,1 1 0,-1 0 0,0-1 0,1 1 0,-1 0 0,0-1 0,1 1 0,-1 0 0,1 0 0,-1-1 0,1 1 0,-1 0 0,1 0 0,-1 0 0,1 0 0,-1 0 0,1 0 0,-1 0 0,1 0 0,-1 0 0,1 0 0,-1 0 0,1 0 0,-1 0 0,1 0 0,-1 0 0,1 0 0,-1 0 0,1 1 0,-1-1 0,1 0 0,10 17 0,0 28 0,-10-40 0,32 139 0,-32-141-119,-1-3 65,1 1 0,-1-1-1,0 1 1,1 0 0,-1-1 0,0 1 0,0-1 0,0 1-1,0 0 1,0-1 0,0 1 0,0 0 0,0-1 0,0 1-1,0 0 1,0-1 0,0 1 0,0 0 0,0-1-1,-1 1 1,1 0 0,-1 0 0</inkml:trace>
  <inkml:trace contextRef="#ctx0" brushRef="#br0" timeOffset="35868.78">2096 1929 24575,'-24'-2'0,"42"-2"0,13-3 0,241-59 0,-263 63 0,0 0 0,-1 0 0,11-6 0,-19 9 0,0 0 0,1 0 0,-1 0 0,0 0 0,1 0 0,-1 0 0,0 0 0,0 0 0,1 1 0,-1-1 0,0 0 0,1 0 0,-1 0 0,0 0 0,0 0 0,1 1 0,-1-1 0,0 0 0,0 0 0,1 0 0,-1 1 0,0-1 0,0 0 0,0 0 0,1 1 0,-1-1 0,0 0 0,0 1 0,0-1 0,0 0 0,0 0 0,0 1 0,1-1 0,-1 0 0,0 1 0,5 17 0,-3-11 0,14 34 0,-7-18 0,0-1 0,4 27 0,-12-49 0,-1 1 0,0-1 0,1 0 0,-1 1 0,0-1 0,0 1 0,0-1 0,0 1 0,0-1 0,1 1 0,-1-1 0,0 1 0,0-1 0,0 1 0,0-1 0,-1 0 0,1 1 0,0-1 0,0 1 0,0-1 0,0 1 0,0-1 0,-1 0 0,1 1 0,0-1 0,0 1 0,-1-1 0,1 1 0,0-1 0,-1 0 0,1 1 0,0-1 0,-1 1 0,1-1 0,-1 1 0,0-2 0,0 1 0,1-1 0,-1 1 0,0 0 0,1-1 0,-1 1 0,0-1 0,1 0 0,-1 1 0,1-1 0,-1 1 0,1-1 0,-1 0 0,1 1 0,0-1 0,-1 1 0,1-1 0,0 1 0,-1-1 0,1 0 0,0 0 0,0-1 0,-1-3 0,0 0 0,0 0 0,1 0 0,0 0 0,0-1 0,0 1 0,1 0 0,0 0 0,0 0 0,0 0 0,1 0 0,-1 1 0,1-1 0,0 1 0,0-1 0,1 1 0,0-1 0,0 1 0,0 0 0,0 0 0,0 0 0,6-4 0,-9 7 0,1 0 0,0 1 0,-1 0 0,1-1 0,0 1 0,-1-1 0,1 1 0,0 0 0,0-1 0,-1 1 0,1 0 0,0 0 0,0-1 0,-1 1 0,1 0 0,0 0 0,0 0 0,0 0 0,-1 0 0,1 0 0,0 0 0,0 0 0,0 1 0,-1-1 0,1 0 0,1 1 0,-1 0 0,0 0 0,0 0 0,0 0 0,0 0 0,0 0 0,0 0 0,0 0 0,0 1 0,-1-1 0,1 0 0,-1 1 0,1-1 0,0 3 0,1 6 0,0 0 0,0 0 0,0 13 0,-2-16 0,0-6 0,0-1 0,0 0 0,0 0 0,0 0 0,0 0 0,0 0 0,0 0 0,0 0 0,0 0 0,0 0 0,0 0 0,0 1 0,1-1 0,-1 0 0,0 0 0,0 0 0,0 0 0,0 0 0,0 0 0,0 0 0,0 0 0,0 0 0,0 0 0,0 0 0,0 0 0,0 0 0,0 0 0,0 0 0,1 0 0,-1 0 0,0 1 0,0-1 0,0 0 0,0 0 0,0 0 0,0 0 0,0 0 0,0 0 0,0 0 0,0 0 0,1 0 0,-1 0 0,0 0 0,0 0 0,0-1 0,0 1 0,0 0 0,0 0 0,0 0 0,0 0 0,0 0 0,0 0 0,0 0 0,0 0 0,1 0 0,-1 0 0,0 0 0,7-6 0,8-12 0,-13 15 0,-1 3 0,0-2 0,0 1 0,0-1 0,1 1 0,-1 0 0,1-1 0,-1 1 0,1 0 0,-1 0 0,1 0 0,-1 0 0,1 0 0,0 1 0,0-1 0,-1 0 0,1 1 0,3-1 0,-4 1 0,0 0 0,-1 0 0,1 0 0,-1 0 0,1 0 0,-1 1 0,1-1 0,-1 0 0,1 0 0,-1 1 0,1-1 0,-1 0 0,1 1 0,-1-1 0,1 0 0,-1 1 0,0-1 0,1 1 0,-1-1 0,1 1 0,-1 0 0,1 1 0,0 0 0,0 0 0,-1-1 0,1 1 0,-1 0 0,0-1 0,1 1 0,-1 0 0,0 3 0,0-3-107,0-1 61,-1 0-1,1 0 0,0 0 1,0 0-1,0 0 1,0 0-1,0 0 0,0 0 1,0 0-1,1 0 1,-1 0-1,0 0 0,1 0 1,-1 0-1,0 0 1,1 0-1,-1-1 0,1 1 1,-1 0-1,1 0 1,0 0-1,-1-1 0,1 1 1,0 0-1,-1-1 1,2 2-1</inkml:trace>
  <inkml:trace contextRef="#ctx0" brushRef="#br0" timeOffset="36149.11">2705 1938 24575,'-1'0'0,"0"2"0,0-1 0,0 0 0,0 0 0,1 1 0,-1-1 0,1 1 0,-1-1 0,1 1 0,-1-1 0,1 1 0,0-1 0,0 1 0,0-1 0,0 1 0,0-1 0,0 1 0,0-1 0,0 1 0,1-1 0,-1 1 0,1-1 0,-1 1 0,1-1 0,-1 0 0,1 1 0,0-1 0,-1 0 0,1 1 0,0-1 0,0 0 0,0 0 0,0 0 0,0 0 0,1 0 0,-1 0 0,0 0 0,0 0 0,1 0 0,-1-1 0,0 1 0,4 0 0,-3 0 0,1 0 0,0 0 0,-1-1 0,1 1 0,0-1 0,0 0 0,0 0 0,-1 0 0,1 0 0,0-1 0,0 1 0,-1-1 0,1 0 0,5-1 0,-7 1 0,0 0 0,0 1 0,0-1 0,0 0 0,0 0 0,0 0 0,0 0 0,0 0 0,0 0 0,0 0 0,-1 0 0,1 0 0,0 0 0,-1 0 0,1-1 0,-1 1 0,1 0 0,-1 0 0,1-1 0,-1 1 0,0 0 0,0-1 0,0 1 0,0 0 0,0-1 0,0 1 0,0 0 0,0-1 0,0 1 0,0 0 0,-1-1 0,0-1 0,0 1-72,1 1 1,-1-1-1,0 1 0,0-1 0,1 1 0,-1 0 0,0-1 0,0 1 1,0 1-1,-1-1 0,1-1 0,0 1 0,0 0 0,-1 0 0,1 0 1,0 1-1,-1-1 0,-1-1 0,-5 0-6754</inkml:trace>
  <inkml:trace contextRef="#ctx0" brushRef="#br0" timeOffset="37027.65">2865 1924 24575,'0'6'0,"-1"0"0,1 0 0,0 0 0,0 0 0,3 11 0,-3-16 0,0 0 0,0 0 0,0-1 0,1 1 0,-1 0 0,0-1 0,0 1 0,1 0 0,-1-1 0,1 1 0,-1 0 0,0-1 0,1 1 0,-1-1 0,1 1 0,0 0 0,-1-1 0,1 0 0,-1 1 0,1-1 0,0 1 0,-1-1 0,1 0 0,0 1 0,-1-1 0,1 0 0,0 0 0,0 1 0,-1-1 0,1 0 0,0 0 0,0 0 0,-1 0 0,1 0 0,0 0 0,0 0 0,-1 0 0,1-1 0,0 1 0,0 0 0,-1 0 0,1-1 0,0 1 0,-1 0 0,1-1 0,0 1 0,-1-1 0,1 1 0,-1 0 0,1-1 0,0 0 0,0 0 0,1-1 0,0 0 0,0 0 0,0 0 0,0 0 0,0 0 0,0-1 0,-1 1 0,1-1 0,-1 1 0,0-1 0,2-4 0,11-17 0,-13 23 0,0 0 0,0 0 0,0 0 0,1 0 0,-1 0 0,0 0 0,0 1 0,0-1 0,1 1 0,-1-1 0,0 1 0,1-1 0,-1 1 0,1 0 0,-1-1 0,0 1 0,1 0 0,-1 0 0,3 0 0,-1 1 0,0-1 0,1 1 0,-1-1 0,0 1 0,0 0 0,0 0 0,0 1 0,1-1 0,-1 0 0,-1 1 0,1 0 0,0 0 0,0 0 0,-1 0 0,1 0 0,-1 1 0,0-2 0,1 2 0,-1-1 0,0 1 0,-1 0 0,1 0 0,0 0 0,-1 0 0,0 0 0,1 0 0,-1 0 0,1 6 0,-2-9 0,0 1 0,0 0 0,0-1 0,0 1 0,0-1 0,0 1 0,0 0 0,0-1 0,0 1 0,-1-1 0,1 1 0,0 0 0,0-1 0,0 1 0,-1-1 0,1 1 0,0-1 0,-1 1 0,1-1 0,0 1 0,-1-1 0,1 1 0,-1-1 0,1 1 0,-1-1 0,1 0 0,-1 1 0,1-1 0,-1 0 0,1 1 0,-1-1 0,1 0 0,-1 0 0,0 0 0,1 1 0,-1-1 0,1 0 0,-1 0 0,0 0 0,0 0 0,0 0 0,1 0 0,-1-1 0,1 1 0,-1 0 0,0 0 0,1-1 0,-1 1 0,1 0 0,-1-1 0,1 1 0,-1 0 0,1-1 0,-1 1 0,1-1 0,0 1 0,-1-1 0,1 1 0,0-1 0,-1 1 0,1-1 0,0 0 0,-1 1 0,1-1 0,0 1 0,0-1 0,0 0 0,0 1 0,0-1 0,0 1 0,0-1 0,0 0 0,0 1 0,0-1 0,0 0 0,0 1 0,0-1 0,0 1 0,0-1 0,1 0 0,-1 1 0,0-1 0,1 0 0,1-4 0,0 1 0,0-1 0,0 1 0,0-1 0,1 1 0,0 0 0,0 1 0,0-1 0,1 0 0,-1 1 0,1 0 0,0-1 0,0 1 0,0 0 0,0 1 0,7-4 0,-10 6 0,0 0 0,-1 0 0,1 0 0,0 0 0,0 0 0,0 0 0,0 0 0,-1 0 0,1 0 0,0 0 0,0 1 0,0-1 0,-1 0 0,1 1 0,0-1 0,0 1 0,-1-1 0,1 1 0,0-1 0,-1 1 0,1-1 0,-1 1 0,1-1 0,0 2 0,16 23 0,-7-10 0,-8-13 0,-1-1 0,0 1 0,0-1 0,1 0 0,-1 1 0,1-1 0,-1 0 0,1 0 0,0 0 0,-1 0 0,1-1 0,0 1 0,0 0 0,0-1 0,-1 1 0,0-1 0,1 1 0,0-1 0,0 0 0,0 0 0,0 0 0,2 0 0,-3-1 0,1 0 0,-1 1 0,1-1 0,-1 0 0,0 0 0,1 0 0,-1 0 0,0 0 0,0 0 0,1 0 0,-1 0 0,0-1 0,0 1 0,0 0 0,-1-1 0,1 1 0,0 0 0,0-1 0,-1 1 0,1-1 0,-1 0 0,0 1 0,1-1 0,-1 1 0,0-1 0,0-1 0,4-45 0,-3 33 0,0 1 0,1-1 0,6-23 0,-6 52 0,-3 17 0,-10 66 0,10-93 89,1-6-1543,0-4-5372</inkml:trace>
  <inkml:trace contextRef="#ctx0" brushRef="#br0" timeOffset="37264.41">3161 1838 24575,'-2'0'0,"-1"1"0,0 2 0,4 0 0,5 0 0,5-1 0,7-2 0,6-2 0,1-1 0,0 0 0,-4 0 0,-7 1 0,-9 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6:51.844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67 340 24575,'0'0'0,"-1"1"0,1-1 0,0 0 0,0 0 0,0 0 0,-1 1 0,1-1 0,0 0 0,0 1 0,0-1 0,0 0 0,0 0 0,0 1 0,0-1 0,-1 0 0,1 1 0,0-1 0,0 0 0,0 1 0,0-1 0,0 0 0,0 0 0,1 1 0,-1-1 0,0 0 0,0 1 0,0-1 0,0 0 0,0 1 0,0-1 0,0 0 0,1 1 0,-1-1 0,0 0 0,0 0 0,0 0 0,0 0 0,0 1 0,0-1 0,0 0 0,1 0 0,-1 0 0,0 0 0,0 0 0,0 1 0,0-1 0,1 0 0,-1 0 0,0 0 0,0 0 0,0 0 0,0 0 0,1 0 0,-1 0 0,0 0 0,0 0 0,0 0 0,1 0 0,-1 0 0,0 0 0,0 0 0,0 0 0,1 0 0,-1 0 0,0 0 0,0 0 0,0 0 0,1 0 0,-1 0 0,0 0 0,0 0 0,0 0 0,1 0 0,-1-1 0,0 1 0,0 0 0,0 0 0,0 0 0,0 0 0,1 0 0,-1-1 0,0 1 0,0 0 0,0 0 0,0 0 0,0 0 0,0-1 0,0 1 0,0 0 0,0 0 0,1 0 0,-1-1 0,0 1 0,2-4 0,0-1 0,1 1 0,-2 0 0,1-1 0,0 0 0,-1 1 0,0-1 0,0 0 0,1-9 0,-1-45 0,-1 58 0,-2-24 0,-1 0 0,-2 0 0,0 0 0,-15-42 0,28 131 0,-5-50 0,161 686 0,-158-681 0,34 101 0,-34-104 0,1 0 0,1-1 0,0 0 0,1 0 0,12 14 0,-19-27 0,-1-1 0,1 1 0,-1-1 0,1 1 0,-1-1 0,1 1 0,0-1 0,0 0 0,0 0 0,-1 0 0,1 0 0,0 0 0,1 0 0,1 0 0,-3-1 0,0 0 0,0 0 0,0 0 0,0 0 0,0 0 0,0 0 0,0-1 0,0 1 0,0 0 0,0-1 0,0 1 0,0-1 0,0 1 0,0-1 0,-1 1 0,1-1 0,0 0 0,0 1 0,-1-1 0,1 0 0,0 0 0,-1 1 0,1-1 0,-1 0 0,1 0 0,-1 0 0,1 0 0,-1 0 0,1 0 0,-1-2 0,3-7 0,0 0 0,0 0 0,-2-1 0,1 1 0,-1-1 0,-1 1 0,0-1 0,0 1 0,-1-1 0,-4-16 0,1 8 0,0 0 0,-2 1 0,-1 0 0,0 0 0,-10-17 0,8 20 0,0 0 0,-1 1 0,-1 1 0,0-1 0,0 2 0,-2-1 0,-16-12 0,23 20 0,-2 0 0,1 0 0,0 0 0,-1 1 0,0 0 0,0 0 0,0 1 0,-1 0 0,1 0 0,-1 1 0,1 0 0,-1 1 0,0 0 0,0 0 0,-17 1 0,21 1 0,-1 1 0,1-1 0,-1 1 0,1 0 0,-1 0 0,1 1 0,0-1 0,0 1 0,0 0 0,-8 8 0,9-8 0,1 0 0,0 0 0,0 0 0,0 0 0,1 0 0,-1 1 0,1 0 0,0-1 0,0 1 0,0 0 0,0 0 0,1 0 0,-1 0 0,1 0 0,-1 6 0,2-9-76,0-1 1,0 1-1,0 0 0,0 0 0,0 0 0,0 0 0,0 0 0,0 0 1,1 0-1,-1-1 0,0 1 0,0 0 0,1 0 0,-1 0 1,0 0-1,1-1 0,0 2 0</inkml:trace>
  <inkml:trace contextRef="#ctx0" brushRef="#br0" timeOffset="1023.93">236 189 24575,'27'47'0,"-22"-40"0,-1-1 0,1 1 0,-1-1 0,2 0 0,-1 0 0,1 0 0,0-1 0,9 7 0,-14-12 0,-1 1 0,1-1 0,0 1 0,0-1 0,0 0 0,0 0 0,-1 0 0,1 1 0,0-1 0,0 0 0,0 0 0,0 0 0,0 0 0,0 0 0,0 0 0,-1-1 0,1 1 0,0 0 0,0 0 0,0-1 0,0 1 0,-1 0 0,1-1 0,1 0 0,0 0 0,-1-1 0,1 0 0,0 1 0,-1-1 0,0 0 0,1 0 0,-1 0 0,0 0 0,2-3 0,1-6 0,-1 0 0,0 0 0,2-12 0,-4 18 0,6-38 0,2-82 0,10 325 0,-18-180 0,0-11 0,0 0 0,-1 0 0,0 0 0,0 1 0,-1-1 0,-3 13 0,4-21 0,1-1 0,-1 0 0,-1 1 0,1-1 0,0 1 0,0-1 0,0 0 0,0 1 0,0-1 0,0 0 0,0 0 0,0 1 0,0-1 0,-1 0 0,1 1 0,0-1 0,0 0 0,-1 1 0,1-1 0,0 0 0,0 0 0,-1 0 0,1 1 0,0-1 0,0 0 0,-1 0 0,1 0 0,0 1 0,-1-1 0,1 0 0,0 0 0,-1 0 0,1 0 0,0 0 0,-1 0 0,1 0 0,0 0 0,-1 0 0,-6-11 0,7 10 0,0 1 0,0-1 0,-1 1 0,1-1 0,0 1 0,0-1 0,0 1 0,0-1 0,0 1 0,0-1 0,0 1 0,0-1 0,0 1 0,0-1 0,0 0 0,0 1 0,0-1 0,0 1 0,1-1 0,-1 1 0,0-1 0,0 1 0,1-1 0,-1 1 0,0 0 0,0-1 0,1 1 0,-1-1 0,1 1 0,-1 0 0,0-1 0,1 1 0,-1 0 0,1-1 0,-1 1 0,1 0 0,-1 0 0,1-1 0,-1 1 0,1 0 0,-1 0 0,1 0 0,-1 0 0,1 0 0,-1 0 0,1 0 0,-1 0 0,1 0 0,-1 0 0,1 0 0,0 0 0,-1 0 0,1 0 0,-1 0 0,1 0 0,-1 1 0,1-1 0,-1 0 0,1 0 0,0 1 0,2 1 0,0 0 0,0 0 0,-1 0 0,1 0 0,0 1 0,-1-1 0,1 1 0,-1-1 0,0 1 0,0 0 0,2 4 0,19 39 0,-15-30 0,59 144 0,-38-85 0,-18-57-1365</inkml:trace>
  <inkml:trace contextRef="#ctx0" brushRef="#br0" timeOffset="1697.47">438 1165 24575,'3'-1'0,"0"-1"0,0 1 0,1 0 0,-2-1 0,1 0 0,0 0 0,0 0 0,3-3 0,34-29 0,-25 21 0,151-119 0,-128 105 0,1 2 0,65-32 0,-87 51 120,-10 5-321,-6 6-1083,-6 1-5542</inkml:trace>
  <inkml:trace contextRef="#ctx0" brushRef="#br0" timeOffset="2040.88">456 1321 24575,'-9'7'0,"10"-14"0,15-16 0,31-21 0,1 1 0,84-54 0,116-57 0,-222 140 0,-16 9 0,-1 0 0,0 0 0,14-11 0,-23 15-76,1 0 1,0 0-1,0 1 0,0-1 0,-1 0 0,1 0 0,0 0 0,-1 0 1,1 0-1,-1 0 0,1 0 0,-1 0 0,0 0 0,1 0 1,-1 0-1,0 0 0,0-2 0,0-5-6750</inkml:trace>
  <inkml:trace contextRef="#ctx0" brushRef="#br0" timeOffset="2366.21">1061 221 24575,'0'-2'0,"3"-2"0,3-3 0,5-2 0,4-3 0,1 1 0,1-1 0,-2 3 0,-1 1 0,-2 1 0,-3 4 0</inkml:trace>
  <inkml:trace contextRef="#ctx0" brushRef="#br0" timeOffset="2647.8">1148 248 24575,'-1'0'0,"-2"2"0,3 0 0,3-3 0,4-5 0,3-3 0,4-4 0,0-1 0,2-1 0,-1 2 0,-2 0 0,-4 3 0,-6 4 0</inkml:trace>
  <inkml:trace contextRef="#ctx0" brushRef="#br0" timeOffset="3040.86">1111 38 24575,'0'0'0,"0"0"0,0 0 0,0 0 0,-1-1 0,1 1 0,0 0 0,0 0 0,0 0 0,0 0 0,-1 0 0,1 0 0,0 0 0,0-1 0,0 1 0,0 0 0,0 0 0,0 0 0,-1 0 0,1 0 0,0-1 0,0 1 0,0 0 0,0 0 0,0 0 0,0-1 0,0 1 0,0 0 0,0 0 0,0 0 0,0 0 0,0-1 0,0 1 0,0 0 0,0 0 0,0 0 0,0-1 0,0 1 0,0 0 0,0 0 0,0 0 0,0 0 0,1-1 0,-1 1 0,0 0 0,0 0 0,0 0 0,0 0 0,0 0 0,0-1 0,1 1 0,-1 0 0,0 0 0,0 0 0,0 0 0,0 0 0,1 0 0,7-10 0,-2 7 0,-1 0 0,1 1 0,0-1 0,0 1 0,1 1 0,-1-1 0,0 1 0,1 0 0,-1 0 0,0 1 0,1 0 0,-1 0 0,1 0 0,-1 1 0,0 0 0,1 0 0,-1 1 0,9 3 0,-5-2 0,-1 1 0,0 0 0,1 0 0,-2 1 0,1 1 0,-1-1 0,1 1 0,-1 1 0,-1-1 0,0 1 0,7 9 0,-6-6 0,-2 1 0,1 0 0,-2 1 0,1-1 0,-2 1 0,0 0 0,0 0 0,-1 1 0,0-1 0,1 18 0,-2-7 0,-1 1 0,-1-1 0,-1 1 0,-8 39 0,6-52-1365,0-4-5461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7:11.431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115 1392 24575,'-18'28'0,"18"-25"0,-1 1 0,1-1 0,0 1 0,0-1 0,0 0 0,0 0 0,1 0 0,0 1 0,-1-1 0,1 0 0,0 0 0,1 1 0,-1-1 0,0 0 0,1 0 0,0 0 0,0 0 0,0 0 0,0-1 0,3 4 0,-2-2 0,0-1 0,0 0 0,1 0 0,-1 0 0,1 0 0,0 0 0,-1-1 0,1 0 0,0 0 0,1 0 0,-1 0 0,0-1 0,0 0 0,9 2 0,-11-3 0,0-1 0,0 1 0,1-1 0,-1 1 0,0-1 0,0 0 0,0 1 0,0-1 0,0 1 0,0-1 0,0-1 0,-1 1 0,1 0 0,0-1 0,-1 1 0,1-1 0,-1 1 0,1-1 0,-1 0 0,0 0 0,1 1 0,-1-1 0,0 0 0,1-2 0,4-9 0,-1 1 0,7-21 0,-9 25 0,4-13 0,-1-1 0,-1 1 0,-1-1 0,0 0 0,-2-1 0,-1-42 0,-2 54 0,0 1 0,0 1 0,-1-2 0,0 1 0,-1 0 0,0 1 0,-1-1 0,0 0 0,-1 1 0,1 1 0,-2-1 0,1 0 0,-1 1 0,-1-1 0,1 2 0,-2-1 0,-9-9 0,14 15 0,0 0 0,0 0 0,0 1 0,0-1 0,0 0 0,0 0 0,0 1 0,0 0 0,-1 0 0,1-1 0,-1 2 0,1-1 0,-1 0 0,1 1 0,-1 0 0,1 0 0,-1 0 0,1 0 0,-1 0 0,1 1 0,-1-1 0,1 1 0,-1 0 0,1 0 0,0 0 0,-1 1 0,1-1 0,0 1 0,0 0 0,0 0 0,0-1 0,-3 4 0,-1 2 0,0 0 0,0 0 0,1 1 0,0 0 0,0 0 0,1 0 0,0 1 0,1 0 0,-1-1 0,-3 14 0,3-4 0,0 0 0,1-1 0,1 1 0,1 1 0,1-1 0,2 34 0,-1-42 0,1 0 0,1 0 0,-1-1 0,2 0 0,0 1 0,0-1 0,0 0 0,1 0 0,0 0 0,1 0 0,0-1 0,1 1 0,0-2 0,9 11 0,-12-15 0,-1-1 0,1 0 0,0 1 0,0-1 0,0 0 0,0-1 0,0 1 0,0 0 0,1-1 0,-1 0 0,0 0 0,1 0 0,-1 0 0,1 0 0,-1-1 0,1 1 0,4-1 0,-2-1 0,-1 0 0,0 0 0,0 0 0,1 0 0,-1-1 0,0 0 0,0 0 0,-1-1 0,1 1 0,6-5 0,5-5 0,-1-1 0,0 0 0,-2-1 0,1 0 0,11-18 0,-15 19 0,0 0 0,-1-1 0,-1-1 0,0 1 0,-1 0 0,10-31 0,-15 40 0,-1 0 0,0-1 0,0 1 0,0-1 0,-1 1 0,1 0 0,-1-1 0,-1 1 0,1-1 0,-1 1 0,0-1 0,0 1 0,-1 0 0,1-1 0,-1 1 0,0 0 0,-1 0 0,1 0 0,-1 0 0,0 1 0,0 0 0,-1 0 0,-7-9 0,5 8 0,0-1 0,-1 1 0,0 1 0,0-1 0,0 1 0,0 0 0,-1 1 0,-10-4 0,16 6 0,0 1 0,0-1 0,0 1 0,0-1 0,0 1 0,-1 0 0,1-1 0,0 1 0,0 0 0,0 0 0,0 1 0,-1-1 0,1 0 0,0 1 0,0 0 0,0-1 0,0 1 0,0 0 0,0 0 0,0 0 0,0 0 0,1 0 0,-1 0 0,0 1 0,0-1 0,1 1 0,-1-1 0,1 1 0,0 0 0,-1-1 0,1 1 0,0 0 0,0 0 0,0 0 0,0 0 0,0 2 0,-2 4 0,0 1 0,1-1 0,0 0 0,1 1 0,0-1 0,0 1 0,1 0 0,0 0 0,1-1 0,0 1 0,0 0 0,1-2 0,0 2 0,0-1 0,1 1 0,0-1 0,1 0 0,-1 0 0,7 9 0,3 1 0,1 1 0,0-1 0,1 0 0,1-2 0,1-1 0,20 17 0,-34-30 1,-1 1 0,1-1 0,-1 1 1,1-1-1,-1 1 0,0 0 0,0 0 0,0 0 0,-1 0 0,1 0 0,-1-1 0,1 2 0,0 2 0,-1 2-10,1 1 0,-2-1 0,1 16 0,1 14-1335</inkml:trace>
  <inkml:trace contextRef="#ctx0" brushRef="#br0" timeOffset="328.74">495 949 24575,'0'-1'0,"0"1"0,0-1 0,-1 1 0,1-1 0,0 1 0,0 0 0,-1-1 0,1 1 0,-1-1 0,1 1 0,0 0 0,-1-1 0,1 1 0,-1 0 0,1-1 0,0 1 0,-1 0 0,1 0 0,-1-1 0,1 1 0,-1 0 0,0 0 0,-4 8 0,4 22 0,1-27 0,5 89 0,22 111 0,-11-95 0,-2-15-1365,-15-105-5461</inkml:trace>
  <inkml:trace contextRef="#ctx0" brushRef="#br0" timeOffset="517.75">431 1319 24575,'2'-1'0,"1"-1"0,3-3 0,3-1 0,2 0 0,1-2 0,0 1 0,-1-1 0,1 2 0,-2 1-8191</inkml:trace>
  <inkml:trace contextRef="#ctx0" brushRef="#br0" timeOffset="829.65">555 1252 24575,'1'-1'0,"0"0"0,1 0 0,-1 0 0,1 1 0,-1-1 0,1 0 0,-1 1 0,1-1 0,-1 1 0,1 0 0,0-1 0,-1 1 0,1 0 0,-1 0 0,1 0 0,0 0 0,-1 0 0,1 1 0,-1-1 0,1 0 0,0 1 0,1 0 0,0 1 0,0 0 0,-1-1 0,1 1 0,-1 0 0,1 0 0,-1 0 0,0 1 0,0-1 0,0 0 0,0 1 0,1 3 0,1 0 0,-1-1 0,0 0 0,-1 1 0,0 0 0,0 1 0,0-1 0,0 0 0,-1 1 0,0-1 0,0 13 0,-5-8 0,-3-11 0,6 0 0,0-1 0,1 1 0,-1-1 0,0 0 0,0 0 0,1 0 0,-1 0 0,0 0 0,1 0 0,-1 0 0,1 0 0,-1 0 0,1 0 0,-1 0 0,1 0 0,0-2 0,-2-9 0,0 1 0,2-1 0,-1 0 0,2-11 0,0 19 0,-1 0 0,0 1 0,1-1 0,-1 1 0,1 0 0,0-1 0,0 1 0,1-1 0,-1 1 0,1 0 0,-1 0 0,1 0 0,0 0 0,0 0 0,1 0 0,-1 1 0,0-1 0,4-2 0,-4 4-91,1 0 0,-1 0 0,0 0 0,1 1 0,-1-1 0,1 1 0,-1-1 0,0 1 0,0 0 0,0 0 0,1 0 0,-1 0 0,1 0 0,4 2 0,2 0-6735</inkml:trace>
  <inkml:trace contextRef="#ctx0" brushRef="#br0" timeOffset="1362.54">1030 1202 24575,'-2'1'0,"2"-1"0,5-4 0,4 0 0,2 0 0,1 1 0,-2 4 0,-2 1-8191</inkml:trace>
  <inkml:trace contextRef="#ctx0" brushRef="#br0" timeOffset="1517.42">1053 1284 24575,'0'1'0,"0"1"0,1 1 0,5 0 0,4-4 0,3-4 0,1-2 0,0-3 0,-1 0 0,-5 0 0,-2 1-8191</inkml:trace>
  <inkml:trace contextRef="#ctx0" brushRef="#br0" timeOffset="1844.59">1030 1107 24575,'40'-6'0,"-30"6"0,0 1 0,0 0 0,-1 1 0,1 0 0,-1 1 0,1 0 0,-1 1 0,0-1 0,0 2 0,0-1 0,-1 0 0,0 2 0,0-1 0,0 1 0,-1 1 0,1-1 0,8 12 0,-11-11 0,0-1 0,0 1 0,-1 0 0,0-1 0,0 1 0,-1 1 0,0-1 0,0 1 0,-1 0 0,0 0 0,0 0 0,-1 0 0,0 0 0,-1-1 0,1 1 0,-1 0 0,-1 0 0,0 0 0,0 0 0,0 0 0,-5 13 0,5-18-113,1-1 30,-1-1-1,1 0 1,-1 1-1,0 0 1,1-1-1,-1 1 1,0-1-1,0 1 1,0-1-1,0 1 1,0-1-1,0 1 1,0-1-1,-3 2 1</inkml:trace>
  <inkml:trace contextRef="#ctx0" brushRef="#br0" timeOffset="2964.65">1543 998 24575,'-2'-1'0,"0"-1"0,0 0 0,0 0 0,0 0 0,0 0 0,0 0 0,1 0 0,-1-1 0,1 1 0,-1 0 0,1 0 0,0 0 0,0-1 0,-1-4 0,1 5 0,1 0 0,0 1 0,0-1 0,0 0 0,0 1 0,1-1 0,-1 0 0,0 0 0,1 1 0,-1-1 0,1 1 0,0-1 0,-1 0 0,1 1 0,0-1 0,0 1 0,0 0 0,0-1 0,0 1 0,0 0 0,1 0 0,-1-1 0,0 1 0,0 0 0,3-1 0,-3 1 0,0 0 0,0 0 0,1 0 0,-1 1 0,0-1 0,0 0 0,1 0 0,-1 1 0,1-1 0,-1 1 0,1-1 0,-1 1 0,1 0 0,-1 0 0,1 0 0,-1-1 0,1 1 0,-1 0 0,1 1 0,-1-1 0,1 0 0,-1 0 0,2 1 0,-1 0 0,-1 0 0,1 0 0,-1 1 0,0-1 0,1 0 0,-1 1 0,0-1 0,0 1 0,0-1 0,0 1 0,0-1 0,0 1 0,0 0 0,0 0 0,0 2 0,2 6 0,-1-1 0,-1 1 0,1-2 0,-1 2 0,-1 17 0,-1-22 0,1 1 0,-1-1 0,0 0 0,0 0 0,-2 6 0,5-11 0,0-1 0,1 1 0,0 0 0,-1-1 0,1 1 0,-1 0 0,1 1 0,-1-1 0,1 0 0,-1 1 0,1-1 0,-1 1 0,5 1 0,-4 0 0,-1 0 0,1 0 0,-1 0 0,0 1 0,0-1 0,0 1 0,0-1 0,-1 1 0,1 0 0,-1 0 0,1 0 0,-1 0 0,0 0 0,0 0 0,0 0 0,-1 0 0,1 0 0,-1 0 0,1 5 0,-1-6 0,0 1 0,-1-1 0,1 1 0,0-1 0,-1 1 0,0-1 0,1 0 0,-1 0 0,0 1 0,0-1 0,0 0 0,-1 1 0,1-1 0,0 0 0,-1 0 0,0 0 0,1 0 0,-1 0 0,0-1 0,0 1 0,0-1 0,0 1 0,0-1 0,-3 2 0,0 0 15,-1-1 0,1 0 0,-1 0 0,1-1 0,-1 1 0,0-1 0,-11 1 0,16-2-26,0 0 0,-1-1-1,1 1 1,0 0 0,0 0 0,0 0 0,0-1 0,-1 1-1,1-1 1,0 1 0,0-1 0,0 1 0,0-1 0,0 1-1,0-1 1,0 0 0,-1-1 0,1 0-57,0 1 1,0 0-1,1-1 1,-1 1-1,1 0 0,-1-1 1,1 1-1,0-1 1,-1 1-1,1-1 1,0 1-1,0-1 0,0 1 1,0-1-1,0 1 1,1-1-1,-1 1 1,1-3-1,2-7-6758</inkml:trace>
  <inkml:trace contextRef="#ctx0" brushRef="#br0" timeOffset="3610.22">1713 989 24575,'0'0'0,"0"0"0,0-1 0,0 1 0,0 0 0,0 0 0,0-1 0,-1 1 0,1 0 0,0 0 0,0 0 0,0-1 0,1 1 0,-1 0 0,0 0 0,0-1 0,0 1 0,0 0 0,0 0 0,0 0 0,0-1 0,0 1 0,0 0 0,0 0 0,1 0 0,-1-1 0,0 1 0,0 0 0,0 0 0,0 0 0,1 0 0,-1-1 0,0 1 0,0 0 0,0 0 0,1 0 0,-1 0 0,0 0 0,0 0 0,0 0 0,1 0 0,-1 0 0,0 0 0,0 0 0,1 0 0,-1 0 0,0 0 0,0 0 0,1 0 0,12 9 0,10 17 0,2 10 0,-24-33 0,0-1 0,0 0 0,0 0 0,0 0 0,0 0 0,0 1 0,0-1 0,-1 1 0,1-1 0,-1 0 0,0 1 0,0-1 0,1 1 0,-2-1 0,1 5 0,0-7 0,0 0 0,-1 0 0,1 0 0,0 0 0,0 1 0,0-1 0,0 0 0,0 0 0,0 0 0,0 0 0,-1 0 0,1 0 0,0 0 0,0 0 0,0 0 0,0 0 0,0 0 0,-1 0 0,1 0 0,0 0 0,0 0 0,0 0 0,0 0 0,0 0 0,-1 0 0,1 0 0,0 0 0,0 0 0,0 0 0,0 0 0,0 0 0,-1 0 0,1 0 0,0 0 0,0 0 0,0 0 0,0 0 0,0 0 0,0 0 0,-1 0 0,1-1 0,0 1 0,0 0 0,0 0 0,0 0 0,0 0 0,0 0 0,0 0 0,0-1 0,0 1 0,0 0 0,0 0 0,0 0 0,0 0 0,0 0 0,-1-1 0,1 1 0,0 0 0,0 0 0,-4-10 0,1 0 0,0 0 0,1 0 0,0 1 0,1-1 0,1-1 0,-1 1 0,1 0 0,1-1 0,0 1 0,4-14 0,-5 23 0,0 0 0,0 0 0,1 1 0,-1-1 0,1 0 0,-1 0 0,0 0 0,1 0 0,0 0 0,-1 1 0,1-1 0,-1 0 0,1 1 0,0-1 0,0 0 0,-1 1 0,1-1 0,0 1 0,0-1 0,0 1 0,0-1 0,0 1 0,-1 0 0,1-1 0,0 1 0,2-1 0,-1 2 0,0-1 0,0 0 0,0 1 0,0-1 0,0 1 0,0-1 0,0 1 0,0 0 0,0 0 0,0 0 0,0 0 0,1 1 0,3 3 0,0 0 0,0-1 0,-1 2 0,0-1 0,0 0 0,5 8 0,3 16 0,-12-28 0,-1 0 0,1 0 0,-1 0 0,0 0 0,1 0 0,-1 1 0,0-1 0,0 0 0,0 0 0,0 0 0,0 0 0,0 0 0,0 0 0,0 0 0,-1 0 0,1 1 0,0-1 0,-1 0 0,1 0 0,-1 0 0,1 0 0,-1 0 0,1-1 0,-1 1 0,-1 2 0,2-3 0,-1 0 0,1 0 0,0 0 0,-1 0 0,1 0 0,0 0 0,0 0 0,-1 0 0,1 0 0,0 0 0,-1 0 0,1-1 0,0 1 0,-1 0 0,1 0 0,0 0 0,0 0 0,-1-1 0,1 1 0,0 0 0,0 0 0,0 0 0,-1-1 0,1 1 0,0 0 0,0 0 0,0-1 0,-1 1 0,1 0 0,0 0 0,0-1 0,0 1 0,0 0 0,0-1 0,0 1 0,0 0 0,0 0 0,0-1 0,-5-13 0,2 2 0,1-1 0,-1-23 0,3 33 0,0-1 0,0 1 0,0-1 0,0 1 0,1 0 0,-1-1 0,1 1 0,0 0 0,0 0 0,0 0 0,0-1 0,1 1 0,-1 0 0,1 0 0,0 1 0,3-5 0,-4 6 0,0 1 0,-1-1 0,1 0 0,0 1 0,0-1 0,0 1 0,0-1 0,0 1 0,0 0 0,0-1 0,0 1 0,0 0 0,0 0 0,0-1 0,0 1 0,0 0 0,0 0 0,0 0 0,0 0 0,0 0 0,0 1 0,0-1 0,1 0 0,1 1 0,-1 0 0,0 1 0,1-1 0,-1 0 0,0 1 0,0-1 0,0 1 0,0 0 0,2 2 0,1 1 0,0 1 0,-1 0 0,0 0 0,0 0 0,6 13 0,1 38-1365</inkml:trace>
  <inkml:trace contextRef="#ctx0" brushRef="#br0" timeOffset="4263.63">2051 949 24575,'0'-3'0,"0"-5"0,0 1 0,-1 0 0,1 0 0,-3-8 0,3 14 0,0 1 0,0-1 0,0 0 0,0 1 0,-1-1 0,1 0 0,0 1 0,0 0 0,-1 0 0,1-1 0,0 0 0,-1 1 0,1-1 0,-1 1 0,1-1 0,0 1 0,-1-1 0,1 1 0,-1-1 0,1 1 0,-1-1 0,0 1 0,1 0 0,-1-1 0,1 1 0,-1 0 0,0 0 0,1-1 0,-1 1 0,0 0 0,1 0 0,-1 0 0,0 0 0,1 0 0,-1 0 0,0 0 0,0 0 0,1 0 0,-1 0 0,0 0 0,1 0 0,-1 1 0,0-1 0,1 0 0,-1 0 0,1 1 0,-1-1 0,0 1 0,1-1 0,-1 0 0,1 1 0,-1-1 0,1 1 0,-1-1 0,1 1 0,-1 0 0,-1 1 0,0-1 0,1 1 0,0 0 0,0 0 0,-1 1 0,1-1 0,0 0 0,0 1 0,0-1 0,0 1 0,0-1 0,1 1 0,-1-1 0,1 1 0,-1 0 0,1-1 0,0 6 0,0-7 0,0 0 0,0 0 0,0 0 0,0 0 0,1 1 0,-1-1 0,0 0 0,0 0 0,1 0 0,-1 0 0,0 0 0,1 0 0,-1 0 0,1-1 0,0 1 0,-1 0 0,1 0 0,0 0 0,-1 0 0,1-1 0,0 1 0,0 0 0,0-1 0,-1 1 0,1 0 0,-1-1 0,1 0 0,0 1 0,0-1 0,0 1 0,0-1 0,1 0 0,-1 0 0,0 1 0,0-1 0,0 0 0,0 0 0,0 0 0,0 0 0,0 0 0,0-1 0,0 1 0,0 0 0,0 0 0,2-1 0,-2 0 0,0 1 0,0-1 0,0 1 0,0-1 0,0 0 0,0 1 0,0-1 0,0 0 0,-1 0 0,1 0 0,0 1 0,0-1 0,-1 0 0,1 0 0,0 0 0,-1 0 0,1 0 0,-1-1 0,1 1 0,-1 0 0,0 0 0,1 0 0,-1 0 0,0 0 0,0-2 0,1-38 0,0 14 0,-1 26 0,0 0 0,0 1 0,0-1 0,0 0 0,0 1 0,0-1 0,0 0 0,0 1 0,0-1 0,1 0 0,-1 1 0,0-1 0,1 0 0,-1 1 0,0-1 0,1 1 0,-1-1 0,1 1 0,-1-1 0,1 1 0,-1-1 0,1 1 0,-1-1 0,1 1 0,-1-1 0,1 1 0,0 0 0,-1 0 0,1-1 0,0 1 0,-1 0 0,1 0 0,0 0 0,-1-1 0,1 1 0,0 0 0,-1 0 0,1 0 0,0 0 0,0 0 0,-1 1 0,1-1 0,0 0 0,-1 0 0,1 0 0,0 0 0,-1 1 0,1-1 0,0 0 0,-1 1 0,1-1 0,-1 1 0,1-1 0,-1 0 0,1 1 0,-1-1 0,1 2 0,3 0 0,-1 1 0,0 0 0,-1 0 0,1 1 0,0-1 0,-1 0 0,0 1 0,3 4 0,2 18 0,-6-25 0,-1 1 0,0-1 0,1 0 0,-1 1 0,0-1 0,0 0 0,0 1 0,0-1 0,0 0 0,-1 1 0,1-1 0,0 0 0,-1 1 0,1-1 0,-1 0 0,1 1 0,-2 0 0,2-2 0,0 1 0,0-1 0,0 0 0,0 0 0,0 0 0,0 0 0,0 0 0,-1 0 0,1 0 0,0 0 0,0 0 0,0 0 0,0 0 0,0 0 0,0 0 0,0 0 0,-1 0 0,1 0 0,0 0 0,0 0 0,0 0 0,0 0 0,0 0 0,0 0 0,0 0 0,0 0 0,-1 0 0,1 0 0,0-1 0,0 1 0,0 0 0,0 0 0,0 0 0,0 0 0,0 0 0,0 0 0,0 0 0,0 0 0,0 0 0,0 0 0,-1-1 0,1 1 0,0 0 0,0 0 0,0 0 0,0 0 0,0 0 0,0 0 0,0-1 0,-3-9 0,0-10 0,3 13 0,0 0 0,0 2 0,1-2 0,0 0 0,1 0 0,2-7 0,-4 13 0,0-1 0,0 1 0,1 0 0,-1 0 0,1 0 0,-1 0 0,1 0 0,-1-1 0,1 1 0,0 0 0,0 0 0,-1 0 0,1 1 0,0-1 0,0 0 0,0 0 0,0 0 0,0 1 0,0-1 0,0 0 0,0 1 0,0-1 0,0 1 0,1-1 0,-1 1 0,0 0 0,0-1 0,0 1 0,1 0 0,-1 0 0,0 0 0,0 0 0,1 0 0,-1 0 0,0 0 0,0 0 0,0 1 0,1-1 0,-1 0 0,0 1 0,2 0 0,0 1 7,-1-1 0,0 1 0,0 0 0,0 0 0,0-1 1,0 1-1,0 1 0,0-1 0,0 0 0,-1 0 0,1 1 0,-1-1 0,0 0 0,0 1 0,0 0 0,2 4 0,4 32-1492,-8-46-5341</inkml:trace>
  <inkml:trace contextRef="#ctx0" brushRef="#br0" timeOffset="4517.84">2243 668 24575,'0'0'0,"0"5"0,0 4 0,0 4 0,4 5 0,2 4 0,4 4 0,3 3 0,0 0 0,-2-3 0,-1-2 0,-2-6 0,-3-4 0,-3-4 0,-5-7 0,-4-7 0,-4-6 0,-1 0-8191</inkml:trace>
  <inkml:trace contextRef="#ctx0" brushRef="#br0" timeOffset="5080.84">2221 763 24575,'0'1'0,"0"-1"0,0 1 0,1-1 0,-1 1 0,1-1 0,-1 1 0,0-1 0,1 0 0,-1 1 0,1-1 0,-1 1 0,1-1 0,-1 0 0,1 1 0,-1-1 0,1 0 0,0 0 0,-1 1 0,1-1 0,-1 0 0,1 0 0,0 0 0,-1 0 0,1 0 0,-1 0 0,1 0 0,0 0 0,-1 0 0,1 0 0,1 0 0,20-3 0,-15 1 0,0 0 0,0-1 0,0 0 0,0 0 0,0 0 0,0-1 0,-1 0 0,11-8 0,-14 10 0,-1-1 0,1 1 0,-1-1 0,0 1 0,0-1 0,0 0 0,0 1 0,-1-1 0,1 0 0,-1 0 0,0-1 0,0 1 0,0 0 0,0 0 0,0 0 0,-1-1 0,1 1 0,-1 0 0,0-1 0,0 1 0,0 0 0,-1-4 0,-3 2 0,0 12 0,-1 14 0,4-5 0,2 1 0,0-1 0,1-1 0,0 1 0,1 1 0,1-2 0,1 1 0,0-1 0,1 0 0,9 16 0,-15-30 0,1 0 0,-1 0 0,0 0 0,1 0 0,0 0 0,-1 0 0,1 0 0,-1 0 0,1 0 0,0 0 0,0-1 0,0 1 0,-1 0 0,1-1 0,1 2 0,-1-2 0,-1 0 0,0 0 0,1 0 0,-1-1 0,0 1 0,1 0 0,-1 0 0,0 0 0,1 0 0,-1 0 0,0 0 0,1-1 0,-1 1 0,0 0 0,0 0 0,1 0 0,-1-1 0,0 1 0,0 0 0,1 0 0,-1-1 0,0 1 0,0 0 0,0-1 0,0 1 0,1 0 0,-1-1 0,0 1 0,0 0 0,0-1 0,7-36 0,-6 31 0,0-5 0,9-43 0,-9 50 0,0 0 0,0 1 0,0 0 0,0-1 0,1 1 0,0 0 0,-1 0 0,1 0 0,0 1 0,1-1 0,-1 0 0,5-4 0,-7 7 0,1-1 0,0 1 0,-1 0 0,1 0 0,0-1 0,-1 1 0,1 0 0,0 0 0,-1 0 0,1 0 0,0 0 0,-1 0 0,1 0 0,0 0 0,-1 0 0,1 0 0,0 1 0,-1-1 0,1 0 0,0 0 0,-1 1 0,1-1 0,0 0 0,-1 1 0,1-1 0,-1 0 0,1 1 0,-1-1 0,1 1 0,-1-1 0,1 1 0,-1-1 0,1 1 0,-1-1 0,1 2 0,13 22 0,-13-23 0,4 9-227,-1 1-1,0 0 1,-1 0-1,0 0 1,3 22-1</inkml:trace>
  <inkml:trace contextRef="#ctx0" brushRef="#br0" timeOffset="5315.46">2610 691 24575,'2'0'0,"4"-2"0,3 0 0,3-2 0,1-1 0,2-2 0,0 1 0,-4 2 0,-6 3 0</inkml:trace>
  <inkml:trace contextRef="#ctx0" brushRef="#br0" timeOffset="5474.5">2656 736 24575,'-2'2'0,"1"0"0,2-1 0,2-1 0,2-1 0,0-4 0,2 0 0,0-4 0,-2 0-8191</inkml:trace>
  <inkml:trace contextRef="#ctx0" brushRef="#br0" timeOffset="5804.55">2816 514 24575,'0'-2'0,"2"0"0,1 3 0,3 2 0,2 6 0,0 4 0,2 4 0,0 3 0,0 0 0,-1 2 0,-1-3 0,0-1 0,-3-5 0,0-2 0,2-5 0,-2-7 0,2-6 0,-2-1-8191</inkml:trace>
  <inkml:trace contextRef="#ctx0" brushRef="#br0" timeOffset="6371.68">3091 432 24575,'0'-11'0,"0"-22"0,0 32 0,0-1 0,0 0 0,0 1 0,-1-1 0,1 0 0,-1 1 0,1-1 0,-1 1 0,1-1 0,-1 1 0,0-1 0,0 1 0,0 0 0,0-1 0,-1 0 0,2 1 0,-1 1 0,1 0 0,0-1 0,-1 1 0,1 0 0,-1 0 0,1-1 0,-1 1 0,1 0 0,-1 0 0,1 0 0,-1 0 0,1 0 0,-1-1 0,1 1 0,-1 0 0,1 0 0,-1 0 0,1 0 0,-1 0 0,1 0 0,-1 1 0,1-1 0,-1 0 0,1 0 0,-1 0 0,1 0 0,-1 1 0,0-1 0,-11 15 0,-3 22 0,11-24 0,1-1 0,0 2 0,0-1 0,2 1 0,-1 26 0,2-37 0,0 0 0,1 0 0,-1 0 0,1 0 0,0 0 0,-1 0 0,1 0 0,1 0 0,-1 0 0,0 0 0,1 0 0,-1-1 0,1 1 0,0-1 0,0 1 0,0-1 0,0 1 0,1-1 0,-1 0 0,0 0 0,1 0 0,0-1 0,-1 1 0,1-1 0,0 1 0,0-1 0,0-1 0,0 1 0,0 0 0,0 0 0,0-1 0,4 1 0,-5 0 0,1-1 0,0 1 0,0-1 0,0 0 0,0 0 0,0 0 0,0 0 0,0-1 0,-1 1 0,1-1 0,0 0 0,0 0 0,0 0 0,-1 0 0,1 1 0,-1-1 0,1-1 0,-1 1 0,1-1 0,-1 0 0,0 0 0,0 1 0,0-2 0,0 1 0,2-2 0,-2 0 0,1-1 0,-1 1 0,-1 0 0,1-1 0,-1 0 0,1 1 0,-1-1 0,0 0 0,-1 1 0,0-1 0,1 0 0,-1 1 0,-1-1 0,0-7 0,-5-19 0,-1 2 0,-2-1 0,0 1 0,-2 1 0,-1-1 0,-17-26 0,28 53 0,0 0 0,0 0 0,0 1 0,0-1 0,0 0 0,-1 1 0,1-1 0,0 1 0,-1-1 0,1 1 0,-1 0 0,0-1 0,1 1 0,-1 0 0,0 0 0,-3-1 0,4 2 0,0 0 0,0 0 0,0 0 0,0 1 0,0-1 0,-1 0 0,1 1 0,0-1 0,0 1 0,0-1 0,0 1 0,0-1 0,1 1 0,-1-1 0,0 1 0,0 0 0,0 0 0,0-1 0,1 1 0,-1 0 0,0 0 0,1 0 0,-1 0 0,1 0 0,-1 0 0,1 0 0,-1 0 0,1 0 0,0 0 0,-1 0 0,1 2 0,-3 4 0,1 1 0,0-1 0,0 0 0,0 1 0,1 0 0,0 0 0,1 0 0,0 0 0,0 0 0,1 0 0,0 0 0,0-1 0,1 0 0,0 1 0,0 0 0,1-1 0,4 10 0,-2-8 0,1 0 0,-1 0 0,2-2 0,-1 1 0,1 0 0,1 0 0,-1-1 0,1 0 0,1-1 0,-1 0 0,1 0 0,16 8 0,-23-13 0,50 21 0,-48-20 0,1-1 0,0 1 0,0-1 0,0 0 0,0 0 0,0 0 0,0-1 0,10 0 0,-9-2-1365</inkml:trace>
  <inkml:trace contextRef="#ctx0" brushRef="#br0" timeOffset="6621.65">3256 184 24575,'0'4'0,"0"3"0,0 5 0,0 6 0,1 6 0,2 3 0,1 4 0,1 2 0,0-3 0,0-3 0,-1-3 0,-1-5 0,-1-4 0,-1-2 0,-1-5-8191</inkml:trace>
  <inkml:trace contextRef="#ctx0" brushRef="#br0" timeOffset="6792.64">3196 424 24575,'0'-1'0,"0"-3"0,2-2 0,2-3 0,2 0 0,4-1 0,2 0 0,2 0 0,1-1 0,-2 3-8191</inkml:trace>
  <inkml:trace contextRef="#ctx0" brushRef="#br0" timeOffset="7169.94">3374 297 24575,'1'3'0,"0"0"0,0 0 0,1 0 0,-1 0 0,1-1 0,-1 1 0,5 4 0,1 4 0,-1-1 0,14 31 0,-18-38 0,-1 0 0,0 0 0,0 0 0,0 0 0,-1 0 0,1 0 0,-1 1 0,1-1 0,-1 0 0,0 0 0,-1 5 0,1-8 0,0 1 0,0-1 0,0 0 0,0 0 0,0 0 0,0 1 0,-1-1 0,1 0 0,0 1 0,0-1 0,0 0 0,0 1 0,-1-1 0,1 0 0,0 1 0,0-1 0,-1 0 0,1 1 0,0-1 0,0 0 0,-1 0 0,1 1 0,0-1 0,-1 0 0,0 0 0,-5-5 0,-2-16 0,7 14 15,1 1 0,0-1 0,1 0 0,0 1 0,0-1 0,0 1 0,3-8 0,-3 11-108,0-1 0,1 1 1,-1 0-1,1 0 0,-1 0 0,1 0 0,0 0 0,0 0 1,1 0-1,-1 1 0,1-1 0,-1 1 0,1-1 1,0 1-1,5-3 0,0 2-6733</inkml:trace>
  <inkml:trace contextRef="#ctx0" brushRef="#br0" timeOffset="9044.34">1708 1446 24575,'0'-2'0,"-1"1"0,2 4 0,4 9 0,2 10 0,4 8 0,1 4 0,-1 5 0,1-2 0,-2-1 0,0-6 0,-2-5 0,0-8 0,-1-4 0,1-6 0,0-3-8191</inkml:trace>
  <inkml:trace contextRef="#ctx0" brushRef="#br0" timeOffset="9590.48">1892 1410 24575,'0'-1'0,"1"1"0,0-1 0,0 0 0,0 1 0,-1-1 0,1 0 0,0 1 0,0-1 0,0 1 0,0 0 0,0-1 0,0 1 0,0 0 0,0-1 0,0 1 0,0 0 0,0 0 0,0 0 0,0 0 0,0 0 0,1 0 0,-1 0 0,0 0 0,0 1 0,1-1 0,-1 1 0,-1 0 0,1-1 0,0 1 0,0 0 0,-1 0 0,1 0 0,-1-1 0,1 1 0,-1 0 0,1 0 0,-1 0 0,1 0 0,-1 0 0,0 0 0,1 0 0,-1 0 0,0 0 0,0 0 0,0 0 0,0 1 0,0 0 0,1 0 0,-1-1 0,0 1 0,0-1 0,0 1 0,-1 0 0,1-1 0,0 1 0,-1-1 0,1 1 0,-1 0 0,1-2 0,-1 2 0,0-1 0,1 0 0,-1 1 0,0-1 0,0 1 0,0-1 0,0 0 0,0 0 0,0 0 0,-1 0 0,1 0 0,0 0 0,-1 0 0,1 0 0,0 0 0,-1 0 0,-1 0 0,2-1 0,0 0 0,0 0 0,0 0 0,0-1 0,0 1 0,0 0 0,0-1 0,0 1 0,0 0 0,1-1 0,-1 1 0,0-1 0,0 1 0,0-1 0,1 0 0,-1 1 0,0-1 0,1 0 0,-1 0 0,1 1 0,-1-1 0,0-1 0,-1-1 0,1 0 0,-1 0 0,1 2 0,0-3 0,0 1 0,0 0 0,0-4 0,0 4 0,1 1 0,0-1 0,-1 1 0,1-1 0,1 1 0,-1 0 0,0-1 0,1 1 0,0-5 0,0 6 0,-1 1 0,0-1 0,0 0 0,1 1 0,-1-1 0,1 0 0,-1 1 0,1-1 0,-1 1 0,1-1 0,-1 0 0,1 1 0,-1-1 0,1 1 0,0 0 0,-1-1 0,1 1 0,0-1 0,-1 1 0,1 0 0,0 0 0,-1-1 0,1 1 0,0 0 0,0 0 0,0 0 0,-1 0 0,2 0 0,2 0 0,-1 1 0,1 0 0,0 0 0,-1 1 0,0-1 0,1 1 0,-1 0 0,0-1 0,0 1 0,0 1 0,0-1 0,0 0 0,0 1 0,-1 0 0,1-1 0,-1 1 0,0 0 0,3 4 0,2 4 0,-1-1 0,0 1 0,0 0 0,4 13 0,-6-13 0,-1 1 0,0-2 0,-1 2 0,0 0 0,0-1 0,-1 22 0,-1-30 0,0 0 0,0 0 0,-1 0 0,1 1 0,-1-1 0,0 0 0,1 1 0,-2-1 0,1 0 0,0 0 0,-1 0 0,1 0 0,-1 0 0,0 0 0,0 0 0,0 0 0,0-1 0,-1 1 0,1-1 0,-1 0 0,1 1 0,-1-1 0,0 0 0,0-1 0,0 1 0,0 0 0,-5 1 0,7-3 0,0 1 0,0-1 0,0 1 0,0-1 0,0 0 0,0 1 0,0-1 0,0 0 0,0 0 0,0 0 0,0 0 0,-1 0 0,1 0 0,0 0 0,0 0 0,0 0 0,0-1 0,0 1 0,0 0 0,0-1 0,0 1 0,0-1 0,0 1 0,0-1 0,0 1 0,1-1 0,-1 0 0,0 1 0,0-1 0,0 0 0,1 0 0,-1 0 0,0 0 0,1 1 0,-1-1 0,1 0 0,-1 0 0,1 0 0,-1 0 0,1 0 0,0 0 0,0 0 0,-1 0 0,1-1 0,0 1 0,0 0 0,0 0 0,0 0 0,0 0 0,0 0 0,1-2 0,-1 0 0,0-1 0,1 0 0,0 0 0,-1 0 0,1 1 0,1-1 0,-1 0 0,0 1 0,1-1 0,0 1 0,0 0 0,0 0 0,5-5 0,-4 5-35,0 1 0,0 0 0,0 0 0,1 0 0,-1 1 0,0-1 0,1 1 0,0 0 0,-1-1 0,1 2 0,0-1 0,0 0 0,-1 1 0,1 0 0,0 0 0,0 0 0,-1 0 0,1 1 0,0-1 0,-1 1 0,0 0 0,1 0 0,0 0 0,-1 1 0,1-1 0,-1 1 0,0 0 0,1 0 0,-1 0 0,0 0 0,0 0 0,0 1 0,-1 0 0,1-1 0,-1 1 0,1-1 0,-1 1 0,3 5 0,-1 2-6791</inkml:trace>
  <inkml:trace contextRef="#ctx0" brushRef="#br0" timeOffset="10155.48">2115 1450 24575,'0'0'0,"0"0"0,0 0 0,0-1 0,0 1 0,0 0 0,1 0 0,-1 0 0,0-1 0,0 1 0,0 0 0,0 0 0,0 0 0,1-1 0,-1 1 0,0 0 0,0 0 0,0 0 0,0 0 0,1 0 0,-1-1 0,0 1 0,0 0 0,1 0 0,-1 0 0,0 0 0,0 0 0,0 0 0,1 0 0,-1 0 0,0 0 0,0 0 0,1 0 0,-1 0 0,0 0 0,0 0 0,1 0 0,-1 0 0,0 0 0,0 0 0,0 0 0,1 0 0,-1 0 0,0 1 0,0-1 0,1 0 0,-1 0 0,0 0 0,0 0 0,0 0 0,0 1 0,1-1 0,-1 0 0,0 0 0,0 1 0,12 8 0,-8-5 0,0 1 0,-1 0 0,0-1 0,0 1 0,-1 1 0,1-1 0,-1 0 0,0 0 0,0 1 0,-1 0 0,0-1 0,0 0 0,1 8 0,-4-9 0,-1-10 0,-2-12 0,4 10 0,1 0 0,0 1 0,0-1 0,0 0 0,1 1 0,1-1 0,1-8 0,-2 14 0,-1 1 0,1 0 0,-1 0 0,1-1 0,-1 1 0,1 0 0,0-1 0,-1 1 0,1-1 0,0 1 0,0 0 0,0 0 0,0 0 0,0 0 0,1 0 0,-1 0 0,0 0 0,0 0 0,1 0 0,-1 0 0,0 0 0,1 1 0,-1-1 0,1 1 0,-1-1 0,1 1 0,-1 0 0,1-1 0,-1 1 0,1 0 0,0 0 0,-1 0 0,1 0 0,-1 0 0,1 0 0,-1 1 0,1-1 0,-1 0 0,1 1 0,-1 0 0,3 0 0,0 2 0,0-1 0,0 1 0,0-1 0,-1 1 0,1 0 0,-1 1 0,0-2 0,0 1 0,4 6 0,-6-7 0,1-1 0,-1 1 0,0 0 0,0 0 0,1 0 0,-1 0 0,0 1 0,-1-1 0,1 0 0,0 0 0,-1 0 0,1 1 0,-1-1 0,0 0 0,1 1 0,-1-1 0,0 0 0,-1 1 0,0 3 0,1-6 0,0 1 0,0-1 0,0 0 0,0 0 0,0 0 0,0 0 0,0 0 0,0 0 0,0 0 0,-1 0 0,1 0 0,0 0 0,0 0 0,0 0 0,0 0 0,0 1 0,0-1 0,-1 0 0,1 0 0,0 0 0,0 0 0,0 0 0,0 0 0,0 0 0,0 0 0,-1 0 0,1 0 0,0-1 0,0 1 0,0 0 0,0 0 0,0 0 0,0 0 0,-1 0 0,1 0 0,0 0 0,0 0 0,0 0 0,0 0 0,0 0 0,0 0 0,0-1 0,0 1 0,0 0 0,0 0 0,-1 0 0,1 0 0,0 0 0,0 0 0,0 0 0,0-1 0,0 1 0,0 0 0,0 0 0,0 0 0,0 0 0,0 0 0,0 0 0,0-1 0,0 1 0,0 0 0,0 0 0,0 0 0,0 0 0,0 0 0,0 0 0,0-1 0,-3-10 0,2 0 0,-1 0 0,2-1 0,0-14 0,0 23 0,0 0 0,0 0 0,1 0 0,-1 1 0,1-1 0,-1 0 0,1 1 0,0-1 0,0 0 0,0 1 0,1-1 0,-1 1 0,0-1 0,1 1 0,0 0 0,-1 0 0,1 0 0,0-1 0,4-2 0,-5 5 0,-1 0 0,1-1 0,0 1 0,-1 0 0,1 0 0,0 0 0,-1-1 0,1 1 0,0 0 0,0 0 0,-1 0 0,1 0 0,0 0 0,-1 0 0,1 0 0,0 0 0,-1 1 0,1-1 0,0 0 0,-1 0 0,1 1 0,0-1 0,-1 0 0,1 1 0,0-1 0,14 18 0,3 26 0,-17-42 0,0 1-105,-1-2 0,1 2 0,0-1 0,0 1 0,0-1 0,1 0 0,-1 1 0,1-1 0,-1 0 0,1 0 0,0 0 0,1 2 0,4 1-6721</inkml:trace>
  <inkml:trace contextRef="#ctx0" brushRef="#br0" timeOffset="10776.84">2445 1382 24575,'0'-2'0,"0"-1"0,-1 0 0,1 0 0,-1 1 0,0-1 0,0 1 0,0 0 0,0-1 0,0 1 0,0-1 0,-1 1 0,1-1 0,-1 1 0,0 0 0,1 0 0,-1 0 0,0 0 0,0 0 0,-1 0 0,1 1 0,-3-3 0,4 4 0,1 0 0,0 0 0,-1 0 0,1 0 0,-1 0 0,1 0 0,0 0 0,-1-1 0,1 2 0,0-1 0,-1 0 0,1 0 0,0 0 0,-1 0 0,1 0 0,-1 0 0,1 0 0,0 0 0,-1 0 0,1 1 0,0-1 0,0 0 0,-1 0 0,1 1 0,0-1 0,-1 0 0,1 0 0,0 1 0,0-1 0,-1 0 0,1 0 0,0 1 0,-6 16 0,4 15 0,3-29 0,-1 1 0,1-1 0,0 1 0,0-1 0,0 0 0,0 1 0,1-1 0,1 3 0,-3-5 0,0-1 0,1 1 0,-1 0 0,0-1 0,1 1 0,-1 0 0,1-1 0,-1 1 0,1 0 0,-1-1 0,1 1 0,0-1 0,-1 1 0,1-1 0,-1 1 0,1-1 0,0 0 0,0 1 0,-1-1 0,1 0 0,0 0 0,-1 1 0,1-1 0,0 0 0,0 0 0,0 0 0,-1 0 0,1 0 0,0 0 0,0 0 0,-1 0 0,1 0 0,0 0 0,0-1 0,0 1 0,-1 0 0,1 0 0,0-1 0,-1 1 0,1 0 0,1-1 0,-1-1 0,0 1 0,0 0 0,0 0 0,-1 0 0,1-1 0,0 1 0,0 0 0,-1-1 0,1 1 0,-1-1 0,1 1 0,-1-1 0,0 1 0,1-1 0,-1 1 0,0-3 0,-1-30 0,1 24 0,0 5 0,0-1 0,0 1 0,0 0 0,1 0 0,2-9 0,-3 14 0,0-1 0,0 0 0,1 1 0,-1-1 0,0 1 0,1-1 0,-1 1 0,0-1 0,1 1 0,-1-1 0,1 1 0,-1-1 0,0 1 0,1-1 0,-1 1 0,1 0 0,0-1 0,-1 1 0,1 0 0,-1-1 0,2 1 0,-1 0 0,0 0 0,0 0 0,0 0 0,0 0 0,0 0 0,0 1 0,0-1 0,0 0 0,0 1 0,0-1 0,0 1 0,0-1 0,0 1 0,0-1 0,0 1 0,-1 0 0,3 1 0,3 3 0,-1 1 0,1 0 0,-1 0 0,6 9 0,5 7 0,-14-51 0,-4 12 0,1-28 0,1 42 0,0 0 0,0 0 0,1 0 0,-1 1 0,1-1 0,0 0 0,0 0 0,0 0 0,0 0 0,0 1 0,4-6 0,-5 8 0,0-1 0,1 1 0,-1-1 0,0 1 0,1 0 0,-1-1 0,1 1 0,-1 0 0,1-1 0,-1 1 0,1 0 0,-1-1 0,1 1 0,-1 0 0,1 0 0,-1 0 0,1-1 0,0 1 0,-1 0 0,1 0 0,-1 0 0,1 0 0,-1 0 0,1 0 0,0 0 0,-1 0 0,1 1 0,15 10 0,8 27 0,-22-34 0,2 3 0,-3-5 0,0 1 0,0-1 0,0 0 0,0 1 0,0-1 0,1 0 0,-1 0 0,1 0 0,-1 0 0,1-1 0,0 1 0,3 3 0,-3-7-1365</inkml:trace>
  <inkml:trace contextRef="#ctx0" brushRef="#br0" timeOffset="10996.42">2633 1180 24575,'-2'-4'0,"0"-4"0,0-2 0,1 2 0,-1 4 0,2 6 0,-1 6 0,3 4 0,0 4 0,1 3 0,1-1 0,2 1 0,1-1 0,1-4 0,-1-3 0,1-4 0,-3-4 0</inkml:trace>
  <inkml:trace contextRef="#ctx0" brushRef="#br0" timeOffset="11189.19">2637 1175 24575,'0'1'0,"2"0"0,3-2 0,4-2 0,2-3 0,2-1 0,-1-3 0,-4 1 0,-2 0-8191</inkml:trace>
  <inkml:trace contextRef="#ctx0" brushRef="#br0" timeOffset="11560.37">2706 1066 24575,'0'0'0,"-1"0"0,1 0 0,-1 0 0,1 0 0,-1 1 0,1-1 0,-1 0 0,1 0 0,-1 0 0,1 1 0,-1-1 0,1 0 0,0 1 0,-1-1 0,1 0 0,-1 1 0,1-1 0,0 1 0,-1-1 0,1 0 0,0 1 0,0-1 0,-1 1 0,1-1 0,0 1 0,0-1 0,-1 1 0,-2 22 0,4-16 0,-1 0 0,1-1 0,0 1 0,3 10 0,0-7 0,0-1 0,0 1 0,1-1 0,0 0 0,1 0 0,0-1 0,8 9 0,-13-17 0,-1 0 0,0 0 0,0 1 0,1-1 0,-1 0 0,0 0 0,0 0 0,1 0 0,-1 0 0,0 1 0,1-1 0,-1 0 0,0 0 0,1 0 0,-1 0 0,0 0 0,1 0 0,-1 0 0,0 0 0,1 0 0,-1 0 0,0 0 0,1 0 0,-1 0 0,0-1 0,1 1 0,-1 0 0,0 0 0,0 0 0,1 0 0,-1 0 0,0-1 0,1 1 0,-1 0 0,0 0 0,0-1 0,1 1 0,-1 0 0,0 0 0,0-1 0,0 1 0,0 0 0,1 0 0,-1-1 0,0 1 0,0 0 0,0-1 0,0 1 0,0 0 0,0-1 0,0 1 0,0 0 0,0-1 0,0 1 0,5-24 0,-4 19 0,0 0 0,0 0 0,0 0 0,1 0 0,0 0 0,3-8 0,-4 13 0,-1-1 0,0 1 0,1-1 0,-1 1 0,0-1 0,1 1 0,-1 0 0,1-1 0,-1 1 0,0-1 0,1 1 0,-1 0 0,1-1 0,-1 1 0,1 0 0,0 0 0,-1-1 0,1 1 0,-1 0 0,1 0 0,-1 0 0,2 0 0,-1 0 0,0 0 0,0 0 0,0 1 0,0-1 0,0 1 0,-1-1 0,1 1 0,0-1 0,0 1 0,0 0 0,-1-1 0,1 1 0,0 0 0,-1 0 0,1-1 0,0 1 0,-1 0 0,1 1 0,10 20 19,-10-19-126,0 0 1,0 0-1,1 0 1,-1 0-1,1-1 1,-1 1 0,1-1-1,0 1 1,0-1-1,0 0 1,0 0-1,3 1 1,2 1-6720</inkml:trace>
  <inkml:trace contextRef="#ctx0" brushRef="#br0" timeOffset="11765.75">2949 998 24575,'2'-1'0,"4"-1"0,2-3 0,2 1 0,1-2 0,0 1 0,-1 2 0,-1 0-8191</inkml:trace>
  <inkml:trace contextRef="#ctx0" brushRef="#br0" timeOffset="11968.79">2986 1061 24575,'0'2'0,"1"0"0,4-2 0,2-2 0,4-4 0,1-1 0,0-3 0,0-1 0,0 1 0,1 0 0,-1 1-8191</inkml:trace>
  <inkml:trace contextRef="#ctx0" brushRef="#br0" timeOffset="13867.4">3242 821 24575,'0'-1'0,"0"4"0,0 7 0,3 7 0,1 6 0,3 1 0,2 2 0,1-1 0,2-3 0,1-6 0,0-5 0,0-4 0,-4-4-8191</inkml:trace>
  <inkml:trace contextRef="#ctx0" brushRef="#br0" timeOffset="14239.55">3338 854 24575,'0'-2'0,"-1"-1"0,0 1 0,1 0 0,-1 0 0,1 0 0,0 0 0,-1-1 0,1 1 0,0 0 0,1 0 0,-1 0 0,0-1 0,1 1 0,-1 0 0,1 0 0,-1 1 0,1-1 0,0 0 0,0 0 0,0 0 0,0 0 0,2-2 0,-2 2 0,0 1 0,0 0 0,0-1 0,0 1 0,0 0 0,0 0 0,0 0 0,0 0 0,0 0 0,1 0 0,-1 1 0,0-1 0,1 0 0,-1 1 0,1-1 0,-1 1 0,1-1 0,-1 1 0,1 0 0,0-1 0,-1 1 0,1 0 0,-1 0 0,1 0 0,0 0 0,-1 1 0,1-1 0,-1 0 0,1 1 0,-1-1 0,3 2 0,-2-1 0,0 0 0,0 1 0,-1 0 0,1-1 0,-1 1 0,1 0 0,-1 0 0,1-1 0,-1 1 0,0 0 0,0 1 0,0-1 0,0 0 0,0 0 0,0 0 0,-1 0 0,1 0 0,-1 0 0,0 0 0,1 5 0,-1 5 0,1-1 0,-3 20 0,-1-18 0,-1 13 0,9-20 0,8-10 0,19-17 0,-20 12 0,2 2 0,-1-1 0,22-9 0,-35 17-24,0 0 0,0 0 0,0 0 0,1 0 0,-1 0 1,0 0-1,0 0 0,0 0 0,0-1 0,0 1 0,0 0 0,0 0 0,1 0 0,-1 0 0,0 0 0,0 0 0,0 0 0,0 0 0,0 0 0,1 0 0,-1 0 0,0 0 0,0 0 0,0 0 0,0 0 0,0 0 1,1 0-1,-1 0 0,0 0 0,0 0 0,0 0 0,0 0 0,0 1 0,1-1 0,-1 0 0,0 0 0,0 0 0,0 0 0,0 0 0,0 0 0,0 0 0,0 0 0,0 1 0,0-1 0,1 0 0,-1 0 0,0 0 1,0 0-1,0 0 0,0 0 0,0 1 0,0-1 0,0 0 0,0 0 0,0 0 0,0 0 0</inkml:trace>
  <inkml:trace contextRef="#ctx0" brushRef="#br0" timeOffset="14537.77">3261 1166 24575,'1'0'0,"5"-2"0,8-4 0,11-7 0,12-7 0,10-8 0,11-3 0,5-1 0,1 0 0,-7 6 0,-11 7 0,-13 6 0,-14 7 0,-12 5 0,-8 6 0,-6 3 0,-4 2 0,1-1-8191</inkml:trace>
  <inkml:trace contextRef="#ctx0" brushRef="#br0" timeOffset="15003.56">3516 1202 24575,'0'0'0,"0"0"0,-1 0 0,1 0 0,0 0 0,0 0 0,-1 0 0,1-1 0,0 1 0,0 0 0,-1 0 0,1 0 0,0 0 0,0-1 0,0 1 0,0 0 0,-1 0 0,1 0 0,0-1 0,0 1 0,0 0 0,0 0 0,0-1 0,0 1 0,-1 0 0,1-1 0,0 1 0,0 0 0,0 0 0,0-1 0,0 1 0,0 0 0,0 0 0,0-1 0,0 1 0,0 0 0,1-1 0,-1 1 0,0 0 0,0 0 0,0-1 0,0 1 0,0 0 0,0 0 0,1-1 0,-1 1 0,0 0 0,0 0 0,8-15 0,-3 8 0,1-1 0,1 1 0,0 0 0,0 1 0,0-1 0,11-5 0,-13 9 0,0 0 0,0 0 0,0 0 0,1 0 0,-1 1 0,1 0 0,-1 0 0,1 0 0,0 1 0,0 0 0,8 0 0,-12 0 0,-1 1 0,0 0 0,0 0 0,0 1 0,0-1 0,1 0 0,-1 0 0,0 1 0,0-1 0,0 0 0,0 1 0,0-1 0,0 1 0,0 0 0,0-1 0,0 1 0,0 0 0,0-1 0,0 1 0,-1 0 0,1 0 0,0 0 0,0 1 0,0 0 0,0-1 0,-1 1 0,1 0 0,-1 0 0,1-1 0,-1 1 0,0 0 0,0 0 0,0 0 0,0 0 0,0 0 0,0-1 0,-1 2 0,-1 5 0,0-1 0,0 0 0,-1 0 0,0 0 0,-7 12 0,10-19 0,-1 1 0,1-1 0,0 0 0,0 0 0,0 0 0,0 0 0,-1 1 0,1-1 0,0 0 0,0 0 0,0 0 0,0 1 0,0-1 0,0 0 0,0 0 0,-1 0 0,1 1 0,0-1 0,0 0 0,0 0 0,0 1 0,0-1 0,0 0 0,0 0 0,0 1 0,0-1 0,0 0 0,0 0 0,1 1 0,-1-1 0,0 0 0,0 0 0,0 0 0,0 1 0,0-1 0,0 0 0,0 0 0,1 0 0,-1 1 0,0-1 0,0 0 0,0 0 0,0 0 0,1 0 0,-1 0 0,0 1 0,0-1 0,0 0 0,1 0 0,-1 0 0,0 0 0,0 0 0,1 0 0,-1 0 0,0 0 0,0 0 0,0 0 0,1 0 0,-1 0 0,1 0 0,23-2 0,-21 1 0,0 0 0,0 1 0,1 0 0,-1-1 0,0 1 0,0 0 0,0 0 0,0 1 0,0-1 0,4 2 0,-6-2 0,-1 0 0,0 0 0,1 1 0,-1-1 0,0 0 0,1 1 0,-1-1 0,0 0 0,1 1 0,-1-1 0,0 0 0,0 1 0,1-1 0,-1 1 0,0-1 0,0 0 0,0 1 0,0-1 0,0 1 0,1-1 0,-1 1 0,0-1 0,0 0 0,0 1 0,0-1 0,0 1 0,0-1 0,-1 1 0,1-1 0,-10 15 0,-17 6 0,17-15-341,0-1 0,0 0-1,-15 4 1,16-6-6485</inkml:trace>
  <inkml:trace contextRef="#ctx0" brushRef="#br0" timeOffset="15262.51">3791 623 24575,'0'-2'0,"0"-3"0,0-2 0,5-2 0,3-2 0,4 0 0,3 2 0,-1-1 0,0 2 0,-4 5 0,-3 4 0</inkml:trace>
  <inkml:trace contextRef="#ctx0" brushRef="#br0" timeOffset="15433.51">3823 668 24575,'2'0'0,"3"-2"0,2-1 0,1-4 0,4-3 0,1-3 0,1 0 0,-1-1 0,-3 4 0,-3 0 0,-3 4-8191</inkml:trace>
  <inkml:trace contextRef="#ctx0" brushRef="#br0" timeOffset="15778.82">3819 506 24575,'0'-1'0,"0"0"0,0 0 0,1 0 0,-1 0 0,1 0 0,-1 0 0,1 0 0,-1 0 0,1 0 0,-1 0 0,1 0 0,0 1 0,0-1 0,-1 0 0,1 0 0,0 1 0,0-1 0,0 1 0,0-1 0,0 1 0,0-1 0,0 1 0,0-1 0,0 1 0,0 0 0,0 0 0,1-1 0,32-4 0,-32 4 0,4 1 0,-1-1 0,1 1 0,-1 0 0,1 1 0,-1-1 0,1 1 0,-1 0 0,1 0 0,-1 1 0,0-1 0,0 1 0,1 1 0,-1-1 0,-1 1 0,1 0 0,0 0 0,6 4 0,-6-2 0,-1 0 0,0 0 0,0 0 0,0 1 0,0-1 0,-1 1 0,0 0 0,0 0 0,-1 0 0,0 0 0,0 1 0,0-1 0,-1 0 0,2 10 0,-2-5-151,-1 1-1,0-1 0,0 0 0,-1 0 1,0-1-1,-1 1 0,0 0 1,-7 19-1,5-22-6674</inkml:trace>
  <inkml:trace contextRef="#ctx0" brushRef="#br0" timeOffset="16421.84">4116 288 24575,'19'30'0,"-3"3"0,2 4 0,16 41 0,-34-77 0,0 0 0,1 0 0,-1-1 0,0 1 0,1 0 0,-1 0 0,0 0 0,0 0 0,0 0 0,0 0 0,0-1 0,0 1 0,0 0 0,0 0 0,0 0 0,0 0 0,-1 1 0,1-2 0,0 0 0,-1 0 0,1 0 0,0 0 0,-1 0 0,1 1 0,0-1 0,-1 0 0,1 0 0,0 0 0,-1 0 0,1-1 0,0 1 0,-1 0 0,1 0 0,0 0 0,-1 0 0,1 0 0,0 0 0,-1 0 0,1-1 0,0 1 0,-1 0 0,1 0 0,0 0 0,0-1 0,-1 1 0,1 0 0,-3-2 0,1-1 0,0 1 0,-1 0 0,1-1 0,0 1 0,0-1 0,0 1 0,-2-5 0,4 5 0,-1 1 0,1-1 0,0 1 0,-1-1 0,1 1 0,0-1 0,0 0 0,0 1 0,0-1 0,0 1 0,0-1 0,1 1 0,-1-1 0,0 1 0,1-1 0,-1 1 0,1 0 0,0 0 0,-1 0 0,1-1 0,0 1 0,0 0 0,1-2 0,3-2 0,1-1 0,-1 1 0,13-8 0,-14 10 0,-1 1 0,1-1 0,0 0 0,-1 0 0,0 0 0,0 0 0,1-1 0,-2 1 0,5-8 0,-6 9 0,0-2 0,0 0 0,-1 1 0,0-1 0,0 0 0,0 0 0,0 1 0,0-1 0,-2-5 0,2 7 0,0 1 0,0-1 0,-1 0 0,1 1 0,-1-1 0,1 1 0,-1-1 0,0 0 0,1 1 0,-1-1 0,0 1 0,0 0 0,0-1 0,0 1 0,0 0 0,-1-1 0,1 1 0,0 0 0,-1 0 0,1 0 0,-3-1 0,4 2 0,-1 0 0,1 0 0,-1 0 0,1 0 0,0 0 0,-1 0 0,1 0 0,-1 0 0,1 0 0,0 0 0,-1 0 0,1 1 0,0-1 0,-1 0 0,1 0 0,0 0 0,-1 1 0,1-1 0,0 0 0,-1 1 0,1-1 0,0 0 0,0 0 0,-1 1 0,1-1 0,0 0 0,0 1 0,0-1 0,-1 1 0,1-1 0,0 0 0,0 1 0,0-1 0,0 0 0,0 1 0,0-1 0,0 1 0,0 0 0,-1 16 0,2-5 0,1 0 0,0-1 0,1 0 0,1 0 0,-1 0 0,2 0 0,9 19 0,51 70 0,-49-77 0,-12-17-1365</inkml:trace>
  <inkml:trace contextRef="#ctx0" brushRef="#br0" timeOffset="17076.47">4483 292 24575,'1'-22'0,"0"15"0,-1 1 0,1 0 0,-1 0 0,0-1 0,-1 1 0,1 0 0,-1 0 0,0-1 0,-1 1 0,-2-6 0,4 12 0,0 0 0,-1-1 0,1 1 0,0-1 0,-1 1 0,1-1 0,-1 0 0,1 1 0,-1-1 0,1 1 0,-1 0 0,1-1 0,-1 1 0,1-1 0,-1 1 0,0 0 0,1 0 0,-1-1 0,0 1 0,1 0 0,-1 0 0,0 0 0,1-1 0,-1 1 0,0 0 0,1 0 0,-1 0 0,0 0 0,1 0 0,-2 1 0,0-1 0,1 1 0,-1 0 0,0 0 0,1 0 0,-1 0 0,1 0 0,-1 1 0,1-2 0,0 1 0,0 1 0,-2 1 0,-2 4 0,1-1 0,-1 2 0,1-1 0,-3 9 0,1 0 0,2-1 0,-1 2 0,-2 28 0,6-39 0,0 1 0,1-1 0,0 1 0,0 0 0,1-1 0,-1 1 0,2 0 0,-1-1 0,1 1 0,0-1 0,0 1 0,4 5 0,-6-10 0,1-1 0,0 1 0,0-1 0,0 1 0,0-1 0,0 0 0,0 1 0,0-1 0,1 0 0,-1 0 0,0 0 0,1 0 0,-1 0 0,0 0 0,1 0 0,0 0 0,-1-1 0,1 1 0,-1 0 0,1-1 0,0 0 0,-1 1 0,1-1 0,0 0 0,0 0 0,-1 0 0,1 0 0,0 0 0,-1 0 0,1 0 0,0-1 0,0 1 0,-1-1 0,1 1 0,-1-1 0,1 0 0,0 1 0,-1-1 0,0 0 0,1 0 0,-1 0 0,1 0 0,-1 0 0,2-2 0,1-1 0,1-1 0,-1 1 0,1-1 0,-1 0 0,-1 0 0,1 0 0,-1-1 0,0 0 0,0 0 0,3-11 0,-3 4 0,-1 1 0,0-1 0,-1 0 0,0 0 0,-2-1 0,1 1 0,-3-12 0,1 16 0,1 0 0,-1 0 0,-1 0 0,0 1 0,0-1 0,-1 1 0,1 1 0,-2-1 0,1 0 0,-1 1 0,-7-9 0,11 15 0,0 0 0,0 0 0,-1 0 0,1 0 0,0 0 0,0 0 0,-1 0 0,1 0 0,-1 0 0,1 0 0,-1 1 0,1-1 0,-1 0 0,0 1 0,1 0 0,-1-1 0,1 1 0,-1 0 0,0 0 0,1 0 0,-1 0 0,0 0 0,1 0 0,-1 1 0,0-1 0,-2 1 0,1 0 0,0 1 0,1-1 0,-1 1 0,0 0 0,1 0 0,-1 0 0,1 0 0,0 0 0,-1 0 0,1 1 0,0-1 0,0 1 0,-2 4 0,2-4 0,1 0 0,-1 1 0,1-1 0,-1 1 0,1-1 0,0 1 0,1-2 0,-1 2 0,0-1 0,1 1 0,0 0 0,0 4 0,0-6 0,1 0 0,-1 0 0,1 0 0,-1 0 0,1 0 0,0 0 0,-1-1 0,1 1 0,0 0 0,0 0 0,0-1 0,1 1 0,-1 0 0,0-1 0,1 1 0,-1-1 0,1 0 0,-1 1 0,1-1 0,0 0 0,-1 0 0,1 0 0,2 1 0,44 13 0,-42-14 0,1 0 0,-1 1 0,0 0 0,1 0 0,-1 1 0,-1-1 0,1 1 0,0 1 0,-1-1 0,1 1 0,-1 0 0,0 0 0,0 1 0,7 8 0,-1 4 0,-10-13 0,1-1 0,-1-1 0,1 1 0,0 0 0,1 0 0,-1 0 0,0 0 0,1 0 0,0-1 0,5 4 0,-8-5-36,0-1 0,0 0 0,1 0 1,-1 0-1,0 0 0,1 0 0,-1 0 0,0 0 0,1 0 0,-1 0 0,0 0 0,1 0 0,-1 0 0,0 0 0,0-1 0,1 1 0,-1 0 1,0 0-1,1 0 0,-1 0 0,0 0 0,0-1 0,1 1 0,-1 0 0,0 0 0,0 0 0,1-1 0,-1 1 0,0 0 0,0 0 0,0-1 1,0 1-1,1 0 0,-1-1 0,0 1 0,0 0 0,0-1 0,3-6-6790</inkml:trace>
  <inkml:trace contextRef="#ctx0" brushRef="#br0" timeOffset="17390.3">4570 12 24575,'0'0'0,"-1"0"0,1 0 0,0 1 0,0-1 0,-1 0 0,1 0 0,0 0 0,0 0 0,-1 0 0,1 0 0,0 0 0,0 0 0,-1 0 0,1 1 0,0-1 0,0 0 0,0 0 0,-1 0 0,1 1 0,0-1 0,0 0 0,0 0 0,0 0 0,0 1 0,-1-1 0,1 0 0,0 0 0,0 1 0,0-1 0,0 0 0,0 0 0,0 1 0,0-1 0,0 0 0,0 0 0,0 1 0,0-1 0,0 0 0,0 0 0,0 1 0,0-1 0,0 0 0,0 1 0,7 18 0,17 22 0,-22-38 0,84 140 0,-85-142-1365</inkml:trace>
  <inkml:trace contextRef="#ctx0" brushRef="#br0" timeOffset="17541.99">4607 162 24575,'-3'-2'0,"0"-2"0,2-2 0,2-2 0,4 0 0,3-1 0,2 1 0,2-1 0,0-2 0,-1 1-8191</inkml:trace>
  <inkml:trace contextRef="#ctx0" brushRef="#br0" timeOffset="17979.09">4694 57 24575,'-1'0'0,"1"-1"0,0 1 0,0-1 0,0 1 0,0-1 0,0 1 0,0 0 0,0-1 0,0 1 0,1-1 0,-1 1 0,0-1 0,0 1 0,0-1 0,0 1 0,0 0 0,0-1 0,0 1 0,0 0 0,1-1 0,-1 1 0,0-1 0,0 1 0,1 0 0,-1 0 0,0-1 0,1 1 0,-1 0 0,1 0 0,-1-1 0,0 1 0,1 0 0,-1 0 0,1 0 0,17 5 0,12 17 0,0 15 0,-28-34 0,0 0 0,-1-1 0,1 2 0,-1-1 0,1 0 0,-1 1 0,0-1 0,0 1 0,0-1 0,0 8 0,-1-11 0,0 1 0,0-1 0,0 0 0,0 0 0,0 1 0,0-1 0,0 0 0,0 1 0,0-1 0,0 0 0,0 1 0,0-1 0,0 0 0,0 0 0,0 1 0,0-1 0,-1 0 0,1 0 0,0 1 0,0-1 0,0 0 0,0 0 0,-1 1 0,1-1 0,0 0 0,0 0 0,-1 1 0,1-1 0,0 0 0,0 0 0,-1 0 0,1 0 0,0 0 0,0 1 0,-1-1 0,1 0 0,0 0 0,-1 0 0,1 0 0,-1 0 0,1 0 0,0 0 0,-1-1 0,1 1 0,-1 0 0,1 0 0,-1-1 0,1 1 0,-1 0 0,1-1 0,0 1 0,-1 0 0,1-1 0,0 1 0,-1 0 0,1-1 0,0 1 0,-1-1 0,1 1 0,0-1 0,0 1 0,0-1 0,-1 1 0,1-1 0,-1-6 12,0 1 0,1-1 0,-1 0 0,2 1 0,-1 0 0,0 0 0,1-1 0,1 1 0,1-8 0,0 3-309,1 1 0,0-1 0,0 2 0,10-17 0,-5 13-6529</inkml:trace>
  <inkml:trace contextRef="#ctx0" brushRef="#br0" timeOffset="21953.6">2358 2519 24575,'0'0'0,"0"0"0,-1 0 0,1 0 0,0 0 0,0 0 0,0 0 0,0 0 0,-1 0 0,1 0 0,0 0 0,0 0 0,0 0 0,-1 0 0,1 0 0,0 0 0,0 0 0,0 0 0,0 0 0,0 0 0,-1 0 0,1 1 0,0-1 0,0 0 0,0 0 0,0 0 0,0 0 0,0 0 0,-1 0 0,1 1 0,0-1 0,0 0 0,0 0 0,0 0 0,0 0 0,0 1 0,0-1 0,0 0 0,0 0 0,0 0 0,0 1 0,3 8 0,9 6 0,-10-13 0,0-1 0,0 1 0,0 0 0,0-1 0,0 1 0,0-1 0,0 0 0,1 0 0,-1 0 0,0 0 0,1 0 0,-1 0 0,1 0 0,-1-1 0,1 1 0,0-1 0,3 0 0,-4 0 0,-1-1 0,0 1 0,1 0 0,-1-1 0,0 1 0,1-1 0,-1 0 0,0 0 0,0 1 0,1-1 0,-1 0 0,0 0 0,0 0 0,0 0 0,0 0 0,0 0 0,0 0 0,-1 0 0,1-1 0,0 1 0,-1 0 0,1 0 0,0-1 0,-1 1 0,0-1 0,1 1 0,-1 0 0,0-1 0,1 1 0,-1-1 0,0 2 0,0-4 0,-1-9 0,0 0 0,0 1 0,-1-1 0,-1 0 0,0 1 0,-1 0 0,-8-19 0,6 14 0,0 1 0,-6-32 0,12 47 0,0 0 0,-1 0 0,1-1 0,0 1 0,0 0 0,0 0 0,0-1 0,0 1 0,1 0 0,-1 0 0,0 0 0,1-3 0,-1 4 0,1 0 0,-1 0 0,0-1 0,0 1 0,1 0 0,-1 0 0,0 0 0,0 0 0,1-1 0,-1 1 0,0 0 0,0 0 0,1 0 0,-1 0 0,0 0 0,0 0 0,1 0 0,-1-1 0,0 1 0,1 0 0,-1 0 0,0 0 0,1 0 0,-1 0 0,0 1 0,0-1 0,1 0 0,-1 0 0,0 0 0,1 0 0,-1 0 0,3 2 0,-1-1 0,1 1 0,-1-1 0,0 1 0,1 0 0,-1 0 0,0 0 0,0 0 0,2 3 0,66 97 0,-5-6 0,-63-94-115,-2-2 53,1 0-1,-1 1 1,1 0-1,-1-1 1,0 1-1,1-1 1,-1 0-1,0 0 1,1 1-1,-1 0 1,0-1-1,0 1 1,1 0-1,-1-1 1,0 1-1,0 0 0,0-1 1,0 1-1,0 0 1</inkml:trace>
  <inkml:trace contextRef="#ctx0" brushRef="#br0" timeOffset="22124.57">2427 2496 24575,'0'0'0,"1"1"0,1-1 0,3-4 0,1-3 0,3-3 0,0-1 0,0 1 0,0-1 0,-1 0 0,-3 3-8191</inkml:trace>
  <inkml:trace contextRef="#ctx0" brushRef="#br0" timeOffset="22609.74">2514 2382 24575,'2'1'0,"-1"0"0,1 0 0,0 0 0,-1 0 0,1 1 0,-1-1 0,1 0 0,-1 1 0,1-1 0,-1 1 0,2 3 0,74 134 0,-28-46 0,-94-161 0,28 44 0,0 1 0,2-2 0,1 0 0,2 0 0,-13-35 0,25 57 0,-1 2 0,0-2 0,1 0 0,0 0 0,-1 1 0,1-1 0,0 0 0,1 0 0,-1 0 0,0 1 0,1-1 0,-1 0 0,1 1 0,1-5 0,-1 6 0,0 0 0,-1 0 0,1 1 0,0-1 0,-1 0 0,1 0 0,0 0 0,0 1 0,0-1 0,0 0 0,0 1 0,0-1 0,0 1 0,0-1 0,0 1 0,0-1 0,0 1 0,0 0 0,0 0 0,0-1 0,0 1 0,0 0 0,0 0 0,0 0 0,1 0 0,-1 0 0,0 0 0,0 1 0,0-1 0,0 0 0,0 0 0,0 1 0,0-1 0,0 1 0,0-1 0,0 1 0,0-1 0,1 2 0,1 0 0,0 0 0,0 0 0,0 1 0,0 0 0,-1-1 0,1 1 0,-1 0 0,0 0 0,1 0 0,-1 1 0,-1-1 0,3 6 0,-2-7 0,-1 1 0,0-2 0,0 2 0,0-1 0,-1 1 0,1-1 0,-1 1 0,1 0 0,-1-1 0,0 1 0,0 0 0,0 0 0,0-1 0,-1 1 0,1 0 0,-1-1 0,1 1 0,-3 3 0,3-6 2,0 0-1,0 0 1,0 1-1,0-1 1,0 0-1,0 0 0,0 0 1,0 0-1,0 0 1,0 1-1,0-1 1,0 0-1,0 0 1,0 0-1,-1 0 1,1 0-1,0 1 1,0-1-1,0 0 1,0 0-1,0 0 0,0 0 1,-1 0-1,1 0 1,0 0-1,0 0 1,0 0-1,0 0 1,-1 0-1,1 0 1,0 0-1,0 0 1,0 0-1,0 0 0,-1 0 1,1 0-1,0 0 1,0 0-1,0 0 1,0 0-1,-1 0 1,1 0-1,0 0 1,0 0-1,0 0 1,0 0-1,0 0 0,-1 0 1,1 0-1,0-1 1,0 1-1,0 0 1,0 0-1,-5-9-914,5 8 382,-3-8-6295</inkml:trace>
  <inkml:trace contextRef="#ctx0" brushRef="#br0" timeOffset="22964.93">2610 2319 24575,'0'-1'0,"0"0"0,1 1 0,-1-1 0,0 0 0,1 0 0,-1 1 0,1-1 0,-1 0 0,1 1 0,-1-1 0,1 0 0,-1 1 0,1-1 0,-1 1 0,1-1 0,0 1 0,0-1 0,-1 1 0,1-1 0,0 1 0,0 0 0,-1-1 0,1 1 0,0 0 0,0 0 0,0 0 0,-1-1 0,1 1 0,0 0 0,0 0 0,1 0 0,26 1 0,-25 0 0,0-1 0,0 1 0,0 1 0,0-1 0,0 0 0,0 1 0,0 0 0,-1-1 0,1 1 0,2 3 0,-3-4 0,-1 0 0,0 0 0,0 0 0,0 0 0,0 0 0,-1 0 0,1 0 0,0 0 0,0 1 0,-1-1 0,1 0 0,0 0 0,-1 1 0,1-1 0,-1 1 0,0-1 0,0 0 0,1 1 0,-1-1 0,0 1 0,0-1 0,0 0 0,0 1 0,-1-1 0,1 3 0,0-4 0,-1 1 0,1-1 0,0 1 0,0-1 0,0 1 0,-1-1 0,1 1 0,0-1 0,0 1 0,-1-1 0,1 1 0,0-1 0,-1 1 0,1-1 0,-1 0 0,1 1 0,-1-1 0,1 0 0,-1 1 0,1-1 0,-1 0 0,1 0 0,-1 1 0,1-1 0,-1 0 0,1 0 0,-1 0 0,1 0 0,-2 0 0,1 0 0,0 0 0,0 0 0,-1-1 0,1 1 0,0-1 0,0 1 0,0-1 0,0 0 0,0 1 0,0-1 0,0 0 0,-2-1 0,0-1 0,0-1 0,0 0 0,0 1 0,0-1 0,0 0 0,-2-5 0,4 7-45,0 0-1,1 1 1,-1-1-1,0 0 1,1 0-1,-1 0 1,1 0-1,-1 0 1,1 1-1,0-1 1,0 0-1,0 0 1,0 0-1,0 0 1,0 1-1,1-1 1,-1 0-1,1 0 1,-1 0-1,1 0 1,0 1-1,0-1 1,0 0-1,-1 1 0,2-1 1,-1 0-1,0 1 1,0-1-1,3-2 1,2-1-6781</inkml:trace>
  <inkml:trace contextRef="#ctx0" brushRef="#br0" timeOffset="23213.54">2711 2139 24575,'0'0'0,"3"2"0,2 2 0,3 5 0,1 5 0,1 6 0,2 5 0,0 2 0,1 0 0,-1-3 0,-1-7 0,-1-2 0,0-6 0,0-3 0,-3-5 0,0-5 0,-1-3 0,-3-2-8191</inkml:trace>
  <inkml:trace contextRef="#ctx0" brushRef="#br0" timeOffset="23465.67">2954 2207 24575,'0'1'0,"1"3"0,1 3 0,2 2 0,1 4 0,-1 3 0,-1 1 0,-1-1 0,0-2 0,0-2 0,0-6 0</inkml:trace>
  <inkml:trace contextRef="#ctx0" brushRef="#br0" timeOffset="24010.9">2995 2025 24575,'10'20'0,"2"-1"0,0-2 0,1 1 0,17 18 0,-43-55 0,-20-39 0,26 46 0,-1-2 0,4 7 0,0-1 0,0 0 0,0 0 0,-3-10 0,7 17 0,0 1 0,0 0 0,0 0 0,0-1 0,0 1 0,1 0 0,-1 0 0,0 0 0,0-1 0,0 1 0,0 0 0,0 0 0,0 0 0,0-1 0,0 1 0,1 0 0,-1 0 0,0 0 0,0-1 0,0 1 0,1 0 0,-1 0 0,0 0 0,0 0 0,0 0 0,1 0 0,-1-1 0,0 1 0,0 0 0,0 0 0,1 0 0,-1 0 0,0 0 0,0 0 0,1 0 0,-1 0 0,0 0 0,0 0 0,1 0 0,-1 0 0,0 0 0,0 0 0,0 0 0,1 0 0,-1 0 0,0 1 0,0-1 0,1 0 0,-1 0 0,0 0 0,0 0 0,0 0 0,1 1 0,-1-1 0,18 7 0,-15-5 0,1-1 0,-1 0 0,1 0 0,-1 1 0,1-1 0,0-1 0,-1 1 0,1 0 0,0-1 0,5 0 0,-8 0 0,0 0 0,1-1 0,-1 1 0,0-1 0,0 1 0,0-1 0,0 0 0,0 1 0,0-1 0,0 0 0,0 0 0,0 1 0,0-1 0,0 0 0,0 0 0,0 0 0,-1 0 0,1 0 0,-1 0 0,1 0 0,0 0 0,-1 0 0,0-1 0,1 1 0,-1 0 0,0 0 0,0-1 0,1 1 0,-1 0 0,0 0 0,0-2 0,-2-23 0,2 12 0,11 28 0,-9-9-68,30 43 265,-29-45-333,-1 1 0,1-1 0,1 1 1,-1-1-1,0 0 0,1 0 0,0 0 0,-1-1 1,1 0-1,6 3 0,-1-2-6690</inkml:trace>
  <inkml:trace contextRef="#ctx0" brushRef="#br0" timeOffset="24883.62">3233 1944 24575,'0'-2'0,"-2"-29"0,2 30 0,0-1 0,0 1 0,0 0 0,-1 0 0,1-1 0,0 1 0,-1 0 0,1 0 0,-1 0 0,1-1 0,-1 1 0,1 0 0,-1 0 0,0 0 0,0 0 0,0 0 0,1 0 0,-1 1 0,0-1 0,-2-1 0,2 2 0,1 0 0,-1 0 0,1 0 0,-1 0 0,0 0 0,1 0 0,-1 1 0,1-1 0,-1 0 0,1 0 0,-1 1 0,1-1 0,-1 0 0,1 1 0,-1-1 0,1 0 0,-1 1 0,1-1 0,-1 1 0,1-1 0,0 1 0,-1-1 0,1 1 0,0-1 0,-1 1 0,1-1 0,0 1 0,0 0 0,0-1 0,-1 1 0,1-1 0,0 1 0,0 0 0,0-1 0,0 1 0,0-1 0,0 2 0,-2 22 0,2-22 0,0-1 0,0 1 0,0-1 0,1 1 0,-1-1 0,1 1 0,-1-1 0,1 0 0,-1 1 0,1-1 0,0 0 0,0 1 0,0-1 0,-1 0 0,1 0 0,0 0 0,1 0 0,-1 0 0,0 0 0,0 0 0,0 0 0,2 1 0,-2-2 0,0 0 0,0 0 0,-1 0 0,1 0 0,0 0 0,0 1 0,0-2 0,-1 1 0,1 0 0,0 0 0,0 0 0,-1 0 0,1 0 0,0-1 0,0 1 0,-1 0 0,1-1 0,0 1 0,-1 0 0,1-1 0,0 1 0,-1-1 0,1 1 0,0-1 0,-1 1 0,1-1 0,-1 0 0,1 1 0,-1-1 0,0 0 0,1 1 0,-1-1 0,0 0 0,1 1 0,-1-1 0,0 0 0,0 0 0,1 1 0,-1-1 0,0 0 0,0 0 0,0-1 0,1-2 0,-1 0 0,1 0 0,-1 0 0,0 0 0,0 0 0,0 1 0,-1-1 0,1 1 0,-1-1 0,0 0 0,0 0 0,0 0 0,0 1 0,-4-7 0,5 15 0,6 7 0,-5-11 0,0 0 0,0 0 0,1 0 0,-1 0 0,0 0 0,0 0 0,1 0 0,-1 0 0,1 0 0,-1-1 0,1 1 0,-1 0 0,1-1 0,-1 1 0,4-1 0,-4 0 0,0 0 0,0 0 0,0 0 0,0 0 0,0-1 0,0 1 0,0 0 0,-1-1 0,1 1 0,0 0 0,0-1 0,0 1 0,0-1 0,0 0 0,-1 1 0,1-1 0,0 0 0,0 1 0,0-2 0,1 0 0,-1-1 0,0 1 0,1-1 0,-1 1 0,0-1 0,0 0 0,0 1 0,0-1 0,-1 0 0,1 0 0,-1 1 0,0-1 0,0 0 0,0 0 0,0-5 0,16 12 0,-12-3 0,1 1 0,0-1 0,0 0 0,0 0 0,0 0 0,5 0 0,-9-1 0,-1 0 0,1 0 0,0-1 0,0 1 0,0 0 0,0 0 0,0-1 0,0 1 0,0-1 0,0 1 0,0-1 0,-1 1 0,1-1 0,0 1 0,0-1 0,-1 0 0,1 1 0,0-1 0,-1 0 0,1 0 0,-1 0 0,1 1 0,-1-1 0,1 0 0,-1 0 0,1 0 0,-1-2 0,1 0 0,-1 0 0,0 0 0,-1 1 0,1-1 0,0 0 0,-1 0 0,-1-4 0,-1-10 0,3 17 0,1-1 0,-1 1 0,0 0 0,0 0 0,1 0 0,-1 0 0,0-1 0,1 1 0,-1 0 0,0 0 0,1 0 0,-1 0 0,0 0 0,0 0 0,1 0 0,-1 0 0,0 0 0,1 0 0,-1 0 0,0 0 0,1 0 0,-1 0 0,0 0 0,1 0 0,-1 0 0,0 0 0,1 0 0,-1 0 0,0 1 0,1-1 0,10 0 0,-9 2 0,0-1 0,0 0 0,-1 1 0,1 0 0,-1-1 0,0 1 0,1 0 0,-1 0 0,0-1 0,1 4 0,-1-3 0,25 33-30,-16-22-237,-1 0 0,0 0 0,-1 1 0,9 18 0,-14-23-6559</inkml:trace>
  <inkml:trace contextRef="#ctx0" brushRef="#br0" timeOffset="25213.53">3557 1853 24575,'0'-3'0,"2"-1"0,3 5 0,1 4 0,1 4 0,0 4 0,-2 1 0,-2 1 0,-1 0 0,-2-1 0,0-4 0,-1-5 0,-2-6 0</inkml:trace>
  <inkml:trace contextRef="#ctx0" brushRef="#br0" timeOffset="25743.72">3603 1631 24575,'0'-3'0,"0"0"0,0 0 0,0 0 0,0 0 0,1 0 0,-1 0 0,1 0 0,-1 0 0,1 1 0,0-1 0,1 1 0,-1-1 0,0 1 0,1-1 0,-1 0 0,1 1 0,0-1 0,0 1 0,3-3 0,2-2 0,1 1 0,-1 0 0,1 0 0,1 1 0,11-6 0,-7 4 0,-14 7 0,-1 1 0,0 0 0,1 0 0,-1 0 0,1 0 0,-1 0 0,1 0 0,0 0 0,-1 1 0,1-1 0,0 0 0,0 1 0,0-1 0,0 1 0,0-1 0,0 1 0,0 0 0,0-1 0,1 1 0,-1 0 0,1-1 0,-1 1 0,1 0 0,0 0 0,0 0 0,-1-1 0,1 1 0,1 0 0,-1 0 0,0 0 0,0-1 0,1 1 0,-1 0 0,1 0 0,-1-1 0,1 1 0,0 0 0,-1-1 0,1 1 0,0-1 0,0 1 0,0-1 0,1 1 0,-1-1 0,2 2 0,6 4 0,1 1 0,0-1 0,0 0 0,1 0 0,0-1 0,19 7 0,-19-8 0,0 0 0,0 0 0,0 1 0,-1-1 0,0 2 0,0 0 0,9 11 0,-18-18 0,0 1 0,0 0 0,0 0 0,0 0 0,-1 0 0,1 0 0,0 0 0,-1 0 0,1 0 0,-1 1 0,1-1 0,-1 0 0,0 0 0,1 0 0,-1 1 0,0-1 0,0 0 0,0 0 0,0 0 0,0 1 0,0-1 0,0 0 0,0 0 0,-1 1 0,1-1 0,0 0 0,-1 0 0,1 0 0,-1 0 0,1 0 0,-2 2 0,1-2 0,0 0 0,0 1 0,0-1 0,-1 0 0,1 0 0,0 0 0,-1-1 0,1 1 0,-1-1 0,1 1 0,-1-1 0,1 1 0,-1-1 0,1 0 0,-1 1 0,1-1 0,-1 0 0,0 0 0,1 0 0,-1 0 0,1 0 0,-1 0 0,0 0 0,-1-1 0,2 1-65,0-1 0,-1 1 0,1-1 0,0 1 0,0 0 0,0-1 0,0 0 0,-1 0 0,1 0 0,0 0 0,1 0 0,-1 0 0,0 0 0,0 0 0,0 0 0,0 0 0,1-1 0,-1 1 0,1 0 0,-2-3 0,-3-9-6761</inkml:trace>
  <inkml:trace contextRef="#ctx0" brushRef="#br0" timeOffset="26630">3878 1550 24575,'0'0'0,"-1"0"0,1 0 0,0 0 0,-1 0 0,1 0 0,0 0 0,-1 0 0,1 1 0,0-1 0,0 0 0,-1 0 0,1 0 0,0 0 0,-1 0 0,1 1 0,0-1 0,0 0 0,-1 0 0,1 1 0,0-1 0,0 0 0,0 0 0,0 1 0,-1-1 0,1 0 0,0 0 0,0 1 0,0-1 0,0 0 0,0 1 0,0-1 0,-1 0 0,1 1 0,0-1 0,0 0 0,0 1 0,0-1 0,0 0 0,0 0 0,1 1 0,-1-1 0,0 0 0,0 1 0,0-1 0,0 0 0,0 1 0,0-1 0,0 0 0,1 0 0,-1 1 0,0-1 0,0 1 0,10 14 0,-7-13 0,-1 0 0,1 0 0,-1-1 0,1 1 0,0-1 0,0 1 0,0-1 0,-1 0 0,1 0 0,1 0 0,-1-1 0,0 1 0,0-1 0,0 0 0,4 1 0,-6-2 0,0 1 0,0 0 0,0 0 0,0 0 0,0-1 0,0 1 0,0 0 0,1-1 0,-1 1 0,0-1 0,0 0 0,-1 1 0,1-1 0,0 0 0,0 1 0,0-1 0,0 0 0,-1 0 0,1 0 0,0 0 0,-1 0 0,1 0 0,0 0 0,-1 0 0,1 0 0,-1 0 0,0 0 0,1 0 0,-1 0 0,0 0 0,0 0 0,0-1 0,0 1 0,0 0 0,0 0 0,0 0 0,0 0 0,0 0 0,0 0 0,0-1 0,-1 1 0,0-2 0,-3-10 0,0-2 0,6 14 0,7 7 0,-6-3 0,-1 0 0,1-1 0,1 1 0,-1-1 0,0 0 0,1 0 0,-1 0 0,1-1 0,6 3 0,-9-4 0,0 0 0,0 1 0,0-1 0,-1 0 0,1 0 0,0 0 0,0 0 0,0 0 0,0-1 0,0 1 0,0 0 0,0 0 0,0-1 0,0 1 0,-1 0 0,1-1 0,0 1 0,1-2 0,-1 1 0,0 0 0,0 0 0,0 0 0,0-1 0,0 1 0,0-1 0,0 1 0,-1 0 0,1-1 0,-1 0 0,1 1 0,-1-1 0,1 1 0,-1-3 0,4-39 0,-4 43 0,0 0 0,0 0 0,0-1 0,0 1 0,0 0 0,0 0 0,0 0 0,0 0 0,0 0 0,0 0 0,0-1 0,0 1 0,0 0 0,0 0 0,1 0 0,-1 0 0,0 0 0,0 0 0,0 0 0,0 0 0,0-1 0,0 1 0,0 0 0,1 0 0,-1 0 0,0 0 0,0 0 0,0 0 0,0 0 0,0 0 0,0 0 0,1 0 0,-1 0 0,0 0 0,0 0 0,0 0 0,0 0 0,0 0 0,1 0 0,-1 0 0,0 0 0,0 0 0,0 0 0,0 0 0,0 0 0,1 0 0,-1 0 0,0 0 0,0 0 0,0 1 0,7 7 0,1 11 0,-4-31 0,-3 10 0,-1 0 0,1 0 0,0 1 0,0-1 0,-1 0 0,1 1 0,0-1 0,0 1 0,2-3 0,-2 3 0,0 1 0,0-1 0,0 1 0,0 0 0,0-1 0,0 1 0,0 0 0,0 0 0,0-1 0,0 1 0,1 0 0,-1 0 0,0 0 0,0 0 0,0 0 0,0 1 0,0-1 0,0 0 0,0 0 0,0 1 0,1 0 0,7 2 0,-4-2 0,1 1 0,-1 0 0,0-1 0,0 0 0,1-1 0,7 1 0,-12-1 0,0 0 0,0 0 0,1 0 0,-1-1 0,0 1 0,0-1 0,0 1 0,0-1 0,0 1 0,0-1 0,0 1 0,0-1 0,0 0 0,-1 1 0,1-1 0,0 0 0,0 0 0,-1 0 0,1 0 0,0 0 0,-1 0 0,1 0 0,-1 0 0,1 0 0,-1 0 0,0 0 0,1 0 0,-1 0 0,0 0 0,0 0 0,1 0 0,-1 0 0,0-1 0,0 1 0,0 0 0,-1 0 0,1-1 0,0-1 0,0 1 0,-1-1 0,1 1 0,-1 0 0,1-1 0,-1 1 0,0 0 0,-2-3 0,-2 2 0,2 15 0,3-10-33,0 0 0,1-1-1,-1 1 1,0 0 0,0-1-1,1 1 1,-1 0 0,1-1 0,-1 1-1,1-1 1,0 1 0,-1-1-1,1 1 1,0-1 0,0 0-1,0 1 1,0-1 0,1 0 0,-1 0-1,0 0 1,0 0 0,1 0-1,-1 0 1,0 0 0,1 0-1,-1 0 1,1 0 0,-1-1 0,1 1-1,0-1 1,-1 1 0,1-1-1,0 0 1,-1 0 0,1 0-1,0 1 1,-1-1 0,1-1 0,0 1-1,2-1 1,9 0-6793</inkml:trace>
  <inkml:trace contextRef="#ctx0" brushRef="#br0" timeOffset="26961.75">4304 1301 24575,'2'0'0,"4"0"0,2-1 0,3-1 0,0-3 0,2-1 0,2-3 0,1-2 0,2-1 0,1 0 0,-2 2 0,-4 3 0,-5 2-8191</inkml:trace>
  <inkml:trace contextRef="#ctx0" brushRef="#br0" timeOffset="27584.62">4487 1152 24575,'1'-2'0,"0"0"0,-1 0 0,1 0 0,0 1 0,0-1 0,0 0 0,0 0 0,0 1 0,1-1 0,-1 1 0,3-2 0,10-17 0,-13 16 0,1-1 0,-2 0 0,1 1 0,0-1 0,-1 0 0,0 0 0,0 0 0,0 1 0,-1-1 0,0 0 0,0 0 0,-2-5 0,3 10 0,0-1 0,0 1 0,0 0 0,0 0 0,0 0 0,0-1 0,0 1 0,0 0 0,0 0 0,0 0 0,0 0 0,0-1 0,0 1 0,-1 0 0,1 0 0,0 0 0,0 0 0,0 0 0,0-1 0,0 1 0,-1 0 0,1 0 0,0 0 0,0 0 0,0 0 0,0 0 0,-1 0 0,1 0 0,0 0 0,0-1 0,0 1 0,0 0 0,-1 0 0,1 0 0,0 0 0,0 0 0,0 0 0,-1 0 0,1 0 0,0 0 0,0 1 0,0-1 0,-1 0 0,1 0 0,0 0 0,-5 10 0,0 13 0,7-14 0,-1-1 0,1 1 0,0 0 0,1-1 0,0 0 0,0 0 0,1-1 0,0 1 0,0 0 0,1-1 0,7 10 0,-3-3 0,14 26 0,-22-39 0,0 0 0,-1 0 0,1 0 0,-1 0 0,0 0 0,1 0 0,-1 0 0,0 0 0,1 0 0,-1 0 0,0 0 0,0 0 0,0 0 0,0 0 0,0 0 0,0 0 0,0 0 0,0 0 0,0 0 0,0 0 0,-1 0 0,1 0 0,0 0 0,-1 0 0,1 0 0,-1 0 0,1-1 0,-1 1 0,0 0 0,1 0 0,-1 0 0,0 0 0,1-1 0,-1 1 0,0 0 0,0-1 0,0 1 0,1-1 0,-1 1 0,0-1 0,0 1 0,0-1 0,0 0 0,0 1 0,0-1 0,0 0 0,0 0 0,0 0 0,0 1 0,0-1 0,0 0 0,-2-1 0,1-1 0,6-1 0,9-5 0,27-10 25,-26 13-372,-1-1-1,1-1 0,13-8 1,-20 10-6479</inkml:trace>
  <inkml:trace contextRef="#ctx0" brushRef="#br0" timeOffset="43793.74">3502 2754 24575,'3'0'0,"-1"1"0,1-1 0,-1 1 0,1 0 0,-1 0 0,0 0 0,0 0 0,1 0 0,-1 1 0,0-1 0,0 1 0,0-1 0,0 1 0,1 1 0,-1-1 0,0-1 0,0 1 0,0 0 0,0-1 0,0 1 0,0-1 0,0 0 0,1 1 0,-1-1 0,0 0 0,1 0 0,-1-1 0,5 2 0,-6-2 0,-1 0 0,0 0 0,1 0 0,-1 0 0,1 0 0,-1 0 0,1 0 0,-1 0 0,0 0 0,1-1 0,-1 1 0,1 0 0,-1 0 0,0 0 0,1-1 0,-1 1 0,0 0 0,1 0 0,-1-1 0,0 1 0,1 0 0,-1 0 0,0-1 0,1 1 0,-1-1 0,0 1 0,0 0 0,0-1 0,1 1 0,-1 0 0,0-1 0,0 0 0,-2-16 0,-13-17 0,-35-36 0,34 49 0,-23-36 0,39 57 0,0 1 0,1-1 0,-1 0 0,0 0 0,0 0 0,1 0 0,-1 0 0,0 0 0,0 0 0,1 0 0,-1 0 0,0 0 0,0 0 0,1 0 0,-1 0 0,0 0 0,0 0 0,1 0 0,-1 0 0,0 0 0,1 0 0,-1 0 0,0 0 0,0 0 0,1 0 0,-1 0 0,0-1 0,0 1 0,0 0 0,1 0 0,-1 0 0,0 0 0,0-1 0,0 1 0,0 0 0,1 0 0,-1-1 0,0 1 0,0 0 0,0 0 0,0-1 0,0 1 0,0 0 0,0 0 0,1-1 0,-1 1 0,0 0 0,0 0 0,0-1 0,0 1 0,0 0 0,0 0 0,0-1 0,0 1 0,-1 0 0,1 0 0,0-1 0,0 1 0,0 0 0,0 0 0,0-1 0,0 1 0,0 0 0,-1-1 0,30 13 0,-20-8 0,-8-3 0,0-1 0,0 1 0,0-1 0,-1 0 0,1 1 0,0-1 0,0 0 0,0 1 0,0-1 0,0 0 0,0 0 0,0 0 0,0 0 0,0 0 0,0 0 0,0 0 0,-1 0 0,1 0 0,0-1 0,0 1 0,0 0 0,0-1 0,0 1 0,0 0 0,-1-1 0,1 1 0,0-1 0,0 1 0,0-1 0,-1 0 0,1 1 0,0-1 0,-1 0 0,1 1 0,-1-1 0,1 0 0,0-1 0,0-2 0,0 1 0,-1-1 0,0 1 0,1-1 0,-1 0 0,0 1 0,-1-1 0,1 1 0,-2-5 0,-12-43 0,9 39 0,2 0 0,-4-16 0,7 28 0,0 0 0,0 0 0,0 0 0,0 0 0,0 0 0,0 0 0,0 0 0,0 0 0,0 0 0,0-1 0,0 1 0,0 0 0,0 0 0,0 0 0,0 0 0,0 0 0,0 0 0,0 0 0,0 0 0,0 0 0,0 0 0,0-1 0,0 1 0,0 0 0,0 0 0,0 0 0,0 0 0,0 0 0,0 0 0,0 0 0,0 0 0,1 0 0,-1 0 0,0 0 0,0 0 0,0 0 0,0 0 0,0 0 0,0 0 0,0-1 0,0 1 0,0 0 0,0 0 0,1 0 0,-1 0 0,0 0 0,0 0 0,0 0 0,0 0 0,0 0 0,0 0 0,0 0 0,0 0 0,0 0 0,0 1 0,1-1 0,-1 0 0,0 0 0,8 4 0,6 9 0,40 49 0,-33-38 0,1 0 0,27 24 0,-49-48-62,1 0 0,-1 0 0,1 1 0,-1-1 0,1 1 0,0-1 0,-1 1 0,1-1 0,0 0 0,-1 1 0,1-1 0,0 0-1,-1 1 1,1-1 0,0 0 0,0 0 0,-1 0 0,1 0 0,0 0 0,0 0 0,0 0 0</inkml:trace>
  <inkml:trace contextRef="#ctx0" brushRef="#br0" timeOffset="44427.84">3741 2514 24575,'-1'-4'0,"1"1"0,-1-1 0,0 0 0,0 1 0,0-1 0,0 1 0,0-1 0,-1 1 0,0 0 0,-3-7 0,3 8 0,1 1 0,0-1 0,-1 0 0,1 0 0,-1 1 0,1-1 0,-1 2 0,0-2 0,0 1 0,0 0 0,0-1 0,0 1 0,0 0 0,0 0 0,0 1 0,0-1 0,0 0 0,-4 0 0,5 1 0,0 0 0,0 0 0,0 1 0,0-1 0,0 0 0,0 1 0,1-1 0,-1 1 0,0-1 0,0 1 0,1-1 0,-1 1 0,0-1 0,1 1 0,-1 0 0,0-1 0,1 1 0,-1 0 0,1 0 0,-1-1 0,1 1 0,-1 0 0,1-1 0,0 1 0,-1 0 0,1-1 0,0 1 0,0 0 0,0 0 0,0 0 0,0 0 0,0 0 0,0 1 0,1 32 0,-1-31 0,1 0 0,0-1 0,0 1 0,0-1 0,0 1 0,0-1 0,1 1 0,-1-1 0,1 0 0,-1 1 0,1-1 0,0 0 0,0 0 0,0-1 0,4 3 0,-6-3 0,1-1 0,-1 0 0,1 0 0,-1 1 0,1-1 0,-1 0 0,1 0 0,-1 1 0,1-1 0,-1 0 0,1 0 0,0 0 0,-1 0 0,1 0 0,-1 0 0,1 0 0,-1 0 0,1 0 0,-1 0 0,1 0 0,-1-1 0,1 1 0,0 0 0,-1 0 0,1 0 0,-1-1 0,1 1 0,0-2 0,0 1 0,0 0 0,0 0 0,-1 0 0,1 0 0,0 0 0,-1-1 0,1 1 0,-1-1 0,0 1 0,0-1 0,1 1 0,-1-1 0,0 1 0,0-1 0,0-1 0,-1-6 0,0-1 0,0 1 0,-4-16 0,-3-19 0,8 44 0,0-1 0,0 0 0,0 1 0,0-1 0,0 1 0,0-1 0,0 1 0,0-1 0,0 0 0,0 1 0,0-1 0,0 1 0,0-1 0,1 1 0,-1-1 0,0 1 0,0-1 0,1 1 0,-1-1 0,0 1 0,1-1 0,-1 1 0,0-1 0,1 1 0,-1 0 0,1-1 0,-1 1 0,1 0 0,-1-1 0,1 1 0,1-1 0,-1 1 0,0 0 0,1 0 0,-1 0 0,0 0 0,1 1 0,-1-1 0,0 0 0,1 0 0,-1 1 0,0-1 0,2 2 0,4 1 0,-1 0 0,0 1 0,11 7 0,-7-1 0,-8-7 0,0-1 0,0 0 0,0 0 0,0 0 0,0-1 0,1 1 0,-1 0 0,6 1 0,-9-5 0,1-1 0,-1 1 0,1-1 0,-1 1 0,0-1 0,0 1 0,-2-4 0,-4-8 0,4 9 0,1 1 0,-1-1 0,1 1 0,1-1 0,-1 0 0,-2-8 0,4 12 0,0 1 0,0 0 0,0-1 0,0 1 0,0 0 0,0-1 0,0 1 0,0-1 0,0 1 0,0 0 0,1-1 0,-1 1 0,0 0 0,0-1 0,0 1 0,0 0 0,0-1 0,1 1 0,-1 0 0,0-1 0,0 1 0,0 0 0,1 0 0,-1-1 0,0 1 0,1 0 0,-1 0 0,0 0 0,1-1 0,-1 1 0,0 0 0,1 0 0,-1 0 0,1-1 0,15 4 0,13 10 0,-26-11 0,-1 1 0,1-1 0,0 0 0,-1 1 0,1 0 0,-1 0 0,0-1 0,4 7 0,-5-6 32,-2-5-666,0 1-129,-5-5-6063</inkml:trace>
  <inkml:trace contextRef="#ctx0" brushRef="#br0" timeOffset="44658.74">3741 2143 24575,'1'0'0,"4"2"0,4 2 0,3 4 0,5 5 0,2 3 0,3 4 0,-2 0 0,-2 0 0,-4-3 0,-2-5 0,-2-2 0,-4-4 0,-4-4 0,-6-5 0</inkml:trace>
  <inkml:trace contextRef="#ctx0" brushRef="#br0" timeOffset="45226.71">3809 2279 24575,'0'0'0,"0"0"0,0 1 0,0-1 0,0 0 0,0 1 0,0-1 0,0 0 0,0 0 0,0 1 0,0-1 0,0 0 0,0 1 0,1-1 0,-1 0 0,0 1 0,0-1 0,0 0 0,0 0 0,0 1 0,1-1 0,-1 0 0,0 0 0,0 1 0,0-1 0,1 0 0,-1 0 0,0 0 0,0 0 0,1 1 0,-1-1 0,0 0 0,0 0 0,1 0 0,-1 0 0,1 0 0,11-4 0,9-14 0,-17 13 0,0 0 0,0-1 0,-1 0 0,1 0 0,-2 0 0,1-1 0,0 2 0,-1-2 0,2-10 0,-3 14 0,-1-1 0,0 0 0,0 0 0,0 1 0,0-1 0,0 0 0,-1 1 0,0-1 0,0 0 0,0 1 0,0-1 0,0 1 0,-1 0 0,1 0 0,-1 0 0,0-1 0,0 1 0,0 0 0,-3-3 0,-13-12 0,11 15 0,10 14 0,7 7 0,1-2 0,0 1 0,1 0 0,1-1 0,1 0 0,0-3 0,1 2 0,31 22 0,-46-37 0,0 0 0,1 1 0,-1-1 0,0 0 0,0 0 0,1 1 0,-1-1 0,0 0 0,1 0 0,-1 0 0,0 0 0,1 1 0,-1-1 0,0 0 0,1 0 0,-1 0 0,0 0 0,1 0 0,-1 0 0,1 0 0,-1 0 0,0 0 0,1 0 0,-1 0 0,0 0 0,1 0 0,-1 0 0,0-1 0,1 1 0,-1 0 0,0 0 0,1 0 0,0-1 0,1-12 0,-9-23 0,6 32 0,1 1 0,-1 1 0,1-1 0,-1 0 0,1 1 0,0-1 0,0 0 0,0 0 0,0 0 0,2-5 0,-2 8 0,0-1 0,0 1 0,0 0 0,0-1 0,0 1 0,0 0 0,1 0 0,-1-1 0,0 1 0,0 0 0,0 0 0,1 0 0,-1-1 0,0 1 0,0 0 0,1 0 0,-1 0 0,0 0 0,0-1 0,1 1 0,-1 0 0,0 0 0,0 0 0,1 0 0,-1 0 0,0 0 0,1 0 0,-1 0 0,0 0 0,1 0 0,-1 0 0,0 0 0,1 0 0,0 0 0,1 1 0,-1 0 0,1 0 0,-1-1 0,0 1 0,1 0 0,-1 0 0,0 0 0,0 0 0,2 3 0,31 39 0,-34-43-28,0 0-1,0 0 1,0 0-1,0 0 1,0 0 0,0 0-1,0 0 1,0 0-1,0 0 1,0 0-1,0 0 1,0 0-1,0 0 1,0 0 0,0 0-1,0 0 1,0-1-1,0 1 1,0 0-1,0 0 1,0 0-1,0 0 1,0 0 0,0 0-1,0 0 1,0 0-1,0 0 1,0 0-1,0 0 1,0 0-1,0 0 1,0 0 0,0 0-1,0 0 1,1 0-1,-1-1 1,0 1-1,0 0 1,0 0-1,0 0 1,0 0 0,0 0-1,0 0 1,0 0-1,0 0 1,0 0-1,0 0 1</inkml:trace>
  <inkml:trace contextRef="#ctx0" brushRef="#br0" timeOffset="45816.04">3915 1980 24575,'0'0'0,"0"0"0,0 0 0,0 0 0,0 0 0,0 0 0,0 0 0,0 0 0,0-1 0,0 1 0,0 0 0,0 0 0,0 0 0,0 0 0,0 0 0,0 0 0,0 0 0,0-1 0,0 1 0,0 0 0,0 0 0,0 0 0,0 0 0,1 0 0,-1 0 0,0 0 0,0 0 0,0 0 0,0 0 0,0 0 0,0 0 0,0 0 0,0 0 0,1-1 0,-1 1 0,0 0 0,0 0 0,0 0 0,0 0 0,0 0 0,0 0 0,0 0 0,1 0 0,-1 0 0,0 0 0,0 1 0,0-1 0,0 0 0,9 4 0,5 5 0,6 10 0,-1 1 0,18 23 0,1 3 0,-37-46 0,-1 1 0,0 0 0,1-1 0,-1 1 0,1-1 0,-1 1 0,0-1 0,1 1 0,-1-1 0,1 0 0,-1 1 0,1-1 0,0 0 0,-1 1 0,1-1 0,-1 0 0,1 1 0,-1-1 0,1 0 0,0 0 0,-1 0 0,1 0 0,0 0 0,-1 0 0,1 0 0,0 0 0,0 0 0,-1 0 0,1-1 0,-1 0 0,1 1 0,-1-1 0,1 0 0,-1 1 0,0-1 0,1 0 0,-1 1 0,0-1 0,0 0 0,1 0 0,-1 0 0,0 1 0,0-1 0,0 0 0,0-1 0,-4-39 0,2 35 0,-1-11 0,6 15 0,6 9 0,-4-3 0,0-1 0,0 1 0,0-2 0,0 0 0,1 1 0,-1-1 0,7 3 0,-10-5 0,0 1 0,0-1 0,-1 0 0,1 1 0,0-1 0,0 0 0,0 0 0,0 0 0,0 0 0,0 0 0,-1-1 0,3 0 0,-3 1 0,0 0 0,0-1 0,0 1 0,-1-1 0,1 0 0,0 1 0,-1-1 0,1 1 0,0-1 0,-1 0 0,1 0 0,-1 1 0,1-1 0,-1 0 0,1 0 0,-1 0 0,1 1 0,-1-1 0,0 1 0,1-1 0,-1 0 0,0 0 0,0 0 0,0 0 0,0-1 0,0 0 0,0-1 0,0 1 0,0 0 0,-1-1 0,1 1 0,-1 0 0,0-1 0,0 1 0,0 0 0,-2-4 0,-3-10 0,8 15 0,3 3 0,6 7 0,21 18 0,36 41 0,-59-59 0,-1 1 0,0 0 0,-1 0 0,0 1 0,-1 0 0,0 1 0,0 0 0,6 20 0,-12-30 0,0-1 0,1 1 0,-1 0 0,0 0 0,0 0 0,0 0 0,0 0 0,0 0 0,-1-1 0,1 1 0,0 0 0,-1 0 0,1 0 0,-2 1 0,2-2 0,0-1 0,-1 0 0,1 1 0,0-1 0,0 0 0,0 0 0,-1 1 0,1-1 0,0 0 0,0 0 0,-1 1 0,1-1 0,0 0 0,-1 0 0,1 0 0,0 0 0,-1 0 0,1 1 0,0-1 0,-1 0 0,1 0 0,0 0 0,-1 0 0,1 0 0,0 0 0,-1 0 0,0 0 0,0-1 0,0 1 0,0-1 0,0 1 0,0-1 0,0 1 0,0-1 0,1 0 0,-1 0 0,0 1 0,0-1 0,0 0 0,1 0 0,-2-1 0,-3-6-341,0-1 0,1 1-1,-6-14 1,-1-7-6485</inkml:trace>
  <inkml:trace contextRef="#ctx0" brushRef="#br0" timeOffset="46312.68">4313 1813 24575,'1'-3'0,"-1"1"0,1-1 0,0 0 0,0 1 0,-1-1 0,2 1 0,-1 0 0,0-1 0,0 1 0,1 0 0,2-3 0,19-21 0,-23 25 0,38-33 0,-38 33 0,0 1 0,0 0 0,0 0 0,0-1 0,0 1 0,0 0 0,0 0 0,0-1 0,0 1 0,0 0 0,0 0 0,0 0 0,0-1 0,0 1 0,0 0 0,0 0 0,0-1 0,0 1 0,-1 0 0,1 0 0,0-1 0,0 1 0,0 0 0,0 0 0,0 0 0,-1 0 0,1-1 0,0 1 0,0 0 0,0 0 0,0 0 0,-1 0 0,1 0 0,0-1 0,0 1 0,-1 0 0,1 0 0,0 0 0,0 0 0,0 0 0,-1 0 0,1 0 0,0 0 0,0 0 0,-1 0 0,1 0 0,0 0 0,0 0 0,-1 0 0,-18-2 0,13 1 0,-13-1 0,6 0 0,28-3 0,7-1 0,-11 2 0,0 1 0,1 0 0,-1 0 0,1 2 0,21-2 0,-31 3 0,0 1 0,1-1 0,-1 0 0,0 1 0,1-1 0,-1 1 0,0 0 0,0 0 0,0 0 0,0 0 0,0 0 0,0 0 0,0 1 0,0-1 0,0 1 0,0-1 0,-1 1 0,1 0 0,-1-1 0,1 1 0,-1 0 0,0 0 0,0 0 0,0 0 0,0 0 0,0 0 0,0 1 0,0-1 0,-1 0 0,1 0 0,-1 1 0,1-1 0,-1 0 0,0 1 0,0 2 0,0 7-195,0-1 0,-1 1 0,0 0 0,-1 0 0,-1-1 0,-4 17 0,-1-7-6631</inkml:trace>
  <inkml:trace contextRef="#ctx0" brushRef="#br0" timeOffset="47865.85">4180 2817 24575,'0'0'0,"0"0"0,-1 0 0,1 0 0,0 0 0,0-1 0,-1 1 0,1 0 0,0 0 0,0 0 0,-1 0 0,1 0 0,0-1 0,0 1 0,0 0 0,-1 0 0,1 0 0,0-1 0,0 1 0,0 0 0,0 0 0,-1-1 0,1 1 0,0 0 0,0-1 0,0 1 0,0 0 0,0 0 0,0-1 0,0 1 0,0-1 0,1 0 0,5 6 0,3 10 0,0 0 0,-1-1 0,-1 2 0,-1 0 0,0 1 0,-1 0 0,0-1 0,2 22 0,-7-37 0,0 0 0,0 0 0,0 1 0,0-1 0,0 0 0,0 1 0,0-1 0,0 0 0,0 0 0,-1 1 0,1-1 0,-1 2 0,0-2 0,1-1 0,0 0 0,0 0 0,-1 1 0,1-1 0,0 0 0,0 0 0,-1 0 0,1 1 0,0-1 0,0 0 0,-1 0 0,1 0 0,0 0 0,-1 0 0,1 0 0,0 1 0,-1-1 0,1 0 0,0 0 0,-1 0 0,1 0 0,0 0 0,-1 0 0,1 0 0,0 0 0,-1-1 0,1 1 0,-1 0 0,-1-1 0,0 0 0,0 0 0,1 0 0,-1 0 0,0-1 0,1 1 0,-1-1 0,1 1 0,-1-1 0,1 0 0,0 1 0,-1-1 0,0-2 0,0 0 0,-18-37 0,19 40 0,0-1 0,1 0 0,-1 1 0,0 0 0,1-1 0,0 0 0,-1 0 0,1 1 0,0-1 0,0 0 0,0 0 0,0 0 0,0 0 0,0 0 0,1 1 0,-1-1 0,1 0 0,-1 0 0,2-3 0,-1 5 0,0-1 0,-1 1 0,1-1 0,0 1 0,0-1 0,-1 1 0,1 0 0,0-1 0,0 1 0,0 0 0,0 0 0,0-1 0,0 1 0,-1 0 0,1 0 0,0 0 0,0 0 0,0 0 0,0 0 0,0 1 0,1-1 0,23 7 0,-14-4 0,-3-1 0,0-1 0,-1 1 0,1-2 0,0 1 0,0-1 0,-1 0 0,1-1 0,10-2 0,-15 3 0,0-1 0,0 0 0,0 0 0,1 0 0,-1-1 0,0 1 0,0-1 0,-1 0 0,1 1 0,0-1 0,-1-1 0,1 1 0,-1 0 0,1-1 0,-1 1 0,0-1 0,0 1 0,0-1 0,-1 0 0,1 0 0,2-6 0,-4 8 0,0-1 0,1 0 0,-1 1 0,0 0 0,0-1 0,0 1 0,0-1 0,0 0 0,-1 0 0,1 1 0,0-1 0,-1 0 0,1 1 0,-1-1 0,0 1 0,0-1 0,1 1 0,-1-1 0,0 1 0,0-1 0,0 1 0,0 0 0,-1 0 0,1-1 0,0 1 0,-1 0 0,1 0 0,-3-1 0,-6-5 0,0 1 0,0 1 0,-14-6 0,12 6 0,8 3 0,-12-6 0,-1 1 0,0 0 0,0 0 0,-1 2 0,1 0 0,-29-3 0,45 7 0,0 1 0,0 0 0,-1 0 0,1 0 0,0 0 0,0 0 0,0 1 0,0-1 0,0 0 0,0 0 0,0 1 0,0-1 0,0 1 0,0-1 0,0 1 0,0-1 0,0 1 0,0 0 0,0-1 0,1 1 0,-1 0 0,0 0 0,-1 1 0,1 0 0,1-1 0,-1 1 0,1-1 0,-1 1 0,1 0 0,-1 0 0,1-1 0,0 1 0,0 0 0,0 0 0,0-1 0,0 1 0,1 2 0,0 2 0,0-2 0,1 1 0,-1 0 0,1 0 0,0 0 0,1-1 0,-1 1 0,1 0 0,3 3 0,-3-4-97,0-1-1,0 0 1,0-1-1,1 1 1,-1 0-1,1-1 1,0 0-1,-1 0 1,1 0-1,0 0 1,0-1-1,0 1 0,8-1 1,0 1-6729</inkml:trace>
  <inkml:trace contextRef="#ctx0" brushRef="#br0" timeOffset="49017.75">4400 2663 24575,'5'-12'0,"-5"12"0,1-1 0,-1 1 0,0-1 0,1 1 0,-1-1 0,0 1 0,1-1 0,-1 1 0,0-1 0,0 0 0,0 1 0,0-1 0,1 1 0,-1-1 0,0 1 0,0-1 0,0 0 0,0 1 0,0-1 0,0 1 0,-1-1 0,1 0 0,0 1 0,0-1 0,0 1 0,0-1 0,-1 1 0,1-1 0,0 1 0,-1-1 0,1 1 0,0-1 0,-1 1 0,1-1 0,-1 1 0,1-1 0,-1 0 0,0 0 0,0 0 0,0 0 0,-1 0 0,1 0 0,0 0 0,0 0 0,-1 0 0,1 0 0,-1 1 0,1-1 0,0 0 0,-1 1 0,1-1 0,-1 1 0,0 0 0,1-1 0,-4 1 0,4 0 0,1 0 0,-1 1 0,0-1 0,0 0 0,0 1 0,0-1 0,1 1 0,-1-1 0,0 1 0,0-1 0,1 1 0,-1 0 0,0-1 0,1 1 0,-1 0 0,1-1 0,-1 1 0,1 0 0,-1 0 0,1 0 0,0 0 0,-1-1 0,1 1 0,0 0 0,-1 0 0,1 0 0,0 0 0,0 0 0,0 0 0,0 0 0,0 1 0,0 5 0,0-1 0,1 1 0,0-1 0,0 1 0,0 0 0,1-1 0,3 9 0,-4-13 0,0 0 0,0 0 0,0 0 0,0 0 0,1 0 0,-1 0 0,1 0 0,-1 0 0,1-1 0,-1 1 0,3 1 0,-3-2 0,0-1 0,0 1 0,0-1 0,0 1 0,0-1 0,0 0 0,1 1 0,-1-1 0,0 0 0,0 0 0,0 0 0,0 0 0,0 0 0,0 0 0,0 0 0,1 0 0,-1 0 0,0-1 0,0 1 0,0 0 0,0-1 0,0 1 0,0-1 0,1 0 0,0 0 0,-1 0 0,0 0 0,0 0 0,0-1 0,1 1 0,-1 0 0,-1-1 0,1 1 0,0 0 0,0-1 0,0 1 0,-1-1 0,1 0 0,-1 1 0,1-1 0,-1 1 0,0-1 0,1 0 0,-1 1 0,0-1 0,0 0 0,0 0 0,0 2 0,-1-2 0,1 0 0,0 1 0,-2-4 0,1 0 0,-1-1 0,1 1 0,-1-1 0,-1 1 0,1 0 0,-6-9 0,6 12 0,1 1 0,0-1 0,-1 0 0,1 1 0,-1 0 0,1-1 0,-1 1 0,1 0 0,-1 0 0,-2-1 0,4 2 0,0 0 0,0 0 0,0-1 0,-1 1 0,1 0 0,0 0 0,0 0 0,0 0 0,0 0 0,0 0 0,0 0 0,-1 0 0,1 0 0,0 0 0,0 0 0,0 0 0,0 0 0,0 0 0,0 1 0,-1-1 0,1 0 0,0 0 0,0 0 0,0 0 0,0 0 0,0 0 0,0 0 0,0 0 0,-1 0 0,1 0 0,0 0 0,0 1 0,0-1 0,0 0 0,0 0 0,0 0 0,0 0 0,0 0 0,0 0 0,0 0 0,0 1 0,0-1 0,0 0 0,0 0 0,0 0 0,3 15 0,0-11 0,-1 0 0,1 0 0,0 0 0,0 0 0,0 0 0,1 0 0,-1-1 0,7 5 0,-9-7 0,0 0 0,-1-1 0,1 1 0,0-1 0,0 1 0,0-1 0,0 1 0,0-1 0,0 0 0,0 1 0,0-1 0,0 0 0,0 0 0,0 0 0,0 0 0,0 0 0,0 0 0,0 0 0,1 0 0,-1-1 0,0 1 0,0-1 0,0 0 0,-1 0 0,1 1 0,0-1 0,0 0 0,-1 0 0,1 0 0,0 0 0,-1 1 0,1-1 0,-1 0 0,0 0 0,1 0 0,-1 0 0,0 0 0,1 0 0,-1-1 0,0 1 0,0 0 0,0 0 0,0-1 0,0-4 0,0 0 0,0 0 0,0 0 0,-1 0 0,0 0 0,0 0 0,-1 1 0,-4-11 0,-2-8 0,39 30 0,-30-6 0,1 0 0,0 0 0,-1 0 0,1 0 0,0 0 0,-1-1 0,1 1 0,-1-1 0,1 1 0,0-1 0,-1 1 0,1-1 0,-1 0 0,1 0 0,-1 0 0,0 0 0,1 0 0,-1 0 0,0 0 0,0 0 0,0-1 0,0 1 0,0 0 0,0-1 0,0 1 0,0 0 0,0-1 0,-1 0 0,1 1 0,0-1 0,-1 1 0,0-1 0,1 0 0,-1 1 0,0-1 0,0 0 0,0 1 0,0-1 0,0 0 0,0 2 0,0-2 0,0 0 0,-1 1 0,1-1 0,-2-2 0,1 3 0,2 8 0,5 11 0,12 12 0,2-1 0,0-2 0,45 46 0,-39-45 0,-2 0 0,-2 1 0,21 34 0,-40-59 0,0 1 0,-1-1 0,0 1 0,0 0 0,1 6 0,-3-10 0,0-1 0,1 1 0,-1 0 0,0-1 0,0 1 0,0 0 0,0 0 0,0-1 0,0 1 0,-1 0 0,1-1 0,0 1 0,0 0 0,0-1 0,-1 1 0,1 0 0,0-1 0,0 1 0,-1-1 0,1 1 0,-1-1 0,1 1 0,-1 0 0,1-1 0,-1 0 0,1 1 0,-1-1 0,1 1 0,-1-1 0,1 0 0,-1 1 0,0-1 0,1 0 0,-1 1 0,0-1 0,1 0 0,-1 0 0,0 0 0,1 0 0,-1 0 0,0 0 0,1 0 0,-1 0 0,0 0 0,1 0 0,-1 0 0,-1 0 0,-2 0 0,0 0 0,0-1 0,1 1 0,-1-1 0,0 0 0,0 0 0,0 0 0,0-1 0,1 1 0,-1-1 0,1 0 0,-1 0 0,2 0 0,-1 0 0,0-1 0,0 1 0,0-1 0,0 0 0,0 0 0,1 0 0,-1 0 0,1 0 0,0 0 0,0-1 0,0 1 0,1-1 0,-1 0 0,1 1 0,0 0 0,-1-5 0,-3-13 0,2 0 0,1 0 0,0 1 0,2-34 0,1 19 0,-23-291 0,17 301 0,2 19 0,0 15 0,3-8 0,0 0 0,-1 1 0,1-1 0,0 1 0,0-1 0,0 1 0,0-1 0,0 1 0,0-1 0,1 0 0,-1 1 0,0-1 0,1 1 0,-1-1 0,1 0 0,0 1 0,-1-1 0,1 0 0,0 0 0,0 1 0,0-1 0,0 0 0,0 0 0,0 0 0,0 0 0,0 0 0,2 1 0,-1-1 0,1-1 0,0 1 0,0 0 0,-1-1 0,1 0 0,0 0 0,0 0 0,0 0 0,0 0 0,0 0 0,-1-1 0,7-1 0,-8 2 0,1-1 0,0 1 0,-1 0 0,1 0 0,0 0 0,0 0 0,-1 0 0,1 0 0,0 0 0,-1 0 0,1 0 0,0 1 0,-1-1 0,1 1 0,-1-1 0,0 1 0,1 0 0,-1 0 0,1 0 0,-1 0 0,1 0 0,-1 0 0,0 0 0,1 0 0,-1 0 0,2 3 0,-2-2 0,0 0 0,0 0 0,0 0 0,-1 0 0,1-1 0,-1 1 0,1 1 0,-1-1 0,1 0 0,-1 0 0,0 0 0,0 1 0,0-1 0,-1 0 0,1 0 0,0 1 0,-1-1 0,0 0 0,1 0 0,-1 0 0,-1 2 0,2-3-22,0-1-1,0 1 1,0-1 0,0 1-1,0-1 1,-1 1 0,1-1-1,0 1 1,0-1-1,0 1 1,-1-1 0,1 1-1,0-1 1,-1 0 0,1 1-1,0-1 1,-1 1-1,1-1 1,-1 0 0,1 1-1,0-1 1,-1 0-1,1 0 1,-1 1 0,1-1-1,-1 0 1,1 0 0,-1 0-1,1 1 1,-1-1-1,1 0 1,-1 0 0,1 0-1,-1 0 1,1 0-1,-1 0 1,1 0 0,-1 0-1,1 0 1,-1-1 0,1 1-1,-1 0 1,1 0-1,-1 0 1,1 0 0,-1-1-1,1 1 1,-1 0 0,1-1-1,0 1 1,0 0-1,0-1 1,-1 1 0,1 0-1,0-1 1,-1 1-1,1-1 1,0 1 0,-1-1-1,1 0 1,-5-7-6804</inkml:trace>
  <inkml:trace contextRef="#ctx0" brushRef="#br0" timeOffset="49456.09">4747 2233 24575,'2'-5'0,"-1"0"0,1 2 0,0-2 0,0 1 0,0 0 0,0-1 0,1 1 0,-1 0 0,1 0 0,1 1 0,-1-1 0,5-4 0,-1 0 0,21-19 0,-20 20 0,0 0 0,-1 0 0,0-1 0,7-11 0,-14 19 0,1 0 0,-1-1 0,0 1 0,0 0 0,0 0 0,0 0 0,0-1 0,0 1 0,0 0 0,0 0 0,0 0 0,0-1 0,0 1 0,0 0 0,0 0 0,0-1 0,0 1 0,0 0 0,0 0 0,0 0 0,0-1 0,0 1 0,0 0 0,0 0 0,0 0 0,0-1 0,0 1 0,0 0 0,0 0 0,-1 0 0,1-1 0,0 1 0,0 0 0,0 0 0,-1 0 0,-9-4 0,-17 4 0,22 0 0,-12-2 0,2 0 0,23 4 0,3 1 0,0 0 0,0 0 0,0 1 0,0 0 0,-1 1 0,15 8 0,-23-11 0,0-1 0,0 1 0,1 0 0,-1 0 0,0 0 0,-1 0 0,1 0 0,0 0 0,-1 0 0,1 0 0,-1 1 0,1-1 0,-1 1 0,0-1 0,0 0 0,0 0 0,-1 1 0,1 0 0,-1-1 0,1 1 0,-1 0 0,0 0 0,0-1 0,0 1 0,0 0 0,0-1 0,-1 1 0,1 0 0,-1 0 0,0-1 0,0 1 0,0-1 0,-1 3 0,-7 11-1365,0-2-5461</inkml:trace>
  <inkml:trace contextRef="#ctx0" brushRef="#br0" timeOffset="51667.71">4102 2658 24575,'0'0'0,"0"0"0,0 0 0,-1-1 0,1 1 0,0 0 0,-1 0 0,1-1 0,0 1 0,0 0 0,0-1 0,-1 1 0,1 0 0,0-1 0,0 1 0,0 0 0,0-1 0,0 1 0,0 0 0,0-1 0,0 1 0,0-1 0,0 1 0,0 0 0,0-1 0,0 1 0,0 0 0,0-1 0,0 1 0,0-1 0,0 1 0,1-1 0,10-7 0,20 0 0,96-8 0,17-3 0,-51 3 0,302-51 0,5 25 0,-345 40 0,-49 2-32,-9 0 112,-8 0-1493,-3-3-5413</inkml:trace>
  <inkml:trace contextRef="#ctx0" brushRef="#br0" timeOffset="52320.44">5087 1785 24575,'-2'-16'0,"2"16"0,0 0 0,0-1 0,0 1 0,-1 0 0,1 0 0,0 0 0,0-1 0,0 1 0,0 0 0,0 0 0,0 0 0,0 0 0,0-1 0,-1 1 0,1 0 0,0 0 0,0 0 0,0 0 0,0 0 0,-1 0 0,1-1 0,0 1 0,0 0 0,0 0 0,0 0 0,-1 0 0,1 0 0,0 0 0,0 0 0,0 0 0,-1 0 0,1 0 0,0 0 0,-1 0 0,0 1 0,-1 0 0,0 1 0,1-1 0,-1 0 0,1 1 0,-1-1 0,1 1 0,0 0 0,-1-1 0,1 1 0,-1 2 0,-26 44 0,2 2 0,2 0 0,-19 61 0,6-17 0,-261 538 0,218-493 0,-6-4 0,-142 170 0,217-293 0,-12 16 0,22-26 0,-1-1 0,1 0 0,0 0 0,1 1 0,-1 0 0,0 0 0,0-1 0,1 1 0,-1 0 0,1 0 0,-1 0 0,1 0 0,0 3 0,0-4-36,0 0 0,1 0 0,-1 0 1,0-1-1,1 1 0,-1 0 0,1 0 0,-1-1 0,1 1 0,-1 0 0,1-1 0,-1 1 0,1-1 0,-1 1 0,1-1 0,0 1 0,0-1 1,-1 1-1,1-1 0,0 1 0,0-1 0,-1 0 0,1 0 0,0 1 0,0-1 0,0 0 0,-1 0 0,1 0 0,0 0 0,0 0 0,0 0 1,0 0-1,-1 0 0,1 0 0,0 0 0,0-1 0,1 1 0</inkml:trace>
  <inkml:trace contextRef="#ctx0" brushRef="#br0" timeOffset="53967.78">3316 2957 24575,'-4'-11'0,"2"1"0,2 9 0,1 1 0,-1 0 0,0 0 0,1-1 0,-1 1 0,1 0 0,-1 0 0,0 0 0,1 0 0,-1-1 0,1 1 0,-1 0 0,1 0 0,-1 0 0,1 0 0,-1 0 0,0 0 0,1 0 0,-1 0 0,1 0 0,-1 1 0,1-1 0,-1 0 0,1 0 0,-1 0 0,0 0 0,1 1 0,18 8 0,-18-9 0,0 1 0,0 0 0,1-1 0,-1 1 0,0 0 0,0-1 0,0 0 0,1 1 0,-2-1 0,1 0 0,1 1 0,1-1 0,-2-1 0,0 1 0,-1-1 0,1 1 0,0-1 0,-1 0 0,1 1 0,-1-1 0,1 0 0,-1 1 0,1-1 0,-1 0 0,0 0 0,1 0 0,-1 1 0,0-1 0,0 0 0,1 0 0,-1 0 0,0 0 0,0 0 0,0 0 0,0 1 0,0-1 0,0 0 0,-1-2 0,3-73 0,-2 34 0,2 0 0,10-57 0,-10 88 0,0-1 0,0 1 0,1-1 0,1 2 0,0-2 0,8-15 0,-8 22-1365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6:55.724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0 589 24575,'0'17'0,"1"31"0,-1-46 0,1 1 0,-1-1 0,0 1 0,1-1 0,0 0 0,0 1 0,-1-1 0,1 0 0,0 0 0,1 1 0,-1-1 0,0 0 0,1 0 0,-1 0 0,4 3 0,-4-5 0,-1 0 0,1 0 0,-1 0 0,1 1 0,0-1 0,-1 0 0,1 0 0,-1 0 0,1 0 0,0 0 0,-1 0 0,1 0 0,-1-1 0,1 1 0,0 0 0,-1 0 0,1 0 0,-1 0 0,1-1 0,-1 1 0,1 0 0,-1-1 0,1 1 0,-1 0 0,1-1 0,-1 1 0,1-1 0,-1 1 0,0-1 0,1 1 0,-1-1 0,1 1 0,-1-1 0,0 0 0,14-22 0,-14 22 0,13-26 0,-2-1 0,-1-1 0,-1 0 0,9-54 0,4-124 0,-20 187 0,0-7 0,13-124 0,-9 125 0,-6 26 0,0 0 0,0-1 0,0 1 0,0 0 0,0 0 0,0-1 0,0 1 0,0 0 0,0 0 0,0 0 0,0-1 0,0 1 0,0 0 0,1 0 0,-1-1 0,0 1 0,0 0 0,0 0 0,0 0 0,1 0 0,-1-1 0,0 1 0,0 0 0,0 0 0,1 0 0,-1 0 0,0 0 0,0 0 0,1-1 0,-1 1 0,0 0 0,0 0 0,0 0 0,1 0 0,-1 0 0,0 0 0,0 0 0,1 0 0,-1 0 0,0 0 0,1 0 0,7 9 0,3 20 0,-11-29 0,127 476 0,-132-485-1365,-1-2-5461</inkml:trace>
  <inkml:trace contextRef="#ctx0" brushRef="#br0" timeOffset="206.68">74 373 24575,'0'0'0,"3"0"0,3-4 0,5-3 0,6-5 0,5-3 0,5-1 0,2 3 0,2 1 0,-5 3-8191</inkml:trace>
  <inkml:trace contextRef="#ctx0" brushRef="#br0" timeOffset="458.94">390 246 24575,'3'191'0,"33"228"0,-33-398-112,-3-13-27,1 0 0,0 0-1,1 0 1,-1 0 0,2-1 0,-1 1-1,1 0 1,6 14 0</inkml:trace>
  <inkml:trace contextRef="#ctx0" brushRef="#br0" timeOffset="771.03">321 373 24575,'0'-4'0,"0"0"0,1-1 0,-1 1 0,1 0 0,0-1 0,0 1 0,0 0 0,1 0 0,0 0 0,-1 0 0,1 0 0,1 0 0,-1 1 0,0-1 0,4-2 0,-5 5 0,1 0 0,-1-1 0,0 1 0,1 0 0,-1 0 0,1 1 0,-1-1 0,1 0 0,-1 0 0,1 1 0,0-1 0,-1 1 0,1-1 0,0 1 0,0 0 0,2-1 0,-2 2 0,1-1 0,-1 0 0,1 1 0,-1 0 0,0-1 0,1 1 0,-1 0 0,0 0 0,1 0 0,-1 1 0,0-1 0,0 1 0,0-1 0,2 2 0,1 2 0,0 0 0,0 1 0,-1 0 0,0 0 0,0 0 0,0 1 0,-1-1 0,0 1 0,0 0 0,-2-1 0,1 1 0,0 0 0,0 0 0,0 11 0,-1-4 0,0-1 0,-1-1 0,0 1 0,-1 1 0,0-1 0,-1 0 0,-5 14 0,-6 8 0,12-33 0,1-1 0,-1 0 0,1 0 0,-1 1 0,0-1 0,0 0 0,1-1 0,-1 1 0,0 0 0,0 0 0,0 0 0,0 0 0,0 0 0,-1 0 0,1-1 0,0 1 0,0 0 0,0-1 0,-1 1 0,1-1 0,0 1 0,-1-1 0,-1 1 0,3-1 4,-1-1-1,0 1 0,0 0 1,1-1-1,-1 1 0,0-1 1,1 1-1,-1-1 1,1 1-1,-1-1 0,0 1 1,1-1-1,-1 1 0,1-1 1,0 0-1,-1 1 0,1-1 1,-1 0-1,1 0 1,0 1-1,0-1 0,-1 1 1,1-1-1,0 1 0,0-1 1,0 0-1,0 0 1,0 1-1,0-1 0,0 0 1,0 0-1,0-1 0,4-26-1479,1 11-5350</inkml:trace>
  <inkml:trace contextRef="#ctx0" brushRef="#br0" timeOffset="1175.14">508 449 24575,'0'0'0,"0"-1"0,0 1 0,0-1 0,0 0 0,0 1 0,0-1 0,0 1 0,0-1 0,1 1 0,-1-1 0,0 1 0,0-1 0,1 1 0,-1 0 0,0 0 0,0-1 0,1 1 0,-1 0 0,1-1 0,-1 1 0,0-1 0,1 1 0,-1 0 0,1-1 0,-1 1 0,1 0 0,-1 0 0,1-1 0,-1 1 0,1 0 0,-1 0 0,1 0 0,-1 0 0,1 0 0,0-1 0,-1 1 0,1 0 0,-1 0 0,1 0 0,-1 1 0,1-1 0,-1 0 0,1 0 0,-1 0 0,1 0 0,0 0 0,-1 1 0,1-1 0,0 1 0,26 11 0,-18-5 0,0 0 0,0 1 0,-1 0 0,0 0 0,0 1 0,8 12 0,-13-18 0,-1 1 0,1 0 0,-1 0 0,0 0 0,0 0 0,-1 0 0,1 0 0,-1 1 0,0-1 0,0 1 0,0-1 0,0 0 0,-1 1 0,0-2 0,0 2 0,0 0 0,0-1 0,-1 1 0,-1 3 0,2-6 0,0-1 0,-1 0 0,1 0 0,-1 0 0,1 0 0,-1 0 0,1 0 0,-1 0 0,1 0 0,-1-1 0,0 1 0,1 0 0,-1 0 0,0 0 0,-1 0 0,1 0 0,1-1 0,0 0 0,-1 0 0,1 0 0,-1 0 0,1 0 0,0 0 0,-1-1 0,1 1 0,0 0 0,-1 0 0,1 0 0,0 0 0,-1 0 0,1 0 0,0-1 0,-1 1 0,1 0 0,0 0 0,0 0 0,-1-1 0,1 1 0,0 0 0,0 0 0,-1-1 0,1 1 0,0 0 0,0-1 0,-1 0 0,0-2 0,-1 0 0,0-1 0,1 0 0,0 1 0,0-1 0,0 0 0,0-4 0,0-3 0,0 0 0,1-1 0,2-22 0,-1 31 0,-1 1 0,0 0 0,1-1 0,-1 1 0,1-1 0,0 1 0,0-1 0,0 1 0,0-1 0,0 1 0,0 0 0,1-1 0,-1 1 0,1 0 0,0 0 0,0 0 0,0 0 0,-1 0 0,2 1 0,-1-1 0,0 1 0,0-1 0,4-1 0,-3 3-27,-1-1 1,1 1-1,-1 0 0,1 0 0,-1 0 0,1 0 0,0 1 0,-1-1 1,0 1-1,1 0 0,3 1 0,1 0-1016,2 1-5783</inkml:trace>
  <inkml:trace contextRef="#ctx0" brushRef="#br0" timeOffset="1357.91">719 432 24575,'0'1'0,"1"5"0,1 2 0,2 5 0,-1 2 0,4 3 0,1 0 0,-1 1 0,1-2 0,-2-1 0,0-5 0,-1-7 0</inkml:trace>
  <inkml:trace contextRef="#ctx0" brushRef="#br0" timeOffset="1667.8">705 183 24575,'0'2'0,"0"-1"0,1 1 0,-1 0 0,0 0 0,1 0 0,-1-1 0,1 1 0,0 0 0,0-1 0,0 1 0,0 0 0,0-1 0,0 1 0,2 1 0,-2-2 0,-1-1 0,0 1 0,1-1 0,0 1 0,-1-1 0,1 0 0,-1 1 0,1-1 0,-1 0 0,1 0 0,0 1 0,-1-1 0,1 0 0,0 0 0,-1 0 0,1 0 0,0 0 0,-1 0 0,1 0 0,0 0 0,-1 0 0,1 0 0,-1 0 0,1 0 0,0 0 0,-1 0 0,1-1 0,0 1 0,-1 0 0,1 0 0,-1-1 0,1 1 0,-1-1 0,1 1 0,-1 0 0,1-1 0,-1 1 0,1-1 0,-1 1 0,1-1 0,-1 1 0,0-1 0,1-1 0,0 1 0,0 0 0,-1-1 0,1 1 0,0-1 0,-1 1 0,0-1 0,1 1 0,-1-1 0,0 1 0,0-1 0,0 1 0,0-1 0,0 0 0,0 1 0,0-1 0,0 1 0,-1-1 0,1 1 0,-1-1 0,1 1 0,-1-1 0,1 1 0,-1 0 0,0 0 0,0 0 0,0 0 0,0-1 0,-2-1 0,3 3 0,-1-1 0,1 0 0,-1 1 0,0-1 0,1 0 0,-1 1 0,0-1 0,0 1 0,1-1 0,-1 1 0,0 0 0,0-1 0,0 1 0,0 0 0,0-1 0,0 1 0,1 0 0,-1 0 0,0 0 0,0 0 0,0 0 0,0 0 0,0 0 0,0 0 0,0 0 0,0 1 0,0-1 0,1 0 0,-1 0 0,0 1 0,0-1 0,0 1 0,0-1 0,1 1 0,-1-1 0,0 1 0,0-1 0,1 1 0,-1 0 0,1-1 0,-1 1 0,0 0 0,1-1 0,-1 1 0,1 0 0,-1 0 0,1 1 0,-2-1 9,1 2 1,0-1-1,0 1 0,0-1 0,0 0 1,1 1-1,-1 0 0,1-1 0,-1 1 0,1-1 1,0 1-1,0 3 0,1-4-68,-1-1-1,0 0 1,1 1-1,-1-1 1,0 0 0,1 1-1,0-1 1,-1 0-1,1 0 1,0 0 0,-1 0-1,1 1 1,0-1-1,0 0 1,0 0 0,0-1-1,0 1 1,0 0-1,0 0 1,1 0 0,-1-1-1,0 1 1,0 0-1,3 0 1,8 2-6767</inkml:trace>
  <inkml:trace contextRef="#ctx0" brushRef="#br0" timeOffset="1930.66">829 138 24575,'5'10'0,"0"1"0,-1 0 0,0-2 0,0 2 0,-1 1 0,2 14 0,-1-8 0,22 128 0,16 59 0,-30-172 120,-12-32-144,0-1-1,0 1 1,1-1 0,-1 1-1,0-1 1,0 1 0,0-1-1,0 1 1,1-1 0,-1 0-1,0 1 1,1-1 0,-1 1-1,0-1 1,1 0-1,-1 1 1,0-1 0,1 0-1,-1 1 1,1-1 0,-1 0-1,0 0 1,1 1 0,-1-1-1,1 0 1,-1 0 0,1 0-1,-1 0 1,1 1 0,-1-1-1,1 0 1,-1 0 0,1 0-1,-1 0 1,1 0 0,-1 0-1,1 0 1,-1-1 0,1 1-1,-1 0 1,1 0 0,-1 0-1,1 0 1,-1-1-1,0 1 1,1 0 0,-1 0-1,1-1 1,-1 1 0,0 0-1,1-1 1,-1 1 0,0 0-1,1-1 1,-1 1 0,0-1-1,1 1 1,-1-1 0,0 1-1,1-1 1,4-9-6802</inkml:trace>
  <inkml:trace contextRef="#ctx0" brushRef="#br0" timeOffset="2150.71">1007 467 24575,'0'2'0,"2"0"0,1 0 0,3-2 0,1-1 0,2-2 0,2-2 0,2 0 0,1 0 0,-1 1 0,-1 1 0,-1-1 0,-3 2-8191</inkml:trace>
  <inkml:trace contextRef="#ctx0" brushRef="#br0" timeOffset="3158.92">1409 332 24575,'0'1'0,"1"4"0,0 6 0,0 5 0,0 5 0,0 7 0,1 1 0,2 1 0,-1-2 0,-1-5 0,0-4 0,-1-7 0,-1-9 0</inkml:trace>
  <inkml:trace contextRef="#ctx0" brushRef="#br0" timeOffset="3361.85">1400 301 24575,'2'1'0,"2"3"0,3 2 0,4 6 0,2 5 0,4 3 0,2 1 0,0 2 0,-2-3 0,-1-3 0,-2-4 0,-3-3 0,-2-3 0,0-5 0,-2-8 0,-2-1-8191</inkml:trace>
  <inkml:trace contextRef="#ctx0" brushRef="#br0" timeOffset="3563.59">1565 70 24575,'0'4'0,"0"4"0,0 6 0,2 5 0,0 6 0,2 8 0,1 8 0,-1 3 0,-1 2 0,1-1 0,1-6 0,0-6 0,1-10 0,0-9 0,-2-7-8191</inkml:trace>
  <inkml:trace contextRef="#ctx0" brushRef="#br0" timeOffset="3905.26">1675 337 24575,'0'-2'0,"1"1"0,-1 0 0,0 0 0,1 0 0,-1-1 0,1 1 0,-1 0 0,1 0 0,0 0 0,-1 0 0,1 0 0,0 0 0,0 0 0,0 0 0,0 0 0,0 0 0,0 0 0,0 1 0,0-1 0,0 0 0,0 1 0,0-1 0,0 1 0,0-1 0,1 1 0,-1 0 0,0-1 0,0 1 0,1 0 0,-1 0 0,0 0 0,0 0 0,1 0 0,-1 0 0,0 0 0,0 0 0,1 0 0,-1 1 0,0-1 0,0 1 0,1-1 0,-1 1 0,0-1 0,0 1 0,0-1 0,0 1 0,0 0 0,0 0 0,0 0 0,0-1 0,0 1 0,0 0 0,-1 0 0,1 0 0,0 0 0,-1 1 0,1-1 0,0 0 0,-1 0 0,1 0 0,-1 0 0,0 1 0,1 1 0,-1-5 0,0-1 0,0 1 0,-1 0 0,1 0 0,0-1 0,-1 1 0,0 0 0,1 0 0,-1 0 0,0 0 0,0 0 0,-2-2 0,3 3 0,0 1 0,-1 0 0,1 0 0,-1-1 0,1 1 0,-1-1 0,1 1 0,-1-1 0,1 1 0,-1 0 0,0 0 0,1-1 0,-1 1 0,1 0 0,-1 0 0,0-1 0,1 1 0,-1 0 0,1 0 0,-1 0 0,0 0 0,1 0 0,-1 0 0,0 0 0,1 0 0,-1 0 0,0 1 0,1-1 0,-1 0 0,1 0 0,-1 0 0,0 1 0,1-1 0,-1 0 0,1 1 0,-1-1 0,1 0 0,-1 1 0,1-1 0,-1 1 0,1-1 0,-1 0 0,1 0 0,0 1 0,-1 0 0,-4 6 0,1-1 0,1 1 0,-1 0 0,1 0 0,0 0 0,0 0 0,1 0 0,0 1 0,1-2 0,-1 2 0,1-1 0,1 1 0,-1-1 0,2 1 0,-1 0 0,1-1 0,0 1 0,0-2 0,1 2 0,3 9 0,-4-15-33,1 0 0,-1 0-1,0 0 1,1 0 0,0 0-1,-1-1 1,1 1 0,0-1 0,0 1-1,0-1 1,0 0 0,0 1-1,0-1 1,0 0 0,1-1-1,-1 1 1,0 0 0,1-1 0,-1 1-1,0-1 1,1 1 0,-1-1-1,0 0 1,1 0 0,-1 0-1,1-1 1,-1 1 0,0 0 0,1-1-1,-1 0 1,0 1 0,1-1-1,-1 0 1,0 0 0,0 0-1,0-1 1,0 1 0,0 0 0,0-1-1,2-1 1,4-6-6793</inkml:trace>
  <inkml:trace contextRef="#ctx0" brushRef="#br0" timeOffset="4271.86">1794 309 24575,'1'5'0,"-1"-1"0,1 0 0,-1 1 0,1-1 0,0 0 0,1 1 0,-1-1 0,1 0 0,0 0 0,0 0 0,0 0 0,1-1 0,2 5 0,-4-6 0,1-1 0,0 0 0,-1 1 0,1-1 0,0 1 0,-1-1 0,1 1 0,0-1 0,0 0 0,0 0 0,1 0 0,-1 0 0,0 0 0,0 0 0,0-1 0,1 1 0,-1-1 0,0 1 0,1-1 0,-1 0 0,0 0 0,1 0 0,-1 0 0,0-1 0,0 1 0,5-2 0,-6 2 0,1-1 0,-1 0 0,1 0 0,-1 0 0,1-1 0,-1 1 0,0 0 0,0 0 0,1-1 0,-1 1 0,0-1 0,0 1 0,0 0 0,-1 0 0,2-4 0,-1 4 0,-1 1 0,0-1 0,1 0 0,-1 1 0,0-1 0,1 0 0,-1 0 0,0 1 0,0-1 0,0 0 0,0 0 0,0 1 0,0-1 0,0 0 0,0 0 0,0 1 0,0-1 0,-1 0 0,1 0 0,0 1 0,0-1 0,-1 0 0,1 1 0,0-1 0,-1 0 0,1 1 0,-1-1 0,1 0 0,-1 1 0,1-1 0,-1 1 0,1-1 0,-1 1 0,1-1 0,-1 1 0,0 0 0,1-1 0,-2 0 0,1 1 0,0 0 0,0 0 0,-1 0 0,1 0 0,0 1 0,0-1 0,0 0 0,0 0 0,-1 1 0,1-1 0,0 1 0,0-1 0,0 1 0,0-1 0,0 1 0,0 0 0,0-1 0,0 1 0,0 0 0,1 0 0,-1 0 0,0-1 0,0 1 0,1 0 0,-1 0 0,0 0 0,1 0 0,-1 0 0,1 1 0,-1 0 0,-14 35 0,15-36 0,-1 1 0,-4 11 0,1 0 0,1 1 0,0-2 0,0 2 0,2-1 0,-1 17 0,2-30-59,0 1 0,0 0-1,0 0 1,0-1-1,0 1 1,0 0 0,1 0-1,-1 0 1,0 0 0,0-1-1,1 1 1,-1 0 0,1 0-1,-1-1 1,1 1-1,-1 0 1,1-1 0,-1 1-1,1 0 1,-1-1 0,1 1-1,1 0 1,5 1-6767</inkml:trace>
  <inkml:trace contextRef="#ctx0" brushRef="#br0" timeOffset="4505.92">2060 12 24575,'2'0'0,"0"4"0,0 6 0,-1 4 0,0 9 0,0 5 0,-1 6 0,1 8 0,0 1 0,1-2 0,0-6 0,0-7 0,1-6 0,1-7-8191</inkml:trace>
  <inkml:trace contextRef="#ctx0" brushRef="#br0" timeOffset="4701.72">1959 129 24575,'-2'2'0,"-1"1"0,0 3 0,1-1 0,3 0 0,4-2 0,4-1 0,6-6 0,8-5 0,7-3 0,4-5 0,1-1 0,-1-2 0,-6 3-8191</inkml:trace>
  <inkml:trace contextRef="#ctx0" brushRef="#br0" timeOffset="5406.78">2435 30 24575,'-1'57'0,"2"-1"0,4 1 0,15 80 0,-18-132 0,-1-6 0,1-14 0,-3-25 0,-18-246 0,21 301 0,0-1 0,1-1 0,1 1 0,6 17 0,-7-24 0,0-1 0,0 0 0,1 1 0,0-1 0,0 0 0,0 0 0,1 0 0,0 0 0,0-1 0,8 7 0,-13-11 0,1-1 0,0 1 0,0 0 0,0 0 0,0-1 0,0 1 0,0-1 0,0 1 0,0-1 0,0 1 0,0-1 0,0 1 0,0-1 0,0 0 0,0 0 0,1 0 0,-1 0 0,0 1 0,0-2 0,0 1 0,0 0 0,0 0 0,1 0 0,-1 0 0,0-1 0,0 1 0,0 0 0,0-1 0,0 1 0,0-1 0,0 1 0,0-1 0,0 0 0,0 1 0,0-1 0,0 0 0,-1 0 0,1 0 0,0 0 0,0 1 0,-1-1 0,1 0 0,0 0 0,-1 0 0,1 0 0,-1-1 0,0 1 0,1 0 0,-1-1 0,3-7 0,0-1 0,0 0 0,-1 1 0,1-13 0,-3 17 0,0 5 0,0 0 0,0 0 0,0-1 0,0 1 0,0 0 0,0-1 0,0 1 0,0 0 0,0 0 0,0-1 0,0 1 0,0 0 0,0 0 0,0-1 0,0 1 0,0 0 0,0 0 0,0-1 0,0 1 0,0 0 0,1 0 0,-1-1 0,0 1 0,0 0 0,0 0 0,0-1 0,1 1 0,-1 0 0,0 0 0,0 0 0,1 0 0,-1-1 0,0 1 0,1 0 0,3 9 0,4 20 0,-8-28 0,49 258-1365,-47-247-5461</inkml:trace>
  <inkml:trace contextRef="#ctx0" brushRef="#br0" timeOffset="5829.92">2742 233 24575,'0'0'0,"0"-6"0,0 1 0,-1-1 0,1 1 0,-3-10 0,3 14 0,0 1 0,-1-1 0,1 0 0,0 0 0,0 1 0,-1-1 0,1 0 0,0 0 0,-1 1 0,1-1 0,-1 0 0,1 1 0,-1-1 0,1 1 0,-1-1 0,1 0 0,-1 1 0,0-1 0,1 1 0,-1 0 0,0-1 0,1 1 0,-1 0 0,0-1 0,0 1 0,1 0 0,-1 0 0,0-1 0,0 1 0,0 0 0,1 0 0,-1 0 0,0 0 0,0 0 0,0 0 0,1 0 0,-1 0 0,0 1 0,0-1 0,0 0 0,1 0 0,-2 1 0,0 1 0,0-1 0,0 0 0,0 1 0,1-1 0,-1 1 0,1 0 0,-1-1 0,1 1 0,0 0 0,-1 0 0,1 0 0,0 0 0,0 0 0,1 0 0,-1 0 0,0 0 0,1 1 0,-1 3 0,-5 41 0,6-43 0,0 0 0,1-1 0,-1 1 0,1-1 0,0 0 0,-1 1 0,1-1 0,1 1 0,-1-1 0,1 0 0,-1-1 0,4 6 0,-4-7 0,-1 0 0,1-1 0,0 1 0,-1 0 0,1-1 0,0 1 0,-1 0 0,1-1 0,0 1 0,0-1 0,0 0 0,-1 1 0,1-1 0,0 1 0,0-1 0,0 0 0,0 0 0,0 0 0,0 1 0,1-1 0,-1-1 0,1 1 0,-1 0 0,0-1 0,1 1 0,-1-1 0,0 0 0,0 1 0,1-1 0,-1 0 0,0 0 0,0 0 0,0 0 0,0 0 0,0 0 0,0 0 0,0 0 0,1-3 0,0 2 0,-1 0 0,1-1 0,-1 0 0,0 0 0,0 0 0,0 0 0,0-1 0,0-3 0,4-12 0,3 41 0,-4-9-120,-2-2-87,0-2-1,1 1 1,1 0-1,0-1 0,10 19 1,-9-22-6619</inkml:trace>
  <inkml:trace contextRef="#ctx0" brushRef="#br0" timeOffset="6174.92">2815 224 24575,'2'0'0,"0"1"0,0-1 0,0 1 0,0 0 0,1 0 0,-2-1 0,1 1 0,0 0 0,0 1 0,0-1 0,0 0 0,-1 0 0,1 1 0,2 1 0,22 26 0,-20-21 0,1 1 0,0 1 0,0 0 0,-1-1 0,6 15 0,-10-20 0,0 0 0,-1 0 0,1 0 0,-1 0 0,0 1 0,0-1 0,-1 0 0,1 0 0,-1 0 0,0 0 0,0 1 0,0-1 0,-1 0 0,-1 9 0,2-12 0,0-1 0,-1 1 0,1-1 0,0 1 0,0-1 0,0 1 0,0-1 0,0 1 0,0-1 0,-1 1 0,1-1 0,0 1 0,0-1 0,-1 0 0,1 1 0,0-1 0,-1 1 0,1-1 0,-1 0 0,1 1 0,0-1 0,-1 0 0,1 1 0,-1-1 0,1 0 0,-1 0 0,1 0 0,-1 1 0,1-1 0,-1 0 0,1 0 0,-1 0 0,1 0 0,-1 0 0,1 0 0,-1 0 0,1 0 0,-1 0 0,1 0 0,-1 0 0,1 0 0,-1 0 0,1 0 0,-1-1 0,1 1 0,-1 0 0,-1-1 0,1 0 0,0 0 0,0-1 0,0 1 0,0 0 0,0 0 0,0-1 0,0 1 0,0-1 0,0 1 0,1 0 0,-1-1 0,0-3 0,0-1 8,0 0 0,0 0 0,0-1 0,1 2 0,0-2 0,1 1 0,-1 0 0,1-1 0,0 1 0,1 0 0,-1 0 0,1 0 0,1 0 0,4-8 0,-5 10-70,0 1 0,0-1 0,0 1 0,1 0 1,-1 0-1,1 0 0,0 0 0,0 0 0,0 1 0,0-1 0,1 1 0,-1 0 1,1 0-1,-1 0 0,1 1 0,0-1 0,0 1 0,-1 0 0,1 0 0,0 0 1,0 0-1,0 1 0,8-1 0,1 2-6764</inkml:trace>
  <inkml:trace contextRef="#ctx0" brushRef="#br0" timeOffset="6774.75">3062 255 24575,'-4'-32'0,"-3"19"0,6 12 0,1 1 0,-1 0 0,1 0 0,0 0 0,-1 0 0,1 0 0,0 0 0,-1 0 0,1 0 0,-1 0 0,1 0 0,0 0 0,-1 0 0,1 1 0,-1-1 0,1 0 0,0 0 0,-1 0 0,1 0 0,0 1 0,-1-1 0,1 0 0,0 0 0,0 1 0,-1-1 0,1 0 0,0 1 0,0-1 0,-1 0 0,1 0 0,0 1 0,0-1 0,0 1 0,-1-1 0,1 1 0,-2 3 0,0 1 0,0-1 0,0 1 0,0-1 0,1 0 0,0 1 0,0 0 0,0 0 0,1 7 0,1 45 0,-1-54 0,1-1 0,-1 1 0,1-1 0,-1 1 0,1-1 0,0 1 0,0-1 0,1 0 0,-1 1 0,0-1 0,1 0 0,-1 0 0,1 0 0,-1 0 0,1 0 0,0-1 0,0 1 0,0 0 0,0-1 0,0 0 0,1 1 0,-1-1 0,0 0 0,1-1 0,-1 1 0,0 0 0,1 0 0,-1-1 0,1 1 0,3-1 0,-2 1 0,-1-1 0,0 0 0,1 0 0,-1 0 0,0 0 0,0-1 0,1 1 0,-1-1 0,0 0 0,0 0 0,1 0 0,-1 1 0,0-2 0,0 1 0,-1-1 0,1 0 0,0 1 0,0-1 0,-1-1 0,1 1 0,-1 0 0,0-1 0,4-3 0,-4-1 0,1 0 0,0 1 0,0-1 0,-1 0 0,0-1 0,0 2 0,1-15 0,-1-54 0,-2 53 0,1 5 0,-1 7 0,1-1 0,-2 1 0,0-1 0,-2-10 0,3 21 0,0 0 0,0-1 0,0 1 0,0 0 0,0 0 0,0 0 0,0-1 0,0 1 0,0 0 0,0 0 0,0 0 0,0 0 0,0-1 0,0 1 0,0 0 0,0 0 0,0 0 0,0-1 0,0 1 0,0 0 0,0 0 0,-1 0 0,1 0 0,0 0 0,0-1 0,0 1 0,0 0 0,0 0 0,-1 0 0,1 0 0,0 0 0,0 0 0,0 0 0,0-1 0,-1 1 0,1 0 0,0 0 0,0 0 0,0 0 0,-1 0 0,1 0 0,0 0 0,0 0 0,0 0 0,0 0 0,-1 0 0,-5 9 0,-1 18 0,6 8 0,0 0 0,1 0 0,2-1 0,6 40 0,-3-59 0,-5-15 0,0 0 0,0 0 0,0 0 0,0 0 0,0 0 0,1 0 0,-1 0 0,0 0 0,0 0 0,0 0 0,0 0 0,0 0 0,0 0 0,1 0 0,-1 0 0,0 0 0,0 0 0,0 0 0,0 0 0,0 0 0,1 0 0,-1 0 0,0 0 0,0 0 0,0 0 0,0 0 0,0 0 0,0 0 0,1 0 0,-1 0 0,0-1 0,0 1 0,0 0 0,0 0 0,0 0 0,0 0 0,0 0 0,0 0 0,0 0 0,0-1 0,1 1 0,-1 0 0,0 0 0,0 0 0,0 0 0,0-1 0,10-26 0,-6 14 0,-4 11 0,0 0 0,1 1 0,0-1 0,-1 1 0,1-1 0,0 1 0,0 0 0,0 0 0,0 0 0,0 0 0,0-1 0,0 1 0,0 0 0,0 0 0,1 0 0,-1 0 0,0 0 0,1 0 0,-1 0 0,1 1 0,-1-1 0,3 0 0,-3 1 0,1 0 0,-1 0 0,1 1 0,-1-1 0,0 1 0,1-1 0,-1 1 0,0 0 0,0-1 0,1 1 0,-1 0 0,0 0 0,0 0 0,0 0 0,0 0 0,0 0 0,0 0 0,0 0 0,0 0 0,-1 1 0,1-2 0,0 1 0,-1 0 0,1 1 0,0 2 0,2 2 14,0 1-1,-1 0 0,0 1 0,0-1 1,0 0-1,-1 0 0,0 1 1,-1 10-1,0-15-68,0 0 0,0-1 0,0 1 0,-1 0 0,1-1 0,-1 1 0,0-1 0,0 1 0,0-1 0,0 0 0,0 1 0,-1-1 0,1 0 0,-1 0 0,1 1 0,-1-1 0,0-1 0,0 1 0,0 0 0,0 0 0,0-1 0,0 1 0,0-1 0,-1-1 0,1 2 0,-5 0 0,-9 3-6771</inkml:trace>
  <inkml:trace contextRef="#ctx0" brushRef="#br0" timeOffset="7581.85">170 974 24575,'0'-1'0,"0"4"0,0 6 0,1 11 0,2 7 0,-1 2 0,-1 2 0,0-2 0,0-4 0,1-4 0,0-4 0,0-6-8191</inkml:trace>
  <inkml:trace contextRef="#ctx0" brushRef="#br0" timeOffset="8097.73">142 1100 24575,'2'-2'0,"0"0"0,-1 1 0,1-1 0,0 0 0,0 1 0,0 0 0,1-1 0,-1 1 0,0 0 0,0 0 0,1 0 0,-1 0 0,4 0 0,37-6 0,-33 5 0,371-20 0,-238 18 0,492-11-424,-67 3-449,-4-21 910,289-77-107,-834 106 70,8 0 0,-1-2 0,-1-1 0,1 1 0,-1-3 0,29-15 0,-52 23 25,1 0 1,-1 0-1,0 0 0,0-1 0,-1 1 0,1-1 0,0 1 1,0-1-1,-1 1 0,1-1 0,-1 0 0,1 0 0,-1 0 1,0 0-1,1 0 0,-1 0 0,0 0 0,-1 0 0,2-4 1,-2 4 25,0-1-1,0 0 1,0 0 0,-1 0 0,1 0 0,-1 1 0,0-1 0,0 0 0,0 1 0,0-1-1,-1 0 1,1 1 0,-1-1 0,1 1 0,-3-2 0,3 2-49,-3-4-1,0 0 1,-1 0-1,0 1 1,0-1-1,-1 1 1,-10-8-1,16 12-1,0 1 0,0 0 0,0 0 0,-1 0 0,1 0 0,0 0 0,0 0 0,0-1 0,-1 1 0,1 0 0,0 0 0,0 0 0,0 0 0,-1 0 0,1 0 0,0 0 0,0 0 0,0 0 0,-1 0 0,1 0 0,0 0 0,0 0 0,-1 0 0,1 0 0,0 0 0,0 0 0,0 0 0,-1 0 0,1 0 0,0 0 0,0 1 0,0-1 0,-1 0 0,1 0 0,0 0 0,0 0 0,0 0 0,0 0 0,-1 1 0,1-1 0,0 0 0,-1 12 0,8 17 0,-6-27 0,12 46 0,9 78 0,-21-124-136,-1 0-1,0 0 1,0 0-1,0 1 1,0-1-1,0-1 1,0 1-1,0 0 0,-2 4 1,-2 1-6690</inkml:trace>
  <inkml:trace contextRef="#ctx0" brushRef="#br0" timeOffset="9228.07">787 1375 24575,'-3'-30'0,"0"-2"0,20 66 0,-1 15 0,-12-33 0,1 0 0,0 0 0,1-1 0,1 0 0,1 0 0,17 26 0,-24-40 0,0 0 0,0 1 0,0-1 0,0 0 0,0 0 0,0 0 0,0 0 0,1 0 0,-1 0 0,0 0 0,1 0 0,-1 0 0,0 0 0,1-1 0,-1 1 0,1-1 0,-1 1 0,1-1 0,0 0 0,-1 1 0,1-1 0,-1 0 0,1 0 0,0 0 0,-1 0 0,1 0 0,-1-1 0,1 1 0,-1 0 0,1-1 0,0 1 0,-1-1 0,0 1 0,1-1 0,-1 0 0,1 0 0,-1 0 0,0 0 0,1 0 0,-1 0 0,0 0 0,0 0 0,2-2 0,3-4 0,0-1 0,0 0 0,-1 0 0,0-1 0,6-15 0,28-82 0,-45 125 0,-24 64 0,28-78 0,-33 59 0,33-59 0,-1-1 0,0 0 0,0 0 0,-1 0 0,1 0 0,-1 0 0,0-1 0,0 0 0,0 0 0,0 0 0,-9 4 0,13-6 0,0-1 0,-1 0 0,1 0 0,0 0 0,-1 0 0,1 0 0,0 1 0,-1-1 0,1 0 0,0 0 0,-1 0 0,1 0 0,-1 0 0,1 0 0,0 0 0,-1-1 0,1 1 0,0 0 0,-1 0 0,1 0 0,0 0 0,-1 0 0,1 0 0,0-1 0,-1 1 0,1 0 0,0 0 0,-1-1 0,1 1 0,0 0 0,0 0 0,-1-1 0,1 1 0,0 0 0,-1-1 0,0-14 0,8 3 0,-7 11 0,0 1 0,1 0 0,-1 0 0,0 0 0,1 0 0,-1 0 0,1 0 0,-1 0 0,0 0 0,1 0 0,-1 0 0,0 0 0,1 0 0,-1 0 0,1 0 0,-1 0 0,0 0 0,1 0 0,-1 0 0,0 1 0,1-1 0,-1 0 0,0 0 0,1 0 0,-1 1 0,0-1 0,0 0 0,1 0 0,-1 1 0,0-1 0,0 0 0,1 0 0,-1 1 0,0-1 0,0 0 0,0 1 0,4 6 0,0 1 0,-1 0 0,0 0 0,0 0 0,-1-1 0,0 1 0,-1 0 0,0 0 0,1 13 0,-1-3 0,10 239 0,-6-60 0,-5-197-5,4 24 131,-5-23-167,1-1 1,0 1 0,0-1 0,0 1 0,0-1 0,1 1 0,-1-1-1,0 1 1,0-1 0,0 1 0,0-1 0,0 1 0,1-1-1,-1 1 1,0-1 0,0 1 0,1-1 0,-1 0 0,0 1 0,1-1-1,-1 1 1,1-1 0,-1 0 0,0 1 0,1-1 0,-1 0-1,1 0 1,-1 1 0,1-1 0,-1 0 0,1 0 0,-1 1 0,1-1-1,-1 0 1,1 0 0,0 0 0,5-4-6786</inkml:trace>
  <inkml:trace contextRef="#ctx0" brushRef="#br0" timeOffset="9591.58">1053 1804 24575,'6'-3'0,"-1"-2"0,0 1 0,0-1 0,0 0 0,-1 0 0,7-10 0,-10 13 0,1 0 0,-1 0 0,0 0 0,0 0 0,0 0 0,0 0 0,0 0 0,0-1 0,-1 1 0,1 0 0,-1 0 0,1-1 0,-1 2 0,0-1 0,0-1 0,0 1 0,0 0 0,0 0 0,-1-1 0,1 1 0,-1 0 0,1 0 0,-2-3 0,2 4 0,0 1 0,-1-1 0,1 1 0,0-1 0,-1 0 0,1 1 0,0-1 0,-1 1 0,1-1 0,-1 1 0,1-1 0,-1 1 0,1 0 0,-1-1 0,1 1 0,-1-1 0,1 1 0,-1 0 0,0 0 0,1-1 0,-1 1 0,1 0 0,-1 0 0,0 0 0,1 0 0,-1-1 0,0 1 0,1 0 0,-1 0 0,0 0 0,0 1 0,-1-1 0,1 1 0,0 0 0,-1 0 0,1 0 0,0 0 0,0 0 0,0 0 0,0 0 0,0 1 0,0-1 0,0 0 0,-1 3 0,-3 5 0,1 0 0,0-1 0,-2 11 0,5-18 0,-4 16 0,1 1 0,-3 19 0,6-34 0,1 1 0,0 0 0,0 0 0,0 0 0,0 0 0,0 0 0,1 0 0,-1 0 0,1-2 0,0 2 0,0 0 0,1 0 0,-1-1 0,1 1 0,0-1 0,3 6 0,-4-8 5,1 0 1,-1 0-1,0 0 0,0 0 0,1 0 0,-1 0 1,1 0-1,-1-1 0,1 1 0,-1 0 1,1-1-1,-1 1 0,1-1 0,0 0 0,-1 1 1,1-1-1,0 0 0,-1 0 0,1 0 0,-1 0 1,1 0-1,2-1 0,0 0-191,1 0 1,-1-1-1,0 1 0,0-1 1,-1 0-1,1 0 1,5-3-1,3-5-6640</inkml:trace>
  <inkml:trace contextRef="#ctx0" brushRef="#br0" timeOffset="10000.81">1227 1782 24575,'1'-1'0,"-1"0"0,0 0 0,0 1 0,0-1 0,0 0 0,0 0 0,0 1 0,0-1 0,0 0 0,0 0 0,0 1 0,-1-1 0,1 0 0,0 1 0,0-1 0,-1 0 0,1 1 0,0-1 0,-1 0 0,1 1 0,-1-1 0,1 0 0,-1 1 0,1-1 0,-1 1 0,1-1 0,-1 1 0,1-1 0,-1 1 0,0 0 0,1-1 0,-1 1 0,0 0 0,1-1 0,-1 1 0,0 0 0,0 0 0,1 0 0,-1 0 0,0-1 0,0 1 0,1 0 0,-1 0 0,-1 1 0,1-1 0,-1 1 0,0-1 0,1 1 0,-1 0 0,0-1 0,1 1 0,-1 0 0,1 0 0,0 0 0,-1 0 0,1 1 0,0-1 0,0 0 0,-1 0 0,1 1 0,0-1 0,0 1 0,0 1 0,-3 5 0,1 0 0,0-1 0,1 1 0,0 1 0,-1 12 0,2-19 0,1 1 0,-1-1 0,1 1 0,0-1 0,0 1 0,0-1 0,1 1 0,-1-1 0,1 1 0,-1-2 0,1 2 0,0-1 0,0 1 0,0-1 0,0 0 0,0 0 0,0 1 0,1-1 0,-1 0 0,1 0 0,-1 0 0,4 2 0,-4-3 0,0-1 0,-1 1 0,1-1 0,0 1 0,0-1 0,-1 0 0,1 1 0,0-1 0,0 0 0,0 0 0,0 0 0,-1 1 0,1-1 0,0 0 0,0 0 0,0 0 0,0 0 0,-1-1 0,1 1 0,0 0 0,0 0 0,0 0 0,0-1 0,-1 1 0,1 0 0,0-1 0,0 0 0,1 0 0,0-1 0,-1 1 0,1-1 0,0 0 0,-1 0 0,0 0 0,1 0 0,-1 0 0,2-4 0,0-1 0,-1 1 0,1-1 0,-1 0 0,0 0 0,0-11 0,-1 6 0,-1 16 0,2 20 0,-2-21-97,1 1-1,0-1 1,0 0-1,1 1 1,-1-1-1,1 0 1,-1 0-1,1-1 1,0 1-1,0 0 1,0 0-1,1-1 0,4 5 1,4 1-6729</inkml:trace>
  <inkml:trace contextRef="#ctx0" brushRef="#br0" timeOffset="10346.68">1323 1786 24575,'3'1'0,"-1"-1"0,0 1 0,0-1 0,1 1 0,-1 0 0,0 0 0,0 0 0,0 0 0,0 0 0,0 0 0,0 0 0,0 1 0,0-1 0,-2 1 0,2-1 0,-1 0 0,1 1 0,-1 0 0,1 0 0,-1 0 0,2 3 0,0 2 0,1-1 0,-1 1 0,-1 0 0,1 1 0,1 8 0,-3-13 0,0 1 0,-1 1 0,0-1 0,0 0 0,0 9 0,0-12 0,-1 0 0,1 0 0,0 1 0,0-1 0,0 0 0,-1 0 0,1 0 0,-1 0 0,1 0 0,-1 0 0,1 0 0,-1 0 0,0 0 0,1 0 0,-1 0 0,0-1 0,0 1 0,0 0 0,1 0 0,-1-1 0,0 1 0,0 0 0,0-1 0,0 1 0,0-1 0,0 1 0,-2-1 0,3 0 0,-1 0 0,1 0 0,-1 0 0,0 0 0,1 0 0,-1 0 0,1 0 0,-1-1 0,1 1 0,-1 0 0,0 0 0,1-1 0,-1 1 0,1 0 0,0-1 0,-1 1 0,1 0 0,-1-1 0,1 1 0,-1-1 0,1 1 0,0-1 0,-1 1 0,1-1 0,0 1 0,0-1 0,-1 1 0,1-1 0,0 1 0,0-1 0,0 1 0,0-1 0,0 0 0,0 1 0,0-1 0,0 1 0,0-1 0,0 1 0,0-2 0,0-23 0,1 17 0,1 1 0,0 0 0,1 0 0,0-1 0,5-9 0,-8 16 0,1-1 0,-1 0 0,1 1 0,0-1 0,0 1 0,0-1 0,0 1 0,0 0 0,0-1 0,0 1 0,1 0 0,-1 0 0,0 0 0,1 0 0,-1 0 0,1 0 0,-1 0 0,1 0 0,-1 1 0,1-1 0,0 1 0,-1-1 0,1 1 0,0-1 0,-1 1 0,1 0 0,0 0 0,-1 0 0,1 0 0,3 1 0,-4-1-52,1 1-1,-1-1 1,0 1-1,0 0 1,0 0-1,0 0 1,0 0-1,0 0 1,0 0-1,0 0 1,0 0-1,0 0 1,0 0-1,-1 1 1,1-1-1,0 0 1,-1 0-1,1 1 1,-1-1-1,0 0 1,1 1-1,-1-1 0,0 1 1,0-1-1,0 3 1,0 6-6774</inkml:trace>
  <inkml:trace contextRef="#ctx0" brushRef="#br0" timeOffset="10738.95">810 2319 24575,'2'0'0,"4"0"0,6-2 0,8 0 0,12-4 0,10 0 0,10-3 0,7 1 0,4-2 0,0 2 0,-6-1 0,-9 1 0,-11 3 0,-15 3 0,-14 1 0,-12 3 0,-5 0-8191</inkml:trace>
  <inkml:trace contextRef="#ctx0" brushRef="#br0" timeOffset="10985.66">820 2431 24575,'-2'3'0,"0"1"0,4 0 0,8-1 0,11-3 0,14-5 0,14-6 0,11-6 0,7-4 0,2-2 0,-3 1 0,-6 2 0,-10 4 0,-13 3 0,-13 3 0,-10 2-8191</inkml:trace>
  <inkml:trace contextRef="#ctx0" brushRef="#br0" timeOffset="12343.55">1836 1849 24575,'-2'0'0,"0"4"0,0 2 0,0 3 0,1 2 0,0 1 0,2 0 0,0-2-8191</inkml:trace>
  <inkml:trace contextRef="#ctx0" brushRef="#br0" timeOffset="81791.63">3410 1470 24575,'0'-2'0,"2"0"0,3-2 0,1 2 0,2-3 0,1 1 0,1-1 0,1 0 0,-2 2-8191</inkml:trace>
  <inkml:trace contextRef="#ctx0" brushRef="#br0" timeOffset="82290.73">3410 1556 24575,'0'-1'0,"4"-2"0,4-1 0,2-1 0,2-2 0,-1 1 0,-1 1 0,0-1 0,-3 1 0,0 1 0,-2 2 0</inkml:trace>
  <inkml:trace contextRef="#ctx0" brushRef="#br0" timeOffset="83504.97">3410 1362 24575,'0'-1'0,"1"0"0,0 0 0,-1 0 0,1 1 0,0-1 0,0 0 0,0 0 0,0 1 0,-1-1 0,1 1 0,0-1 0,0 1 0,0-1 0,0 1 0,1 0 0,-1 0 0,0-1 0,0 1 0,0 0 0,0 0 0,0 0 0,0 0 0,0 0 0,0 0 0,2 1 0,39-1 0,-37 1 0,0-1 0,-1 0 0,1 0 0,-1 1 0,0 0 0,1 0 0,-1 0 0,0 1 0,1-1 0,-1 1 0,0 0 0,0 0 0,-1 1 0,6 3 0,-7-4 0,1 0 0,-1 1 0,0-1 0,0 1 0,0 0 0,-1 0 0,1-1 0,-1 1 0,1 0 0,-1 0 0,0 0 0,0 0 0,0 0 0,-1 1 0,1-1 0,-1 0 0,0 0 0,0 6 0,5 52 0,-3-47 0,-1 0 0,0 0 0,-1 0 0,-3 27 0,-2-28-1365</inkml:trace>
  <inkml:trace contextRef="#ctx0" brushRef="#br0" timeOffset="84302.97">3607 1610 24575,'0'0'0,"0"3"0,0-1 0,0-3 0,0-3 0,0-2 0,0 0 0,0-1 0,0-1 0,0-2 0,0-2 0,0-1 0,0 2 0,0 1 0,0 2-8191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8:42.31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1 429 24575,'0'5'0,"0"0"0,0 0 0,1 0 0,0 0 0,0 0 0,0 0 0,1 0 0,3 9 0,-4-12 0,0-1 0,-1 0 0,1 1 0,0-1 0,0 0 0,0 0 0,1 0 0,-1 0 0,0 0 0,0 0 0,0 0 0,1 0 0,-1 0 0,1 0 0,-1-1 0,0 1 0,1-1 0,-1 1 0,1-1 0,-1 1 0,1-1 0,0 0 0,-1 0 0,1 0 0,-1 0 0,1 0 0,-1 0 0,1 0 0,-1 0 0,1-1 0,0 1 0,-1-1 0,0 1 0,3-2 0,-1 0 0,0 1 0,0-1 0,0-1 0,-1 1 0,1 0 0,0-1 0,-1 1 0,0-1 0,1 0 0,-1 0 0,0 0 0,-1 0 0,1 0 0,0 0 0,-1 0 0,0-1 0,0 1 0,2-7 0,1-6 0,-1-1 0,2-25 0,-4 8 0,-1 1 0,-2 0 0,-7-37 0,0 4 0,10 53 0,5 20 0,6 23 0,73 222 0,-35-97 0,-49-155-52,-1 0 21,0 0 1,0 0-1,0 1 1,0-1-1,1 0 1,-1 0-1,0 0 1,0 1-1,0-1 1,0 0-1,0 0 1,0 0-1,0 1 1,0-1-1,1 0 0,-1 0 1,0 1-1,0-1 1,0 0-1,0 0 1,0 1-1,0-1 1,0 0-1,0 0 1,0 0-1,0 1 1,-1-1-1,1 0 0,0 0 1,0 1-1,0-1 1,0 0-1,0 0 1,0 0-1,0 1 1,-1-1-1,1 0 1,0 0-1,0 0 1,0 0-1,0 1 1,-1-1-1</inkml:trace>
  <inkml:trace contextRef="#ctx0" brushRef="#br0" timeOffset="175.64">56 387 24575,'-2'0'0,"0"2"0,2 0 0,2 0 0,5-1 0,5-4 0,5-3 0,5-6 0,1-3 0,-1-1 0,-4-2 0,-2 0 0,-3 2 0,-5 2-8191</inkml:trace>
  <inkml:trace contextRef="#ctx0" brushRef="#br0" timeOffset="394.53">235 236 24575,'1'0'0,"3"3"0,4 5 0,3 10 0,3 12 0,2 14 0,-1 16 0,1 12 0,-2 4 0,-1-2 0,-2-9 0,-3-12 0,-2-14 0,-1-15 0,-2-16 0,-4-14 0,-4-15 0,-2-4-8191</inkml:trace>
  <inkml:trace contextRef="#ctx0" brushRef="#br0" timeOffset="627.41">239 369 24575,'0'-3'0,"1"1"0,-1 0 0,1-1 0,0 1 0,-1-1 0,1 1 0,0 0 0,0 0 0,1 0 0,-1 0 0,0-1 0,1 2 0,-1-1 0,1 0 0,0 0 0,-1 0 0,1 1 0,0-1 0,0 1 0,0-1 0,0 1 0,0 0 0,1 0 0,-1 0 0,0 0 0,3 0 0,-2 0 0,-1 0 0,0 0 0,1 0 0,-1 1 0,1-1 0,-1 1 0,1 0 0,0 0 0,-1 0 0,1 0 0,-1 0 0,1 1 0,-1-1 0,1 1 0,-1-1 0,1 1 0,-1 0 0,0 0 0,1 0 0,-1 0 0,0 0 0,0 1 0,0-1 0,0 1 0,3 2 0,-2 0 0,0 1 0,0 0 0,-1 0 0,1 0 0,-1 0 0,0 0 0,0 0 0,1 9 0,-2-11 0,0 0 0,-1 0 0,0 0 0,1 1 0,-1-1 0,0 0 0,0 0 0,-1 0 0,1 1 0,-1-1 0,0 0 0,1 0 0,-1 0 0,-1 0 0,-2 6 0,4-9 2,0 0-1,0 0 0,0 0 1,0 1-1,0-1 1,0 0-1,-1 0 1,1 0-1,0 0 0,0 0 1,0 1-1,0-1 1,-1 0-1,1 0 0,0 0 1,0 0-1,0 0 1,-1 0-1,1 0 0,0 0 1,0 1-1,-1-1 1,1 0-1,0 0 0,0 0 1,0 0-1,-1 0 1,1 0-1,0 0 0,0 0 1,0-1-1,-1 1 1,1 0-1,0 0 0,0 0 1,-1 0-1,1 0 1,0 0-1,0 0 1,0 0-1,0 0 0,-1-1 1,1 1-1,0 0 1,0 0-1,0 0 0,0 0 1,-1-1-1,1 1 1,0 0-1,0 0 0,0 0 1,0-1-1,0 1 1,0 0-1,0 0 0,0 0 1,0-1-1,0 1 1,0 0-1,0 0 0,0 0 1,0-1-1,0 1 1,0 0-1,0 0 0,0-1 1,-3-16-1395,3 16 1325,-1-11-6758</inkml:trace>
  <inkml:trace contextRef="#ctx0" brushRef="#br0" timeOffset="895.37">381 355 24575,'15'-3'0,"-14"2"0,1 1 0,-1-1 0,0 1 0,0 0 0,0 0 0,1-1 0,-1 1 0,0 0 0,0 0 0,1 0 0,-1 0 0,0 0 0,0 1 0,1-1 0,-1 0 0,0 0 0,0 1 0,0-1 0,2 2 0,1 0 0,0 1 0,-1-1 0,0 1 0,1 0 0,-1 0 0,0 0 0,-1 1 0,1-1 0,-1 1 0,1-1 0,-1 1 0,0 0 0,0 0 0,1 4 0,-1-2 0,0-1 0,0 1 0,-1 0 0,0 0 0,0 0 0,0 0 0,-1 0 0,0 0 0,-1 10 0,-4-3 0,-1-19 0,-1-21 0,7 17-114,0-1 1,0 1-1,1 0 0,0 0 0,1-1 1,0 1-1,1 0 0,0 0 0,0 0 1,1 1-1,8-14 0,-6 11-6712</inkml:trace>
  <inkml:trace contextRef="#ctx0" brushRef="#br0" timeOffset="1098.46">537 291 24575,'0'-1'0,"0"2"0,0 3 0,0 5 0,0 4 0,3 4 0,1 1 0,2 0 0,1-2 0,0-3 0,-2-1 0,1-2 0,-1-5 0,-1-6 0</inkml:trace>
  <inkml:trace contextRef="#ctx0" brushRef="#br0" timeOffset="1401.95">532 135 24575,'0'6'0,"0"22"0,0-28 0,0 1 0,0 0 0,0-1 0,0 1 0,0-1 0,0 1 0,1-1 0,-1 1 0,0 0 0,0-1 0,0 1 0,0-1 0,1 1 0,-1-1 0,0 1 0,0-1 0,1 1 0,-1-1 0,1 1 0,-1-1 0,0 0 0,1 1 0,-1-1 0,1 1 0,-1-1 0,1 0 0,-1 0 0,1 1 0,-1-1 0,1 0 0,-1 0 0,1 1 0,-1-1 0,1 0 0,0 0 0,0 0 0,-1 0 0,1-1 0,0 1 0,-1 0 0,1-1 0,-1 1 0,1-1 0,-1 1 0,1 0 0,-1-1 0,0 1 0,1-1 0,-1 0 0,0 1 0,1-1 0,-1 1 0,0-1 0,1 1 0,-1-1 0,0 0 0,0 1 0,0-1 0,0 0 0,1 1 0,-1-1 0,0 1 0,0-1 0,0 0 0,-1 0 0,0-20 0,-2 14 0,1 0 0,-1 0 0,0 0 0,0 0 0,-1 1 0,0 0 0,0 0 0,-1 0 0,-9-10 0,14 15 0,0 1 0,-1 0 0,1 0 0,0-1 0,0 1 0,-1 0 0,1 0 0,0-1 0,0 1 0,-1 0 0,1 0 0,0 0 0,0-1 0,-1 1 0,1 0 0,0 0 0,-1 0 0,1 0 0,0 0 0,-1 0 0,1 0 0,0 0 0,-1 0 0,1 0 0,0 0 0,-1 0 0,1 0 0,0 0 0,-1 0 0,1 0 0,0 0 0,-1 0 0,1 0 0,0 1 0,-1-1 0,1 0 0,0 0 0,0 0 0,-1 1 0,-4 14 0,6 22 0,-1-36-65,0 1 0,1 0 0,-1-1 0,1 1 0,0-1 0,-1 1 0,1-1 0,0 1 0,0-1 0,0 1 0,0-1 0,0 0 0,0 1 0,0-1 0,0 0 0,1 0 0,-1 0 0,0 0 0,1 0 0,2 1 0,3 1-6761</inkml:trace>
  <inkml:trace contextRef="#ctx0" brushRef="#br0" timeOffset="1668.76">660 30 24575,'0'-2'0,"3"3"0,0 3 0,3 7 0,3 7 0,2 8 0,2 11 0,0 7 0,-1 4 0,0 1 0,-2-3 0,0-5 0,-2-8 0,-3-8 0,-1-6 0,-2-8 0</inkml:trace>
  <inkml:trace contextRef="#ctx0" brushRef="#br0" timeOffset="1842.52">803 291 24575,'0'0'0,"3"0"0,2 0 0,3-2 0,3-1 0,4-3 0,3-1 0,2 0 0,1 0 0,-2 3-8191</inkml:trace>
  <inkml:trace contextRef="#ctx0" brushRef="#br0" timeOffset="2480.71">1293 85 24575,'1'24'0,"-1"-23"0,34 182 0,-33-232 0,-20-177 0,21 209 0,-1 17 0,-1 0 0,0 0 0,1 0 0,-1 0 0,0 0 0,0 0 0,1 0 0,-1 0 0,0 0 0,1 0 0,-1 0 0,0 0 0,1 1 0,-1-1 0,0 0 0,0 0 0,1 0 0,-1 0 0,0 1 0,0-1 0,1 0 0,-1 0 0,0 1 0,0-1 0,0 0 0,0 0 0,1 1 0,-1-1 0,0 0 0,0 1 0,20 36 0,-14-25 0,1-1 0,0 0 0,12 15 0,-17-24 0,-1 0 0,1 0 0,0 0 0,0 0 0,0 0 0,0 0 0,0-1 0,0 1 0,0-1 0,0 0 0,1 0 0,-1 0 0,1 0 0,-1 0 0,1 0 0,-1 0 0,1-1 0,-1 1 0,1-1 0,3 0 0,-5 0 0,0-1 0,1 1 0,-1-1 0,0 1 0,1-1 0,-1 1 0,0-1 0,0 0 0,1 0 0,-1 0 0,0 0 0,0 0 0,0 0 0,0 0 0,0 0 0,0 0 0,-1 0 0,1-1 0,0 1 0,-1 0 0,1-1 0,0 1 0,-1 0 0,0-1 0,1 1 0,-1-3 0,2-6 0,-1 0 0,1-20 0,-1 7 0,3 26 0,1 7 0,47 183 99,-26-84-1563,-20-88-5362</inkml:trace>
  <inkml:trace contextRef="#ctx0" brushRef="#br0" timeOffset="2881.34">1632 177 24575,'0'-3'0,"0"0"0,0 1 0,0-1 0,-1 0 0,1 1 0,-1-1 0,0 1 0,0-1 0,0 1 0,0-1 0,0 1 0,0-1 0,0 1 0,-1 0 0,1 0 0,-3-3 0,4 5 0,-1 0 0,1 0 0,-1 0 0,1 0 0,0 0 0,-1 0 0,1 0 0,-1 1 0,1-1 0,0 0 0,-1 0 0,1 0 0,0 0 0,-1 0 0,1 1 0,0-1 0,-1 0 0,1 0 0,0 1 0,0-1 0,-1 0 0,1 1 0,0-1 0,0 0 0,-1 0 0,1 1 0,0-1 0,0 0 0,0 1 0,0-1 0,-1 1 0,1-1 0,0 0 0,0 1 0,0-1 0,0 1 0,-4 16 0,4-16 0,-2 11 0,1-1 0,0 1 0,0 0 0,1 0 0,1 0 0,2 19 0,-3-31 0,0 0 0,0 1 0,0-1 0,1 1 0,-1-1 0,0 1 0,0-1 0,0 1 0,0-1 0,1 1 0,-1-1 0,0 0 0,0 1 0,1-1 0,-1 0 0,0 1 0,0-1 0,1 0 0,-1 1 0,1-1 0,-1 0 0,0 1 0,1-1 0,-1 0 0,1 0 0,-1 0 0,0 1 0,1-1 0,-1 0 0,1 0 0,-1 0 0,1 0 0,-1 0 0,1 0 0,-1 0 0,1 0 0,-1 0 0,0 0 0,1 0 0,-1 0 0,1 0 0,-1 0 0,1 0 0,-1-1 0,1 1 0,-1 0 0,0 0 0,1-1 0,-1 1 0,1 0 0,-1 0 0,0-1 0,1 1 0,-1 0 0,0-1 0,1 1 0,-1 0 0,0-1 0,0 1 0,1-1 0,1-2 0,1 1 0,-1-1 0,0 0 0,0 0 0,-1 0 0,4-6 0,-3 1 0,-1 0 0,0 0 0,0-11 0,0 3 0,6 38 0,-4-10-120,-3-6 24,1-1 1,0 1-1,0-1 0,1 0 0,0 0 0,0 1 1,0-1-1,0-1 0,1 1 0,0 0 1,0 0-1,5 5 0,-1-5-6730</inkml:trace>
  <inkml:trace contextRef="#ctx0" brushRef="#br0" timeOffset="3194.79">1733 126 24575,'3'2'0,"1"-1"0,-1 1 0,0 0 0,0 0 0,0 0 0,0 0 0,0 1 0,0-1 0,-1 1 0,1-1 0,-1 1 0,4 6 0,2 0 0,-6-7 0,30 37 0,-30-37 0,-1 0 0,0-1 0,0 1 0,0 0 0,0-1 0,0 1 0,0 0 0,0 0 0,-1 0 0,1 0 0,-1-1 0,1 1 0,-1 0 0,0 0 0,0 0 0,0 0 0,0 0 0,0 0 0,0 0 0,0 0 0,-2 4 0,2-5 0,0-1 0,-1 1 0,1 0 0,-1-1 0,1 1 0,0-1 0,-1 1 0,1 0 0,-1-1 0,0 1 0,1-1 0,-1 1 0,1-1 0,-1 0 0,0 1 0,1-1 0,-1 1 0,0-1 0,1 0 0,-1 0 0,0 0 0,0 1 0,1-1 0,-1 0 0,0 0 0,0 0 0,1 0 0,-1 0 0,0 0 0,0 0 0,1 0 0,-1-1 0,0 1 0,0 0 0,1 0 0,-1-1 0,0 1 0,1 0 0,-1-1 0,0 1 0,1 0 0,-1-1 0,0 1 0,1-1 0,-1 1 0,0-2 0,-1 0 0,0 0 0,0-1 0,0 1 0,0-1 0,0 1 0,1-1 0,-1 1 0,1-1 0,0 0 0,-2-4 0,3 3-41,0 0 0,-1 1-1,1-1 1,1 1-1,-1-1 1,0 1 0,1-1-1,0 0 1,0 1 0,0 0-1,0-1 1,0 1-1,1 0 1,-1-1 0,1 1-1,0 0 1,0 0 0,0 0-1,1 1 1,-1-1-1,1 1 1,-1-1 0,1 1-1,0 0 1,0 0 0,0 0-1,0 0 1,0 0-1,0 1 1,1-1 0,-1 1-1,6-1 1,0 0-6785</inkml:trace>
  <inkml:trace contextRef="#ctx0" brushRef="#br0" timeOffset="3823.71">1939 117 24575,'0'-1'0,"-1"0"0,1 0 0,0 0 0,-1 0 0,1 0 0,0 0 0,-1 0 0,1 0 0,-1 0 0,1 0 0,-1 0 0,0 0 0,1 0 0,-1 1 0,0-1 0,0 0 0,0 1 0,1-1 0,-1 0 0,0 1 0,0-1 0,0 1 0,0-1 0,0 1 0,0 0 0,0-1 0,0 1 0,0 0 0,0 0 0,-2-1 0,2 1 0,-1 0 0,1 0 0,0-1 0,-1 1 0,1 0 0,-1 0 0,1 0 0,-1 1 0,1-1 0,0 0 0,-1 1 0,1-1 0,0 0 0,-1 1 0,1 0 0,0-1 0,-1 1 0,1 0 0,0-1 0,0 1 0,0 0 0,-2 2 0,1 1 0,-1 1 0,1-1 0,0 1 0,1 0 0,-1 0 0,1 0 0,0 0 0,0 0 0,0 0 0,1 0 0,0 0 0,0 1 0,0-1 0,1 0 0,-1 0 0,3 5 0,-3-6 0,1-1 0,0 1 0,0-1 0,0 0 0,1 1 0,-1-1 0,1 0 0,0 0 0,0 0 0,0 0 0,0 0 0,0-1 0,0 1 0,1 0 0,0-1 0,-1 0 0,1 0 0,0 0 0,0 0 0,0 0 0,0 0 0,0-1 0,6 2 0,-6-2 0,0 0 0,0 0 0,0-1 0,0 1 0,0-1 0,0 0 0,0 0 0,0 0 0,0-1 0,0 1 0,0 0 0,0-1 0,0 0 0,0 0 0,0 0 0,-1 0 0,1 0 0,0-1 0,-1 1 0,1-1 0,-1 0 0,1 0 0,3-3 0,-3 1 0,0-1 0,0 1 0,-1-1 0,0 1 0,0-1 0,0 0 0,0 0 0,0 0 0,-1 0 0,0 0 0,0 0 0,-1 0 0,1-7 0,-3-154 0,11 231 0,4 52 0,-13-97 0,1-7 0,7-32 0,8-19 0,-15 37 0,0-1 0,0 0 0,0 1 0,0-1 0,0 1 0,0-1 0,0 1 0,0-1 0,1 1 0,-1 0 0,1 0 0,-1 0 0,1 0 0,-1 0 0,1 0 0,-1 0 0,1 0 0,0 0 0,2 0 0,-2 1 0,-1 1 0,0-1 0,0 0 0,1 1 0,-1-1 0,0 1 0,0 0 0,0-1 0,0 1 0,1 0 0,-1 0 0,0 0 0,-1 0 0,1 0 0,0 0 0,0 0 0,0 0 0,0 0 0,-1 0 0,1 0 0,-1 0 0,1 1 0,-1-1 0,1 0 0,-1 1 0,0-1 0,1 2 0,7 37 0,-8-39-41,1 1 0,-1 0-1,0 0 1,1 0-1,-1-1 1,0 1 0,0 0-1,0 0 1,-1 0 0,1-1-1,0 1 1,-1 0-1,1 0 1,-1-1 0,1 1-1,-1 0 1,0-1 0,0 1-1,0-1 1,0 1-1,0-1 1,0 1 0,0-1-1,0 1 1,-1-1 0,1 0-1,0 0 1,-1 0-1,1 0 1,-1 0 0,0 0-1,-2 1 1,-7 1-6785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8:40.55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0 451 24575,'0'0'0,"0"0"0,0 1 0,0-1 0,0 0 0,0 0 0,1 1 0,-1-1 0,0 0 0,0 0 0,0 0 0,0 1 0,0-1 0,0 0 0,0 0 0,1 0 0,-1 1 0,0-1 0,0 0 0,0 0 0,0 0 0,1 0 0,-1 0 0,0 1 0,0-1 0,0 0 0,1 0 0,-1 0 0,0 0 0,0 0 0,0 0 0,1 0 0,-1 0 0,0 0 0,0 0 0,1 0 0,-1 0 0,0 0 0,0 0 0,1 0 0,-1 0 0,0 0 0,0 0 0,0 0 0,1 0 0,-1 0 0,0 0 0,0 0 0,0 0 0,1-1 0,-1 1 0,0 0 0,0 0 0,0 0 0,1 0 0,-1-1 0,0 1 0,5-3 0,-1 0 0,1 0 0,-1 0 0,0-1 0,0 1 0,0-1 0,-1 0 0,1 0 0,-1-1 0,0 1 0,0-1 0,0 1 0,-1-1 0,3-7 0,4-10 0,10-42 0,-19 64 0,5-21 0,-1-1 0,-1 1 0,-1-1 0,-1-40 0,-2 46 0,0 1 0,-2 0 0,0-1 0,0 1 0,-1 0 0,-1 1 0,-10-22 0,7 25 0,2 11 0,6 2 0,-1-1 0,0 1 0,1-1 0,-1 1 0,1-1 0,-1 1 0,1-1 0,0 1 0,-1 0 0,1-1 0,0 1 0,0 1 0,3 39 0,2 0 0,2-1 0,21 75 0,-19-82 0,236 793 0,-232-788 0,-7-14 0,2-2 0,1 1 0,20 37 0,-28-60 0,-1 0 0,0 0 0,1 0 0,-1 0 0,1 0 0,-1-1 0,1 1 0,0 0 0,-1 0 0,1-1 0,0 1 0,-1 0 0,1-1 0,0 1 0,0 0 0,-1-1 0,1 1 0,0-1 0,0 1 0,0-1 0,0 0 0,0 1 0,1-1 0,-1 0 0,0-1 0,-1 1 0,1-1 0,0 1 0,-1-1 0,1 1 0,-1-1 0,1 0 0,-1 1 0,1-1 0,-1 0 0,1 1 0,-1-1 0,0 0 0,1 0 0,-1 0 0,0 1 0,0-1 0,1 0 0,-1-1 0,2-10 0,0 1 0,0-18 0,-2 28 0,0-35 0,-2 1 0,-1-1 0,-2 1 0,-1 0 0,-2 0 0,-16-43 0,7 33 0,-1 2 0,-3 0 0,-1 1 0,-33-47 0,48 79 0,-32-41 0,36 47 0,0 1 0,0 0 0,0 0 0,0 1 0,-1-1 0,1 1 0,-1 0 0,0-1 0,1 2 0,-1-1 0,-8-2 0,11 3 0,-1 1 0,1 0 0,0 0 0,0 0 0,-1 0 0,1 0 0,0 0 0,0 0 0,0 1 0,-1-1 0,1 0 0,0 1 0,0-1 0,0 1 0,0-1 0,0 1 0,0-1 0,0 1 0,0 0 0,-2 1 0,1 0 0,0 0 0,0 0 0,1 1 0,-1-1 0,0 1 0,1-1 0,0 1 0,-2 3 0,0 4 0,0-1 0,1 1 0,-3 19 0,5-2 120,0-26-170,0 0 1,0-1-1,0 1 1,0 0-1,0 0 1,1-1-1,-1 1 1,0 0-1,0 0 1,1-1-1,-1 1 1,0 0-1,1-1 1,-1 1-1,1 0 1,-1-1-1,1 1 1,-1-1-1,1 1 1,-1-1-1,1 1 1,-1-1-1,1 1 1,0-1-1,-1 1 1,1-1-1,0 0 1,0 1-1,1-1 1,3-1-6777</inkml:trace>
  <inkml:trace contextRef="#ctx0" brushRef="#br0" timeOffset="640">408 107 24575,'-2'0'0,"1"7"0,4 7 0,2-1 0,0 0 0,1 0 0,0 0 0,1-1 0,9 13 0,-11-18 0,1 0 0,0 0 0,0 0 0,0-1 0,1 0 0,0 0 0,0-1 0,0 0 0,11 6 0,-17-10 0,0-1 0,0 1 0,0-1 0,0 1 0,0-1 0,0 1 0,0-1 0,1 0 0,-1 0 0,0 1 0,0-1 0,0 0 0,1 0 0,-1 0 0,0 0 0,0 0 0,1-1 0,-1 1 0,0 0 0,0 0 0,0-1 0,0 1 0,0-1 0,1 1 0,-1-1 0,0 0 0,0 1 0,0-1 0,0 0 0,0 0 0,-1 1 0,1-1 0,0 0 0,0 0 0,0 0 0,-1 0 0,1 0 0,-1 0 0,1 0 0,-1-1 0,1 1 0,-1 0 0,1 0 0,-1 0 0,0 0 0,0-3 0,2-5 0,-1 0 0,0-1 0,0 1 0,-2-18 0,-16-99 0,25 201 0,-3-42 0,-1-1 0,-3 1 0,-3 62 0,2-92 0,-1 1 0,0-1 0,0 0 0,0 0 0,0 1 0,-1-1 0,1 0 0,-4 5 0,5-8 0,-1 1 0,1-1 0,0 0 0,-1 1 0,1-1 0,0 1 0,-1-1 0,1 0 0,-1 1 0,1-1 0,-1 0 0,1 0 0,-1 1 0,1-1 0,-1 0 0,1 0 0,-1 0 0,1 0 0,-1 0 0,1 1 0,-1-1 0,0 0 0,0-1 0,0 1 0,0-1 0,0 1 0,0-1 0,1 1 0,-1-1 0,0 1 0,0-1 0,1 0 0,-1 1 0,0-1 0,1 0 0,-1 0 0,1 1 0,-1-1 0,1 0 0,-1 0 0,1-1 0,-4-18 0,7 15 0,8 12 0,-4 0 0,0 1 0,-1 1 0,0-1 0,0 1 0,-1 1 0,7 13 0,20 63 0,-27-72 0,52 178 0,-54-186-1365</inkml:trace>
  <inkml:trace contextRef="#ctx0" brushRef="#br0" timeOffset="841.95">793 226 24575,'0'0'0,"0"-3"0,0-2 0,3-2 0,3-3 0,1 0 0,2 0 0,1 2 0,1 2 0,-2 5 0,-2 6 0</inkml:trace>
  <inkml:trace contextRef="#ctx0" brushRef="#br0" timeOffset="1015.12">862 286 24575,'-1'4'0,"0"3"0,0 3 0,0 1 0,1-2 0,5-5 0,3-7 0,3-10 0,-2-7 0,-1-5 0,-3-3 0,-2 4-8191</inkml:trace>
  <inkml:trace contextRef="#ctx0" brushRef="#br0" timeOffset="1247.92">770 20 24575,'1'-1'0,"1"1"0,-1-1 0,1 1 0,-1-1 0,0 1 0,1-1 0,-1 1 0,1 0 0,-1 0 0,1 0 0,-1 0 0,1 0 0,-1 0 0,3 1 0,5 0 0,0 0 0,-1 1 0,1 0 0,0 0 0,-1 1 0,0 0 0,1 1 0,-1 0 0,-1 0 0,1 1 0,-1 0 0,1 0 0,-2 1 0,1 0 0,0 0 0,10 13 0,-10-8 0,1-1 0,-1 2 0,-1-1 0,0 1 0,-1 0 0,0 0 0,-1 1 0,0-1 0,-1 1 0,3 24 0,-3-12-682,-3 48-1,-2-52-6143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8:56.94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124 171 24575,'-6'-1'0,"0"0"0,1 0 0,-1-1 0,1 0 0,-1 1 0,1-2 0,-1 1 0,1-1 0,0 0 0,0 0 0,1 0 0,-1-1 0,1 1 0,-6-7 0,2 3 0,1 1 0,-1 0 0,-9-4 0,21 13 0,-1-2 0,-1 1 0,1 0 0,0-1 0,-1 0 0,1 1 0,0-1 0,4 1 0,11 1 0,1-1 0,1 0 0,-1-1 0,0-1 0,30-4 0,-14-2 0,-1-1 0,38-12 0,-47 7 0,-25 13 0,0-1 0,0 0 0,0 0 0,0 0 0,0 0 0,0 0 0,0 0 0,0 0 0,-1 0 0,1 0 0,0 0 0,0 0 0,0 0 0,0 0 0,0 0 0,0 0 0,0 0 0,0 0 0,0 0 0,0 0 0,0 0 0,0 0 0,0 0 0,-1 0 0,1 0 0,0 0 0,0-1 0,0 1 0,0 0 0,0 0 0,0 0 0,0 0 0,0 0 0,0 0 0,0 0 0,0 0 0,0 0 0,0 0 0,0 0 0,0 0 0,0 0 0,0 0 0,0 0 0,0 0 0,0-1 0,0 1 0,0 0 0,0 0 0,0 0 0,0 0 0,0 0 0,0 0 0,0 0 0,0 0 0,0 0 0,0 0 0,0 0 0,0 0 0,0 0 0,0-1 0,0 1 0,0 0 0,0 0 0,0 0 0,0 0 0,0 0 0,0 0 0,0 0 0,0 0 0,-15 2 0,11-1 0,1 0 0,0 0 0,-1 0 0,1 0 0,0 0 0,0 1 0,0-1 0,0 1 0,0 0 0,0 0 0,1 0 0,-1 0 0,1 0 0,-1 1 0,1-1 0,0 1 0,-3 5 0,2-4 0,1 1 0,1 0 0,-1 0 0,1 1 0,0-1 0,0 0 0,1 0 0,-1 1 0,1-1 0,0 0 0,1 6 0,3 19 0,1 0 0,10 31 0,-6-27 0,6 51 0,-14-75 0,0 0 0,-1 0 0,0 0 0,-1 0 0,0 0 0,0 0 0,-1 0 0,-1-1 0,-5 16 0,6-21 0,0 0 0,0 0 0,0-1 0,0 1 0,-1-1 0,0 0 0,1 1 0,-1-1 0,-1 0 0,1-1 0,0 1 0,-6 3 0,8-5 0,0-1 0,0 1 0,0-1 0,0 1 0,-1-1 0,1 0 0,0 0 0,0 1 0,-1-1 0,1 0 0,0 0 0,0 0 0,-1 0 0,1 0 0,0 0 0,0-1 0,-1 1 0,0-1 0,0 0 0,1 1 0,-1-1 0,1-1 0,-1 1 0,1 0 0,0 0 0,0 0 0,0-1 0,0 1 0,-1 0 0,2-1 0,-1 1 0,0-1 0,0 1 0,0-1 0,0-3 0,-1-2-91,0-1 0,0 1 0,1-1 0,0 1 0,0-1 0,1 1 0,0-1 0,0 0 0,1 1 0,0-1 0,0 1 0,1-1 0,0 1 0,3-9 0,7-11-6735</inkml:trace>
  <inkml:trace contextRef="#ctx0" brushRef="#br0" timeOffset="757.33">536 285 24575,'-1'-6'0,"1"0"0,-1 0 0,0 0 0,-1 1 0,-2-9 0,3 13 0,1-1 0,-1 1 0,0 0 0,1 0 0,-1-1 0,0 1 0,0 0 0,0 0 0,0 0 0,0 0 0,0 0 0,-2-1 0,3 1 0,-1 1 0,0 0 0,1 0 0,-1 0 0,0 0 0,1 0 0,-1 0 0,1 0 0,-1 0 0,0 0 0,1 0 0,-1 0 0,0 0 0,1 0 0,-1 0 0,1 0 0,-1 1 0,0-1 0,1 0 0,-1 1 0,1-1 0,-1 0 0,1 1 0,-1-1 0,1 0 0,-1 1 0,1-1 0,-1 1 0,0 0 0,-1 3 0,-1-1 0,1 1 0,0-1 0,0 1 0,1 0 0,-1 0 0,1 0 0,-1 0 0,1 0 0,1 0 0,-1 1 0,0 4 0,0 2 0,1-1 0,0 1 0,2 18 0,-1-27 0,-1 1 0,1 0 0,0-1 0,0 1 0,0-1 0,0 0 0,0 1 0,0-1 0,1 0 0,-1 0 0,1 0 0,0 0 0,-1 0 0,1 0 0,0 0 0,0 0 0,3 1 0,-4-2 0,-1-1 0,1 0 0,0 1 0,0-1 0,-1 0 0,1 0 0,0 1 0,0-1 0,-1 0 0,1 0 0,0 0 0,0 0 0,0 0 0,-1 0 0,1 0 0,0 0 0,0-1 0,0 1 0,-1 0 0,1 0 0,0-1 0,0 1 0,1-1 0,-1 0 0,0 0 0,0 0 0,0-1 0,0 1 0,0 0 0,0 0 0,0-1 0,0 1 0,-1 0 0,1-1 0,0 1 0,-1-1 0,1 1 0,0-3 0,1-9 0,-1 0 0,0 1 0,-1-1 0,-1-16 0,2 35 0,1 0 0,0 0 0,0 0 0,0-1 0,1 1 0,5 8 0,-7-12 0,0 0 0,0 0 0,0-1 0,0 1 0,0 0 0,1-1 0,-1 1 0,1-1 0,-1 0 0,1 1 0,0-1 0,-1 0 0,1 0 0,0 0 0,0 0 0,0 0 0,0-1 0,0 1 0,0-1 0,0 1 0,0-1 0,0 1 0,4-1 0,-5 0 0,0 0 0,0-1 0,0 1 0,0 0 0,0-1 0,0 1 0,0-1 0,0 1 0,0-1 0,0 1 0,0-1 0,-1 0 0,1 1 0,0-1 0,0 0 0,-1 0 0,1 0 0,0 1 0,-1-1 0,1 0 0,0 0 0,-1-1 0,9-27 0,-9 26 0,1 1 0,-1-1 0,1 1 0,-1-1 0,1 1 0,0-1 0,0 1 0,0 0 0,0-1 0,0 1 0,1 0 0,-1 0 0,1 0 0,-1 0 0,4-3 0,-4 5 0,0-1 0,0 1 0,0 0 0,0 0 0,0 0 0,0 0 0,0 0 0,0 0 0,0 0 0,0 0 0,0 0 0,0 0 0,0 0 0,0 1 0,0-1 0,0 1 0,0-1 0,-1 0 0,1 1 0,0-1 0,0 1 0,0 0 0,-1-1 0,1 1 0,0 0 0,0-1 0,-1 1 0,1 0 0,-1 0 0,1 0 0,-1-1 0,1 1 0,-1 0 0,1 1 0,15 34 0,-14-29 0,6 15 0,-4-19 0,-1-12 0,-1-2 0,8-30 0,-10 39 0,1 0 0,0 0 0,0 0 0,-1 0 0,1 0 0,1 0 0,-1 1 0,0-1 0,0 0 0,1 1 0,-1-1 0,1 1 0,-1-1 0,1 1 0,0 0 0,1-2 0,-2 3 0,0 0 0,-1-1 0,1 1 0,0 0 0,-1 0 0,1 0 0,0 0 0,-1 0 0,1 0 0,0 0 0,-1 0 0,1 0 0,-1 0 0,1 0 0,0 0 0,-1 0 0,1 1 0,0-1 0,-1 0 0,1 0 0,-1 1 0,1-1 0,0 0 0,-1 1 0,1 0 0,13 17 0,1 22 0,-15-40 0,4 19 0,-4-15 0,1 0 0,-1 0 0,1 1 0,0-1 0,1 0 0,-1 0 0,1 0 0,0 0 0,0 0 0,4 6 0,-1-8-1365</inkml:trace>
  <inkml:trace contextRef="#ctx0" brushRef="#br0" timeOffset="931.13">925 294 24575,'0'1'0,"0"2"0,3 0 0,3-2 0,6-1 0,4-3 0,3-2 0,0-1 0,-2 0 0,-4 0 0,-4 0-8191</inkml:trace>
  <inkml:trace contextRef="#ctx0" brushRef="#br0" timeOffset="2200.23">1434 97 24575,'0'20'0,"-2"0"0,0 0 0,-8 36 0,7-46 0,0 0 0,0-1 0,-1 1 0,0-1 0,-1 0 0,0 0 0,0-1 0,-1 1 0,-10 10 0,16-18 0,-1-1 0,1 1 0,-1 0 0,0-1 0,1 1 0,-1-1 0,1 1 0,-1-1 0,0 1 0,0-1 0,1 1 0,-1-1 0,0 0 0,0 1 0,1-1 0,-1 0 0,0 0 0,0 1 0,0-1 0,0 0 0,1 0 0,-1 0 0,0 0 0,0 0 0,0 0 0,-1-1 0,1 0 0,0 1 0,0-1 0,0 0 0,0 0 0,0 0 0,0 1 0,0-1 0,0 0 0,1 0 0,-1 0 0,0-1 0,1 1 0,-1 0 0,1 0 0,-1 0 0,0-2 0,0 1 0,0-1 0,1 1 0,-1-1 0,1 1 0,-1-1 0,1 0 0,0 1 0,0-1 0,0 0 0,0 1 0,0-1 0,1 0 0,-1 1 0,1-1 0,0 0 0,1-4 0,-1 7 0,-1 0 0,1-1 0,0 1 0,-1 0 0,1 0 0,-1-1 0,1 1 0,-1 0 0,1 0 0,0 0 0,-1 0 0,1 0 0,0 0 0,-1 0 0,1 0 0,-1 0 0,1 0 0,0 0 0,-1 0 0,1 1 0,-1-1 0,1 0 0,-1 0 0,1 1 0,0-1 0,-1 0 0,1 1 0,-1-1 0,1 0 0,0 1 0,20 16 0,-14-11 0,1 0 0,1-1 0,-1 0 0,1 0 0,0-1 0,0 0 0,1-1 0,-1 0 0,1 0 0,-1-1 0,1 0 0,12 0 0,-18-2 0,1 0 0,-1 0 0,0 0 0,1-1 0,-1 1 0,0-1 0,1 0 0,-1-1 0,0 1 0,0-1 0,0 1 0,0-1 0,0-1 0,0 1 0,-1 0 0,1-1 0,-1 0 0,0 0 0,0 0 0,0 0 0,0 0 0,0-1 0,0 1 0,-1-1 0,0 0 0,0 1 0,3-8 0,-3 5 0,-1 1 0,0-1 0,0 0 0,0 0 0,-1 1 0,0-1 0,0 0 0,0 0 0,-1 0 0,0 1 0,0-1 0,0 0 0,-1 1 0,-2-7 0,-5-11 0,-23-42 0,25 53 0,2 2 0,4 6 0,-1-1 0,-1 1 0,1 0 0,0 0 0,-1-1 0,0 2 0,0-1 0,0 0 0,0 1 0,-1-1 0,0 1 0,1 0 0,-8-4 0,10 6 0,0 1 0,0 0 0,-1 0 0,1 0 0,0 0 0,0 0 0,0 0 0,0 1 0,0-1 0,-1 0 0,1 1 0,0-1 0,0 0 0,0 1 0,0-1 0,0 1 0,0 0 0,0-1 0,0 1 0,1 0 0,-1 0 0,0-1 0,0 1 0,0 0 0,1 0 0,-1 0 0,0 0 0,1 0 0,-1 0 0,1 0 0,-1 0 0,1 0 0,0 0 0,-1 2 0,-2 4 0,1 1 0,0-1 0,-2 14 0,3-11-68,0-1 0,1 1-1,0 0 1,1-1 0,0 1 0,1-1-1,0 1 1,0-1 0,1 0 0,0 0-1,0 0 1,1 0 0,0 0 0,1-1-1,0 0 1,1 0 0,-1 0 0,1 0-1,13 11 1,-5-9-6758</inkml:trace>
  <inkml:trace contextRef="#ctx0" brushRef="#br0" timeOffset="2555.98">1654 203 24575,'0'1'0,"0"-1"0,0 1 0,0 0 0,1 0 0,-1 0 0,0-1 0,0 1 0,1 0 0,-1 0 0,1-1 0,-1 1 0,1 0 0,-1-1 0,1 1 0,-1 0 0,1-1 0,-1 1 0,1-1 0,0 1 0,-1-1 0,1 1 0,0-1 0,0 1 0,-1-1 0,1 0 0,0 1 0,0-1 0,-1 0 0,1 0 0,0 0 0,0 1 0,0-1 0,0 0 0,-1 0 0,1 0 0,0 0 0,0-1 0,0 1 0,0 0 0,1-1 0,1 1 0,1-1 0,-1 1 0,1-1 0,-1 0 0,1-1 0,-1 1 0,0 0 0,5-4 0,14-18 0,-22 23 0,1-1 0,-1 0 0,1 0 0,0 1 0,-1-1 0,1 0 0,-1 0 0,1 0 0,-1 0 0,0 1 0,1-1 0,-1 0 0,0 0 0,0 0 0,0 0 0,0 0 0,1 0 0,-1 0 0,0 0 0,-1 0 0,1 0 0,0 0 0,0 0 0,0 0 0,0 1 0,-1-1 0,1 0 0,-1 0 0,0-1 0,1 2 0,-1 0 0,0 0 0,1-1 0,-1 1 0,0 0 0,1 0 0,-1 1 0,0-1 0,1 0 0,-1 0 0,0 0 0,1 0 0,-1 1 0,0-1 0,1 0 0,-1 0 0,0 1 0,1-1 0,-1 1 0,1-1 0,-1 0 0,1 1 0,-1-1 0,1 1 0,-1-1 0,1 1 0,-1-1 0,1 1 0,0 0 0,-1-1 0,1 1 0,-1 1 0,-13 21 0,12-17 0,-1-1 0,1 1 0,0 1 0,0-1 0,1 0 0,0 0 0,0 1 0,0 6 0,1-12 0,0 1 0,0 0 0,0-1 0,0 1 0,1-1 0,-1 1 0,0 0 0,1-1 0,-1 1 0,1-1 0,0 1 0,0-1 0,-1 0 0,1 1 0,0-1 0,0 0 0,0 1 0,0-1 0,0 0 0,1 0 0,-1 0 0,0 0 0,1 0 0,-1 0 0,0 0 0,1 0 0,-1-1 0,1 1 0,-1-1 0,1 1 0,-1-1 0,1 1 0,0-1 0,-1 0 0,1 0 0,1 0 0,1 1-80,0-1 0,-1 0-1,1 0 1,0 0 0,-1 0-1,1-1 1,-1 0 0,1 0-1,-1 0 1,1 0 0,-1 0 0,0 0-1,1-1 1,-1 0 0,0 0-1,5-4 1,-1-2-6746</inkml:trace>
  <inkml:trace contextRef="#ctx0" brushRef="#br0" timeOffset="2919.24">1929 148 24575,'1'-9'0,"0"0"0,-2 9 0,1 0 0,0 0 0,-1 0 0,1 0 0,-1 0 0,1 0 0,-1 0 0,1 0 0,0 0 0,-1 1 0,1-1 0,-1 0 0,1 0 0,0 0 0,-1 0 0,1 1 0,0-1 0,-1 0 0,1 0 0,0 1 0,-1-1 0,1 0 0,0 1 0,0-1 0,-1 0 0,1 1 0,0-1 0,-5 5 0,1 0 0,-1 0 0,1 1 0,1-1 0,-1 1 0,1-1 0,0 1 0,-3 9 0,4-11 0,1-1 0,0 1 0,0 0 0,0-1 0,0 1 0,0 0 0,1 0 0,-1 0 0,1 0 0,0-1 0,1 1 0,-1 0 0,0 0 0,1 0 0,2 6 0,-2-9 0,1 1 0,-1 0 0,1 0 0,0-1 0,-1 1 0,1-1 0,0 0 0,0 1 0,0-1 0,0 0 0,0 0 0,0 0 0,1-1 0,-1 1 0,0 0 0,0-1 0,1 1 0,-1-1 0,0 0 0,0 0 0,1 0 0,-1 0 0,0 0 0,3-1 0,0 1 0,1-1 0,-1 0 0,0 0 0,1 0 0,-1 0 0,0-1 0,0 0 0,0 0 0,6-4 0,-10 4-1365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8:54.75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4 559 24575,'0'0'0,"0"1"0,-1-1 0,1 0 0,0 1 0,-1-1 0,1 0 0,0 0 0,0 1 0,-1-1 0,1 1 0,0-1 0,0 0 0,0 1 0,0-1 0,-1 0 0,1 1 0,0-1 0,0 1 0,0-1 0,0 1 0,0-1 0,0 0 0,0 1 0,0-1 0,0 1 0,0-1 0,0 0 0,0 1 0,1-1 0,-1 1 0,0-1 0,0 0 0,0 1 0,1 0 0,4 15 0,-4-14 0,0 1 0,0-1 0,0 0 0,0 0 0,0 0 0,1 0 0,-1 0 0,1 0 0,-1 0 0,1-1 0,0 1 0,0 0 0,0-1 0,0 1 0,0-1 0,0 0 0,0 0 0,0 0 0,0 0 0,0 0 0,1 0 0,-1-1 0,0 1 0,1-1 0,-1 1 0,1-1 0,-1 0 0,0 0 0,1 0 0,2 0 0,-1-2 0,1 1 0,0-1 0,-1 1 0,0-1 0,1-1 0,-1 1 0,0 0 0,0-1 0,-1 0 0,1 0 0,0 0 0,-1-1 0,0 1 0,5-7 0,5-8 0,0-1 0,-1 0 0,-1-1 0,-1 0 0,-1-1 0,8-25 0,-14 37 0,-1 0 0,1 0 0,-2 0 0,1-1 0,-1 1 0,-1-1 0,1 1 0,-2 0 0,1-1 0,-1 1 0,-1-1 0,0 1 0,0 0 0,0 0 0,-1 0 0,-1 0 0,-5-11 0,7 17 0,0 1 0,0-1 0,0 0 0,0 1 0,0-1 0,-1 1 0,1-1 0,-1 1 0,0 0 0,1 0 0,-1 0 0,0 1 0,0-1 0,-5-1 0,6 2 0,1 1 0,-1 0 0,0 0 0,1 0 0,-1 0 0,0 0 0,1 0 0,-1 0 0,0 1 0,1-1 0,-1 0 0,1 1 0,-1 0 0,1-1 0,-1 1 0,1 0 0,-1 0 0,1 0 0,-1-1 0,1 2 0,0-1 0,0 0 0,0 0 0,-1 0 0,1 0 0,0 1 0,1-1 0,-1 1 0,0-1 0,0 0 0,0 3 0,-8 15 0,1 0 0,0 0 0,2 1 0,0 0 0,-3 24 0,-8 105 0,16-138 0,-1 71 0,2-75 0,1 0 0,-1 0 0,2 0 0,-1 0 0,1 0 0,0-1 0,0 1 0,1 0 0,3 6 0,-5-12 0,0 1 0,0-1 0,0 0 0,0 0 0,0 0 0,0 0 0,0 0 0,0 0 0,0 0 0,1 0 0,-1 0 0,0 0 0,1-1 0,-1 1 0,0 0 0,1-1 0,-1 0 0,1 1 0,-1-1 0,1 0 0,-1 1 0,1-1 0,-1 0 0,1 0 0,-1 0 0,1-1 0,0 1 0,-1 0 0,1-1 0,-1 1 0,0 0 0,4-2 0,2-2 0,0 1 0,0-1 0,0-1 0,0 1 0,6-6 0,11-10 0,-2-1 0,0-1 0,-1-1 0,30-43 0,-38 47 0,0-1 0,-2-1 0,0 0 0,-1-1 0,-1 0 0,10-40 0,-18 52 0,1 0 0,-1 0 0,-1 1 0,0-1 0,0 0 0,-1 0 0,0 0 0,-1 1 0,0-1 0,-1 1 0,-4-12 0,5 16 0,0 0 0,0 0 0,-1 0 0,1 0 0,-1 1 0,0 0 0,0-1 0,-1 1 0,0 0 0,1 1 0,-1-1 0,0 1 0,-1-1 0,1 1 0,-1 0 0,1 1 0,-1-1 0,0 1 0,0 0 0,0 0 0,0 1 0,-6-2 0,8 3 0,0 0 0,1 0 0,-1 0 0,0 1 0,0-1 0,0 1 0,0 0 0,0 0 0,1 0 0,-1 0 0,0 0 0,1 0 0,-1 1 0,1-1 0,-1 1 0,1 0 0,0 0 0,0 0 0,0 0 0,0 0 0,0 0 0,0 0 0,0 1 0,1-1 0,-1 1 0,1-1 0,0 1 0,-1 0 0,1 0 0,0 3 0,-1-3 0,1 0 0,0 1 0,0-1 0,0 0 0,1 1 0,-1-1 0,1 1 0,0-1 0,0 0 0,0 1 0,0-1 0,1 1 0,-1-1 0,1 1 0,0-1 0,0 0 0,0 1 0,0-1 0,1 0 0,-1 0 0,1 0 0,0 0 0,0 0 0,0 0 0,4 4 0,27 17 0,-23-17 0,1 0 0,-1 1 0,-1 0 0,0 1 0,0 0 0,0 1 0,8 12 0,-7-3 0,-1 0 0,-1 1 0,-1 0 0,0 1 0,-2-1 0,5 35 0,-6-34 0,7 16 120,-2-25-321,-9-12 161,1 0 0,-1 0 0,1 0-1,-1 0 1,1 0 0,-1 0 0,1 0 0,-1 0 0,0 0 0,1 0 0,-1 0-1,1 0 1,-1 0 0,1-1 0,-1 1 0,0 0 0,1 0 0,-1 0 0,1-1-1,-1 1 1,0 0 0,1-1 0,-1 1 0,0 0 0,0 0 0,1-1 0,-1 1-1,0-1 1,0 1 0,1 0 0,-1-2 0,8-11-6786</inkml:trace>
  <inkml:trace contextRef="#ctx0" brushRef="#br0" timeOffset="248.07">527 10 24575,'0'-2'0,"0"2"0,2 8 0,1 9 0,2 13 0,1 11 0,2 11 0,-1 6 0,-1 2 0,1-3 0,-1-6 0,-1-9 0,-1-10 0,0-14 0,-3-13 0</inkml:trace>
  <inkml:trace contextRef="#ctx0" brushRef="#br0" timeOffset="419.27">481 339 24575,'0'0'0,"0"0"0,4-2 0,2-4 0,4-4 0,2-2 0,2-3 0,0 1 0,0 2 0,-4 0 0,-3 3-8191</inkml:trace>
  <inkml:trace contextRef="#ctx0" brushRef="#br0" timeOffset="742.45">637 216 24575,'3'1'0,"0"1"0,0 1 0,0-1 0,0 0 0,0 1 0,0 0 0,-1-1 0,1 1 0,-1 0 0,3 5 0,-3-5 0,5 6 0,-2 0 0,1 0 0,-1 0 0,-1 1 0,0 0 0,4 13 0,-6-18 0,-1 0 0,0 0 0,0 0 0,0-1 0,-1 1 0,0 0 0,1 0 0,-2 0 0,1 0 0,-1 0 0,0 0 0,0 0 0,0 0 0,0-1 0,-4 9 0,5-13 0,-1 1 0,1-1 0,0 1 0,0 0 0,0-1 0,-1 1 0,1-1 0,0 1 0,0-1 0,-1 1 0,1-1 0,0 0 0,-1 1 0,1-1 0,-1 1 0,1-1 0,-1 0 0,1 1 0,-1-1 0,1 0 0,-1 1 0,1-1 0,-1 0 0,1 0 0,-1 0 0,1 0 0,-1 1 0,1-1 0,-1 0 0,0 0 0,0 0 0,0-1 0,1 0 0,-1 1 0,0-1 0,1 0 0,-1 0 0,1 0 0,-1 0 0,1 0 0,-1 0 0,1 0 0,0 0 0,-1 0 0,1 0 0,0 0 0,0-1 0,-5-43 0,5 29 0,0-1 0,1 1 0,1-1 0,0 1 0,1 0 0,8-27 0,-9 39 0,0-1 0,0 0 0,0 1 0,0-1 0,1 1 0,-1 0 0,1 0 0,0 0 0,1 0 0,-1 1 0,1-1 0,-1 1 0,1 0 0,0 0 0,0 0 0,1 0 0,-1 1 0,1-1 0,-1 1 0,1 1 0,-1-1 0,1 0 0,0 1 0,0 0 0,0 0 0,6 0 0,3 1-1365,-3 0-5461</inkml:trace>
  <inkml:trace contextRef="#ctx0" brushRef="#br0" timeOffset="929.43">948 170 24575,'0'-1'0,"2"-2"0,3-1 0,0 3 0,0 4 0</inkml:trace>
  <inkml:trace contextRef="#ctx0" brushRef="#br0" timeOffset="1089.33">962 262 24575,'0'1'0,"1"1"0,3 0 0,3-3 0,1-2 0,3-4 0,-1-3 0,1-3 0,-2-1 0,-3 0 0,-1 1 0,-6 0 0,-2 2-8191</inkml:trace>
  <inkml:trace contextRef="#ctx0" brushRef="#br0" timeOffset="1386.45">875 0 24575,'4'3'0,"1"-1"0,-1 0 0,1 0 0,0 0 0,0-1 0,0 0 0,0 0 0,0 0 0,8 0 0,28 7 0,-33-5 0,0 0 0,0 1 0,-1 0 0,0 0 0,0 1 0,0-1 0,0 2 0,-1-1 0,0 1 0,0 0 0,0 0 0,-1 0 0,8 13 0,-7-9 0,-1 1 0,0 0 0,-1 0 0,0 0 0,-1 0 0,0 0 0,-1 1 0,2 22 0,-4-7 0,-1 1 0,-1-1 0,-1 0 0,-1 0 0,-2-1 0,-1 1 0,-16 43 0,15-46 120,5-13-321,3-11 182,1 0 1,-1 0-1,0 0 1,0 0-1,0 0 0,0 0 1,0 0-1,0 0 0,0 0 1,0 0-1,0 0 1,0 0-1,0 0 0,0 0 1,1 0-1,-1 0 1,0 0-1,0 0 0,0 0 1,0 0-1,0 0 1,0 0-1,0 0 0,0 0 1,0 0-1,0 0 1,0 0-1,0 0 0,0 0 1,1 0-1,-1 0 0,0 0 1,0 0-1,0 0 1,0 1-1,0-1 0,0 0 1,0 0-1,0 0 1,0 0-1,0 0 0,0 0 1,0 0-1,0 0 1,0 0-1,0 0 0,0 0 1,0 0-1,0 0 1,0 1-1,0-1 0,0 0 1,0 0-1,0 0 0,0 0 1,0 0-1,0 0 1,0 0-1,0 0 0,0 0 1,0 0-1,0 0 1,0 0-1,0 1 0,0-1 1,0 0-1,0 0 1,0 0-1,5-6-6807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9:02.98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29 679 24575,'-7'-6'0,"5"3"0,-1 1 0,0-1 0,1 0 0,-1 0 0,1 0 0,-3-4 0,5 6 0,0 1 0,0-1 0,-1 0 0,1 0 0,0 1 0,0-1 0,0 0 0,0 0 0,0 0 0,0 0 0,0 1 0,0-1 0,0 0 0,0 0 0,0 0 0,0 1 0,1-1 0,-1 0 0,0 0 0,1 1 0,-1-1 0,0 0 0,1 0 0,-1 1 0,1-1 0,-1 1 0,1-1 0,0 0 0,-1 1 0,1-1 0,-1 1 0,1-1 0,0 1 0,1-1 0,12-7 0,1 1 0,0 0 0,1 1 0,26-6 0,-6 1 0,25-9 0,64-22 0,-123 40 0,-6 2 0,-19 1 0,-29 9 0,48-9 0,1 0 0,-1 0 0,1 1 0,0-1 0,0 1 0,0 0 0,0 0 0,0 0 0,0 0 0,1 1 0,-1-1 0,1 1 0,-1-1 0,-1 4 0,3-4 0,0 0 0,0 0 0,1 0 0,-1 0 0,1 0 0,-1 0 0,1 0 0,0 0 0,-1 0 0,1 0 0,0 0 0,1 0 0,-1 0 0,0 0 0,0 1 0,1-1 0,-1 0 0,1-1 0,0 1 0,0 0 0,0 0 0,0 0 0,0 0 0,0 0 0,2 2 0,31 38 0,-27-35 0,0 1 0,0 1 0,-1 0 0,0 0 0,0 0 0,-1 0 0,-1 1 0,8 19 0,-10-20 0,0-1 0,-1 1 0,1 0 0,-2 0 0,1 0 0,-1 0 0,-1 0 0,0 0 0,0 0 0,0 0 0,-6 15 0,5-19 0,0 0 0,0-1 0,-1 1 0,1-1 0,-1 1 0,0-1 0,0 0 0,-1 0 0,1 0 0,-1-1 0,0 1 0,0-1 0,0 0 0,0 0 0,0-1 0,-1 1 0,1-1 0,-1 0 0,0 0 0,0 0 0,-9 2 0,7-3 0,1-1 0,0 1 0,0-1 0,-1 0 0,1 0 0,0-1 0,-1 0 0,1 0 0,0 0 0,-8-4 0,12 5 0,0-1 0,0 0 0,0 1 0,0-1 0,0 0 0,0-1 0,0 1 0,1 0 0,-1 0 0,0-1 0,1 1 0,-1-1 0,1 1 0,-1-1 0,1 0 0,0 0 0,-1 1 0,1-1 0,0 0 0,1 0 0,-1 0 0,0 0 0,0 0 0,1-1 0,-1 1 0,1 0 0,0 0 0,0 0 0,-1 0 0,2-1 0,-1 1 0,1-4 0,0 2-72,0 1 1,1-1-1,0 1 0,-1-1 0,1 1 0,1 0 0,-1 0 0,0 0 1,1 0-1,0 0 0,-1 1 0,1-1 0,0 1 0,0 0 0,1 0 1,-1 0-1,0 0 0,7-2 0,17-8-6754</inkml:trace>
  <inkml:trace contextRef="#ctx0" brushRef="#br0" timeOffset="752.97">583 660 24575,'-25'-20'0,"24"20"0,1-1 0,-1 1 0,0 0 0,1-1 0,-1 1 0,0 0 0,0 0 0,0 0 0,1-1 0,-1 1 0,0 0 0,0 0 0,0 0 0,1 0 0,-1 0 0,0 0 0,0 0 0,0 1 0,1-1 0,-1 0 0,0 0 0,0 1 0,1-1 0,-1 0 0,0 1 0,1-1 0,-1 1 0,0-1 0,1 1 0,-2 0 0,0 1 0,1 1 0,-1-1 0,1 0 0,0 1 0,0-1 0,0 1 0,0-1 0,0 1 0,0 4 0,-1 4 0,1-1 0,0 1 0,1 0 0,0 10 0,0-19 0,0-1 0,1 0 0,-1 1 0,0-1 0,0 1 0,1-1 0,-1 0 0,1 0 0,-1 1 0,1-1 0,-1 0 0,1 0 0,0 1 0,0-1 0,1 1 0,-2-1 0,1-1 0,-1 0 0,1 0 0,-1 1 0,1-1 0,-1 0 0,1 0 0,-1 0 0,1 1 0,0-1 0,-1 0 0,1 0 0,-1 0 0,1 0 0,-1 0 0,1 0 0,0 0 0,-1 0 0,1-1 0,-1 1 0,1 0 0,-1 0 0,1 0 0,-1-1 0,1 1 0,2-2 0,-1 1 0,0-1 0,0 1 0,0-1 0,-1 0 0,1 0 0,0 0 0,-1 0 0,1 0 0,-1 0 0,1 0 0,-1-1 0,0 1 0,1-4 0,1-9 0,-3 12 0,0 0 0,1 0 0,-1 1 0,1-1 0,-1 0 0,1 1 0,0-1 0,0 1 0,0-1 0,0 1 0,1-1 0,-1 1 0,1 0 0,-1 0 0,3-3 0,-3 5 0,-1 0 0,1 0 0,0 0 0,-1 0 0,1 1 0,0-1 0,-1 0 0,1 0 0,0 0 0,-1 1 0,1-1 0,0 0 0,-1 1 0,1-1 0,-1 0 0,1 1 0,-1-1 0,1 1 0,-1-1 0,1 1 0,-1-1 0,1 2 0,15 17 0,-9-10 0,-6-7 0,1 0 0,-1-1 0,1 0 0,-1 1 0,1-1 0,0 0 0,0 0 0,-1 0 0,4 1 0,-4-1 0,-1-1 0,1 0 0,0 0 0,-1 0 0,1 0 0,-1 0 0,1 0 0,0 0 0,-1 0 0,1 0 0,-1 0 0,1 0 0,0 0 0,-1-1 0,1 1 0,-1 0 0,1 0 0,-1-1 0,1 1 0,-1 0 0,2-1 0,0-2 0,0 0 0,0 0 0,0 0 0,0 0 0,-1 0 0,1-1 0,-1 1 0,2-6 0,-2 6 0,-1 1 0,1-1 0,0 1 0,0-1 0,0 1 0,0-1 0,1 1 0,-1-1 0,1 1 0,-1 0 0,1 0 0,0 0 0,3-3 0,-4 4 0,-1 1 0,1 0 0,-1 0 0,0 0 0,1 0 0,-1 0 0,1 0 0,-1 0 0,0 0 0,1 0 0,-1 0 0,1 0 0,-1 0 0,1 0 0,-1 0 0,0 0 0,1 0 0,-1 0 0,1 0 0,-1 1 0,0-1 0,1 0 0,-1 0 0,0 0 0,1 1 0,-1-1 0,0 0 0,1 1 0,-1-1 0,0 0 0,0 1 0,1-1 0,-1 0 0,1 1 0,6 19 0,-7-19 0,0 0 0,0 0 0,1 1 0,-1-1 0,0 0 0,0 0 0,1 0 0,-1 0 0,1 0 0,-1 0 0,1 0 0,-1 0 0,1 0 0,0 0 0,0 0 0,-1 0 0,1 0 0,0-1 0,0 1 0,0 0 0,0 0 0,0-1 0,1 2 0,0-3 0,0-1 0,-1 1 0,1 0 0,-1-1 0,0 1 0,1-1 0,-1 0 0,0 1 0,0-1 0,0 0 0,0 0 0,0 0 0,0 1 0,-1-1 0,1-3 0,4-5 0,-5 9 0,0 0 0,1 1 0,-1-1 0,0 1 0,1-1 0,-1 0 0,0 1 0,1-1 0,-1 1 0,0-1 0,1 1 0,-1-1 0,1 1 0,-1-1 0,1 1 0,0 0 0,-1-1 0,1 1 0,-1 0 0,1-1 0,0 1 0,-1 0 0,1 0 0,-1-1 0,1 1 0,0 0 0,-1 0 0,1 0 0,0 0 0,-1 0 0,1 0 0,0 0 0,0 0 0,-1 0 0,1 0 0,0 1 0,-1-1 0,1 0 0,-1 0 0,1 1 0,0-1 0,-1 0 0,1 1 0,-1-1 0,1 0 0,-1 1 0,1-1 0,-1 1 0,1-1 0,-1 1 0,1-1 0,-1 1 0,0-1 0,1 2 0,4 5 0,0 1 0,-1-1 0,6 15 0,-1-4 0,-8-17-36,0 0 0,-1 0 0,1 0 1,0 0-1,-1 0 0,1-1 0,0 1 0,0 0 0,0 0 0,0-1 0,0 1 0,0-1 0,0 1 0,0-1 0,0 1 0,0-1 0,0 0 1,0 0-1,0 1 0,0-1 0,0 0 0,0 0 0,1 0 0,-1 0 0,0 0 0,0 0 0,0-1 0,0 1 0,0 0 0,0 0 0,0-1 1,0 1-1,0-1 0,0 1 0,0-1 0,0 1 0,2-2 0,4-5-6790</inkml:trace>
  <inkml:trace contextRef="#ctx0" brushRef="#br0" timeOffset="906.4">908 623 24575,'0'1'0,"2"2"0,2 0 0,2 0 0,3-1 0,2-1 0,4-4 0,4-1 0,1-2 0,1 0 0,-2-1 0,1 0 0,-4 1-8191</inkml:trace>
  <inkml:trace contextRef="#ctx0" brushRef="#br0" timeOffset="1513.37">1293 413 24575,'2'34'0,"1"-1"0,9 42 0,-3-24 0,-5-35 0,-3-20 0,-3-29 0,-4-11 0,-11-146 0,18 168 0,-1 22 0,0-1 0,0 1 0,0 0 0,0 0 0,0 0 0,0 0 0,0 0 0,0 0 0,0 0 0,0 0 0,0 0 0,0-1 0,0 1 0,0 0 0,0 0 0,0 0 0,0 0 0,0 0 0,0 0 0,0 0 0,0 0 0,0 0 0,0 0 0,0 0 0,0-1 0,1 1 0,-1 0 0,0 0 0,0 0 0,0 0 0,0 0 0,0 0 0,0 0 0,0 0 0,0 0 0,0 0 0,0 0 0,1 0 0,-1 0 0,0 0 0,0 0 0,0 0 0,0 0 0,0 0 0,0 0 0,0 0 0,0 0 0,1 0 0,-1 0 0,0 0 0,0 0 0,0 0 0,0 0 0,0 0 0,0 0 0,0 0 0,0 0 0,0 0 0,0 1 0,0-1 0,1 0 0,5 8 0,3 12 0,-5-8 0,1 0 0,0 1 0,0-1 0,9 12 0,-13-22 0,0 0 0,0 0 0,0-1 0,0 1 0,1 0 0,-1-1 0,0 1 0,1-1 0,-1 0 0,1 1 0,-1-1 0,1 0 0,0 0 0,0 0 0,-1 0 0,1 0 0,0-1 0,0 1 0,0 0 0,0-1 0,0 1 0,0-1 0,0 0 0,0 0 0,0 0 0,0 0 0,0 0 0,2 0 0,-2-1 0,1 0 0,-1-1 0,1 1 0,-1 0 0,0-1 0,0 0 0,0 1 0,0-1 0,0 0 0,0 0 0,0 0 0,-1 0 0,1 0 0,-1-1 0,1 1 0,-1 0 0,0-1 0,0 1 0,0-1 0,0 1 0,0-4 0,2-7 0,0 0 0,1-24 0,-4 32 0,0 24 0,1 1 0,0-1 0,1 0 0,1 1 0,1-1 0,1-1 0,0 1 0,15 31 0,-19-48-105,0 0 0,0 0 0,0 0 0,0 0 0,1 0 0,-1 0 0,1-1 0,0 1 0,-1 0 0,1-1 0,0 0 0,3 3 0</inkml:trace>
  <inkml:trace contextRef="#ctx0" brushRef="#br0" timeOffset="1888.06">1614 408 24575,'0'-1'0,"0"0"0,0 0 0,0 0 0,0 0 0,0 0 0,-1 0 0,1-1 0,0 1 0,0 0 0,-1 0 0,1 0 0,-1 0 0,1 0 0,-1 0 0,0-1 0,0 2 0,1-1 0,0 1 0,-1 0 0,1 0 0,-1-1 0,1 1 0,0 0 0,-1 0 0,1 0 0,-1 0 0,1 0 0,-1 0 0,1 0 0,0 0 0,-1 0 0,1 0 0,-1 0 0,1 0 0,-1 0 0,1 0 0,-1 0 0,1 0 0,0 0 0,-1 0 0,0 1 0,-1 0 0,0 1 0,0-1 0,0 1 0,0-1 0,0 1 0,0 0 0,0 0 0,1 0 0,-1 0 0,0 0 0,-1 4 0,-9 29 0,13-17 0,0-17 0,-1-1 0,0 1 0,0-1 0,1 0 0,-1 1 0,0-1 0,1 0 0,-1 1 0,1-1 0,-1 0 0,0 0 0,1 1 0,-1-1 0,1 0 0,-1 0 0,1 0 0,-1 1 0,0-1 0,1 0 0,-1 0 0,1 0 0,-1 0 0,1 0 0,-1 0 0,1 0 0,-1 0 0,1 0 0,-1 0 0,1 0 0,-1-1 0,1 1 0,1 0 0,-1-1 0,1 1 0,-1-1 0,1 0 0,-1 1 0,0-1 0,1 0 0,-1 0 0,0 0 0,0 0 0,0 0 0,1 0 0,-1 0 0,0-1 0,0 1 0,-1 0 0,1 0 0,0-1 0,1-1 0,8-33 0,-2 10 0,-5 28 0,3 8 0,2 13 0,-2-4-50,-5-13-138,0-1 0,1 1 1,0-1-1,0 0 0,0 1 0,6 8 0</inkml:trace>
  <inkml:trace contextRef="#ctx0" brushRef="#br0" timeOffset="2171.69">1682 376 24575,'0'-1'0,"1"0"0,-1 1 0,0-1 0,0 0 0,0 0 0,1 1 0,-1-1 0,0 0 0,1 1 0,-1-1 0,0 0 0,1 1 0,-1-1 0,1 0 0,-1 1 0,1-1 0,-1 1 0,1-1 0,0 1 0,-1-1 0,1 1 0,0-1 0,-1 1 0,1 0 0,0-1 0,0 1 0,-1 0 0,1 0 0,0 0 0,0-1 0,-1 1 0,1 0 0,0 0 0,0 0 0,-1 0 0,1 0 0,0 0 0,0 1 0,0-1 0,-1 0 0,1 0 0,1 1 0,33 9 0,-27-6 0,0 0 0,0 0 0,11 7 0,-17-10 0,0 1 0,0-1 0,0 0 0,-1 1 0,1-1 0,0 1 0,-1 0 0,0-1 0,1 1 0,-1 0 0,0 0 0,0 0 0,0 0 0,0 0 0,0 0 0,0 0 0,-1 0 0,1 0 0,0 4 0,-1-5 0,0-1 0,0 0 0,0 1 0,0-1 0,0 1 0,0-1 0,0 0 0,0 1 0,0-1 0,0 1 0,-1-1 0,1 0 0,0 1 0,0-1 0,0 0 0,0 1 0,-1-1 0,1 0 0,0 1 0,0-1 0,-1 0 0,1 1 0,0-1 0,-1 0 0,1 0 0,0 1 0,-1-1 0,1 0 0,0 0 0,-1 0 0,1 1 0,-1-1 0,1 0 0,0 0 0,-1 0 0,1 0 0,-1 0 0,1 0 0,0 0 0,-1 0 0,1 0 0,-1 0 0,1 0 0,-1 0 0,0-1 0,0 1 0,0 0 0,0-1 0,0 1 0,0 0 0,0-1 0,1 1 0,-1-1 0,0 1 0,0-1 0,0 0 0,1 1 0,-1-1 0,0 0 0,1 1 0,-1-1 0,0 0 0,0-1 0,0 0 5,0 0 0,0-1 0,0 1 0,1-1 0,-1 1 0,1-1 0,-1 1 0,1-1 0,0 1 0,0-1 0,0 0 0,0 1 0,0-1 0,1 1 0,-1-1 0,1 1 0,0-1 0,0 1 0,0-1 0,0 1 0,0 0 0,0 0 0,3-4 0,-1 2-140,1 0 0,0 0 0,0 0 0,0 1 0,0-1 0,1 1 0,-1 1 0,1-1 0,0 0 0,7-2 0,0 1-6691</inkml:trace>
  <inkml:trace contextRef="#ctx0" brushRef="#br0" timeOffset="2767.81">1911 289 24575,'1'-1'0,"0"1"0,-1-1 0,1 1 0,0-1 0,-1 1 0,1-1 0,-1 1 0,1-1 0,-1 0 0,1 1 0,-1-1 0,0 0 0,1 0 0,-1 1 0,0-1 0,0 0 0,1 0 0,-1 0 0,0 1 0,0-1 0,0 0 0,0 0 0,0 0 0,0 1 0,0-2 0,-1-22 0,1 24 0,0 0 0,0-1 0,0 1 0,0-1 0,0 1 0,-1 0 0,1 0 0,0-1 0,0 1 0,0 0 0,0-1 0,0 1 0,-1 0 0,1-1 0,0 1 0,0 0 0,0 0 0,-1-1 0,1 1 0,0 0 0,0 0 0,-1 0 0,1-1 0,0 1 0,-1 0 0,1 0 0,0 0 0,-1 0 0,1 0 0,0 0 0,-1 0 0,1-1 0,0 1 0,-1 0 0,-8 10 0,-1 17 0,8-15 0,1 0 0,0 0 0,1 1 0,2 20 0,-2-31 0,1 1 0,-1-1 0,1 0 0,0 1 0,-1-1 0,1 0 0,0 1 0,0-1 0,1 0 0,-1 0 0,0 0 0,1 0 0,2 3 0,-3-4 0,0-1 0,1 1 0,-1 0 0,0-1 0,1 1 0,-1 0 0,0-1 0,1 0 0,-1 1 0,1-1 0,-1 0 0,1 0 0,-1 0 0,1 0 0,-1 0 0,1 0 0,-1 0 0,1 0 0,-1 0 0,1-1 0,-1 1 0,1-1 0,-1 1 0,2-2 0,1 0 0,-1 0 0,0 0 0,0 0 0,0 0 0,0 0 0,-1-1 0,1 1 0,-1-1 0,1 0 0,-1 0 0,0 0 0,0 0 0,0 0 0,0-1 0,-1 1 0,1 0 0,1-8 0,1-5 0,0-1 0,3-25 0,-6 34 0,17-245 0,-18 296 0,2 1 0,1-1 0,3 0 0,1 0 0,17 55 0,-14-78 0,-10-20 0,1 0 0,-1 0 0,0 1 0,0-1 0,0 0 0,0 0 0,1 0 0,-1 0 0,0 0 0,0 0 0,0 0 0,1 1 0,-1-1 0,0 0 0,0 0 0,0 0 0,1 0 0,-1 0 0,0 0 0,0 0 0,0 0 0,1 0 0,-1 0 0,0 0 0,0 0 0,1-1 0,-1 1 0,0 0 0,0 0 0,0 0 0,1 0 0,-1 0 0,0 0 0,0 0 0,0-1 0,0 1 0,1 0 0,-1 0 0,0 0 0,0 0 0,0 0 0,0-1 0,3-3 0,-1 0 0,0-1 0,-1 1 0,1-1 0,1-6 0,1-5 0,-3 13 0,0 1 0,0-1 0,0 1 0,0-1 0,1 1 0,-1 0 0,1 0 0,-1 0 0,1-1 0,0 2 0,3-5 0,-5 6 0,1 0 0,-1 0 0,1 0 0,-1-1 0,1 1 0,-1 0 0,0 0 0,1 0 0,-1 0 0,1 0 0,-1 0 0,1 0 0,-1 0 0,0 0 0,1 0 0,-1 0 0,1 0 0,-1 0 0,1 0 0,-1 0 0,1 0 0,-1 0 0,0 0 0,1 1 0,-1-1 0,1 0 0,0 1 0,0 0 0,0 0 0,0 1 0,0-1 0,0 0 0,0 0 0,-1 1 0,1-1 0,0 0 0,-1 1 0,1-1 0,0 2 0,2 7 30,0 0 0,-1 0 0,2 12 0,-4-19-123,0 0 0,0 0 1,0 0-1,0 0 0,0 0 0,-1 0 0,1 0 0,-1 0 1,0 0-1,0 0 0,0 0 0,0 0 0,0-1 1,0 1-1,-3 3 0,-4 3-6733</inkml:trace>
  <inkml:trace contextRef="#ctx0" brushRef="#br0" timeOffset="3668.96">308 1301 24575,'-2'0'0,"-2"-1"0,2-1 0</inkml:trace>
  <inkml:trace contextRef="#ctx0" brushRef="#br0" timeOffset="4407.24">317 1292 24575,'-14'-4'0,"2"1"0,12 3 0,0 0 0,-1 0 0,1 0 0,0 1 0,0-1 0,-1 0 0,1 0 0,0 0 0,0 1 0,-1-1 0,1 0 0,0 0 0,0 0 0,0 1 0,0-1 0,-1 0 0,1 1 0,0-1 0,0 0 0,0 0 0,0 1 0,0-1 0,0 0 0,0 1 0,0-1 0,0 0 0,0 1 0,0-1 0,0 0 0,0 0 0,0 1 0,0-1 0,0 0 0,0 1 0,0-1 0,1 1 0,24 389 0,-25-372 0,-1-13 0,1 0 0,-1 0 0,2 0 0,-1 0 0,0 0 0,1 0 0,0 0 0,2 7 0,1-45 0,-7-155 0,-1 32 0,7 123 0,-3 33 0,0-1 0,1 0 0,-1 1 0,0-1 0,0 1 0,0-1 0,1 1 0,-1-1 0,0 1 0,1-1 0,-1 1 0,0-1 0,1 1 0,-1 0 0,1-1 0,-1 1 0,0-1 0,1 1 0,0-1 0,0 1 0,0 0 0,-1 0 0,1 0 0,0 1 0,-1-1 0,1 0 0,-1 0 0,1 0 0,0 0 0,-1 1 0,1-1 0,-1 0 0,1 1 0,0-1 0,-1 0 0,1 1 0,-1-1 0,0 1 0,1-1 0,-1 1 0,1-1 0,0 2 0,11 14 0,-1 0 0,-1 1 0,0 1 0,-2-1 0,14 37 0,4 10 0,-10-38 0,-13-21 0,0 0 0,0 0 0,0 0 0,0 0 0,-1 0 0,0 1 0,2 7 0,-6-9-1365</inkml:trace>
  <inkml:trace contextRef="#ctx0" brushRef="#br0" timeOffset="4993.01">349 1572 24575,'-9'6'0,"9"-4"0,7-5 0,20-14 0,0-2 0,-2-1 0,0-1 0,-2-1 0,29-34 0,-52 56 0,0 0 0,0-1 0,1 1 0,-1 0 0,0-1 0,1 1 0,-1 0 0,0 0 0,0-1 0,1 1 0,-1 0 0,1 0 0,-1 0 0,0 0 0,1-1 0,-1 1 0,0 0 0,1 0 0,-1 0 0,1 0 0,-1 0 0,0 0 0,1 0 0,-1 0 0,1 0 0,-1 0 0,0 0 0,1 0 0,-1 0 0,0 1 0,1-1 0,-1 0 0,0 0 0,1 0 0,-1 0 0,0 1 0,1-1 0,-1 0 0,0 0 0,1 1 0,-1-1 0,0 0 0,0 1 0,1-1 0,-1 0 0,0 1 0,0-1 0,0 0 0,1 1 0,-1-1 0,0 0 0,0 1 0,0-1 0,0 1 0,0-1 0,0 1 0,8 29 0,-6-22 0,54 162 0,-15-58 0,-38-96 0,-3-16 0,0 0 0,0 0 0,0 0 0,0 0 0,0 0 0,0 0 0,0 1 0,0-1 0,0 0 0,-1 0 0,1 0 0,0 0 0,0 0 0,0 0 0,0 0 0,0 0 0,0 0 0,0 0 0,0 0 0,0 0 0,0 1 0,0-1 0,0 0 0,0 0 0,-1 0 0,1 0 0,0 0 0,0 0 0,0 0 0,0 0 0,0 0 0,0 0 0,0 0 0,0 0 0,-1 0 0,1 0 0,0 0 0,0 0 0,0 0 0,0 0 0,0 0 0,0 0 0,0 0 0,0 0 0,0 0 0,-1 0 0,1 0 0,0 0 0,0-1 0,0 1 0,0 0 0,0 0 0,0 0 0,0 0 0,0 0 0,0 0 0,0 0 0,0 0 0,0 0 0,0 0 0,-19-23 0,6 2 0,1-1 0,1 0 0,1 0 0,0-1 0,2-1 0,1 1 0,1-1 0,1-1 0,-4-46 0,9 67 0,0 0 0,0 0 0,0 0 0,1 0 0,0 0 0,-1 0 0,1 1 0,1-1 0,-1 0 0,1 1 0,-1-1 0,4-3 0,-5 5 0,1 1 0,0 0 0,0 0 0,0 0 0,0 1 0,0-1 0,0 0 0,0 0 0,0 1 0,1-1 0,-1 0 0,0 1 0,0-1 0,1 1 0,-1-1 0,0 1 0,1 0 0,-1 0 0,0 0 0,1-1 0,-1 1 0,0 1 0,1-1 0,-1 0 0,0 0 0,1 0 0,-1 1 0,0-1 0,0 0 0,1 1 0,-1-1 0,0 1 0,0 0 0,0-1 0,1 1 0,-1 0 0,0 0 0,1 1 0,1 1 0,1 0 0,-1 1 0,1 0 0,-1 0 0,0 0 0,-1 0 0,1 0 0,-1 0 0,1 1 0,-1-1 0,-1 1 0,1 0 0,1 7 0,-2-9 0,0-1 0,-1 1 0,1 0 0,-1 0 0,1 0 0,-1 0 0,0-1 0,0 1 0,0 0 0,-1 0 0,1 0 0,-1 0 0,1-1 0,-1 1 0,0 0 0,0 0 0,0-1 0,-1 1 0,1-1 0,0 1 0,-1-1 0,0 0 0,0 1 0,-2 1 0,4-3 2,-1-1 0,1 0 0,-1 0 0,1 1 0,0-1 0,-1 0 0,1 0 0,-1 0 0,1 0 0,-1 0 0,1 0 0,-1 1 0,1-1 0,-1 0 0,1 0 0,-1 0-1,1-1 1,-1 1 0,1 0 0,-1 0 0,1 0 0,0 0 0,-1 0 0,1 0 0,-1-1 0,1 1 0,-1 0 0,1 0 0,0-1 0,-1 1 0,1 0 0,0-1 0,-1 1 0,1 0 0,0-1 0,-1 1 0,1-1 0,0 1 0,0 0-1,-1-1 1,1 1 0,0-1 0,0 1 0,0-1 0,0 1 0,-1-1 0,1 1 0,0-1 0,-5-26-1289,5 26 1113,-2-18-6652</inkml:trace>
  <inkml:trace contextRef="#ctx0" brushRef="#br0" timeOffset="5317.82">661 1375 24575,'-3'-2'0,"6"-3"0,8-2 0,-8 6 0,0 0 0,-1 1 0,1-1 0,0 1 0,0 0 0,0 0 0,0 0 0,0 0 0,-1 0 0,1 1 0,0 0 0,0-1 0,0 1 0,-1 0 0,1 0 0,0 0 0,-1 1 0,1-1 0,-1 1 0,1-1 0,-1 1 0,0 0 0,0 0 0,0 0 0,0 0 0,0 0 0,0 0 0,1 3 0,0-1 0,0 0 0,0 0 0,-1 0 0,0 0 0,1 1 0,-2-1 0,1 1 0,0-1 0,-1 1 0,0 0 0,0 0 0,0-1 0,-1 1 0,0 0 0,0 0 0,0 5 0,-2-5 0,0-5 0,-1-13 0,0-18 0,2 25-151,1-1-1,1 1 0,-1-1 0,1 1 1,0 0-1,0 0 0,1-1 1,4-10-1,2 3-6674</inkml:trace>
  <inkml:trace contextRef="#ctx0" brushRef="#br0" timeOffset="5506.9">835 1301 24575,'0'3'0,"0"4"0,2 4 0,1 6 0,3 4 0,1 1 0,1 1 0,-1 0 0,2-3 0,1-3 0,-2-5 0,-1-6 0,-3-7 0,-1-5 0,-2-2-8191</inkml:trace>
  <inkml:trace contextRef="#ctx0" brushRef="#br0" timeOffset="6009.74">816 1164 24575,'0'0'0,"0"0"0,0 0 0,0 0 0,0 0 0,-1 0 0,1 0 0,0 1 0,0-1 0,0 0 0,0 0 0,-1 0 0,1 0 0,0 0 0,0 0 0,0 0 0,0 1 0,0-1 0,0 0 0,0 0 0,-1 0 0,1 0 0,0 1 0,0-1 0,0 0 0,0 0 0,0 0 0,0 0 0,0 1 0,0-1 0,0 0 0,0 0 0,0 0 0,0 1 0,0-1 0,0 0 0,0 0 0,0 0 0,0 0 0,0 1 0,0-1 0,0 0 0,1 0 0,-1 0 0,0 0 0,0 1 0,0-1 0,0 0 0,0 0 0,0 0 0,0 0 0,1 0 0,-1 1 0,0-1 0,1 0 0,-1 1 0,0-1 0,1 1 0,-1-1 0,0 0 0,1 1 0,-1-1 0,1 0 0,-1 1 0,0-1 0,1 0 0,-1 0 0,1 1 0,-1-1 0,1 0 0,0 0 0,-1 0 0,1 0 0,-1 1 0,1-1 0,-1 0 0,1 0 0,-1 0 0,1 0 0,0-1 0,0 1 0,0-1 0,0 1 0,0-1 0,0 1 0,0-1 0,0 0 0,0 0 0,0 1 0,0-1 0,-1 0 0,1 0 0,0 0 0,-1 0 0,1 0 0,-1 0 0,1 0 0,-1 0 0,1 0 0,-1 0 0,0-1 0,1 1 0,-1 0 0,0 0 0,0 0 0,0 0 0,0 0 0,0-1 0,0 1 0,0-2 0,0 2 0,0 0 0,0 0 0,0 0 0,-1 0 0,1 0 0,0 0 0,0 0 0,0 0 0,-1 1 0,1-1 0,0 0 0,-1 0 0,1 0 0,-1 0 0,1 1 0,-1-1 0,1 0 0,-1 0 0,0 1 0,1-1 0,-1 0 0,0 1 0,0-1 0,1 1 0,-1-1 0,0 1 0,0-1 0,0 1 0,0 0 0,1-1 0,-1 1 0,0 0 0,0 0 0,-2-1 0,2 1 0,1 0 0,-1 1 0,1-1 0,-1 0 0,0 0 0,1 0 0,-1 1 0,0-1 0,1 0 0,-1 1 0,1-1 0,-1 1 0,1-1 0,-1 0 0,1 1 0,-1-1 0,1 1 0,-1-1 0,1 1 0,0 0 0,-1-1 0,1 1 0,0-1 0,0 1 0,-1 0 0,1-1 0,0 1 0,0 0 0,0-1 0,0 1 0,0 0 0,0-1 0,0 1 0,0 0 0,0-1 0,0 1 0,0 0 0,0-1 0,0 1 0,0-1 0,1 1 0,-1 0 0,1 0 0,0 2 0,-1-1 0,1 0 0,0 0 0,0 0 0,1 0 0,-1 0 0,0 0 0,1 0 0,-1 0 0,1-1 0,2 4 0,-2-4 0,0-1 0,0 1 0,0 0 0,0 0 0,0-1 0,1 1 0,-1-1 0,0 1 0,0-1 0,0 0 0,0 0 0,1 0 0,-1 0 0,0-1 0,0 1 0,0 0 0,0-1 0,0 0 0,0 1 0,1-1 0,-1 0 0,-1 0 0,1 0 0,0 0 0,0-1 0,0 1 0,-1 0 0,1-1 0,0 1 0,-1-1 0,1 0 0,-1 1 0,0-1 0,0 0 0,0 0 0,0 0 0,0 0 0,0 0 0,0 0 0,0 0 0,-1 0 0,1 0 0,-1 0 0,1 0 0,-1-1 0,0 1 0,0 0 0,-1-4 0,7 42 0,1 0 0,22 67 0,-15-54 0,-8-28 0,6 23 0,-11-41 0,0 0 0,0 0 0,0-1 0,1 1 0,-1-1 0,1 1 0,-1-1 0,1 1 0,0-1 0,4 5 0,1-6-1365</inkml:trace>
  <inkml:trace contextRef="#ctx0" brushRef="#br0" timeOffset="6212.96">1087 1306 24575,'1'0'0,"3"0"0,2-1 0,1-2 0,1-1 0,1-1 0,1 1 0,-1 0 0,-1 0-8191</inkml:trace>
  <inkml:trace contextRef="#ctx0" brushRef="#br0" timeOffset="7860.31">1284 1036 24575,'9'-1'0,"1"-1"0,-1 0 0,0 0 0,1-1 0,-2 0 0,1-1 0,13-7 0,1 0 0,195-91 0,-193 86 0,-18 7 0,-7 8 0,-1 1 0,1 0 0,0-1 0,0 1 0,-1 0 0,1-1 0,0 1 0,-1 0 0,1 0 0,0-1 0,-1 1 0,1 0 0,0 0 0,-1 0 0,1-1 0,0 1 0,-1 0 0,1 0 0,-1 0 0,1 0 0,-1 0 0,1 0 0,0 0 0,-1 0 0,1 0 0,-1 0 0,1 0 0,-1 0 0,-3 0 0,-1 0 0,1 0 0,0 0 0,0 0 0,0 1 0,-1 0 0,1 0 0,0 0 0,0 0 0,0 1 0,0-1 0,1 1 0,-1 0 0,0 0 0,1 1 0,-6 4 0,4-3 0,1 1 0,0 0 0,0 0 0,0 0 0,1 1 0,0-1 0,0 1 0,0 0 0,0 0 0,-1 7 0,0 0 0,1 1 0,1-1 0,0 1 0,1-1 0,0 1 0,1-1 0,1 1 0,0 0 0,6 24 0,-3-27 0,0-1 0,0 1 0,1-1 0,1 0 0,0-1 0,0 1 0,14 15 0,8 11 0,-28-35 0,1 0 0,0-1 0,-1 1 0,1 0 0,-1-1 0,1 1 0,-1 0 0,1 0 0,-1-1 0,0 1 0,1 0 0,-1 0 0,0 0 0,0 0 0,1 0 0,-1-1 0,0 1 0,0 0 0,0 0 0,0 0 0,0 0 0,0 0 0,-1 0 0,1-1 0,0 1 0,0 0 0,-1 0 0,1 0 0,0 0 0,-1-1 0,1 1 0,-1 0 0,1 0 0,-1-1 0,1 1 0,-1 0 0,1-1 0,-1 1 0,0 0 0,1-1 0,-1 1 0,0-1 0,0 1 0,1-1 0,-1 0 0,0 1 0,0-1 0,0 0 0,0 1 0,1-1 0,-2 0 0,-3 1 0,1 0 0,0 0 0,-1-1 0,1 0 0,0 0 0,-1 0 0,1 0 0,-1 0 0,-6-2 0,8 0 0,-1 1 0,0-1 0,0 0 0,1 0 0,-1 0 0,1-1 0,0 1 0,0-1 0,0 0 0,0 0 0,0 0 0,-4-5 0,6 6 0,-1 0 0,1-1 0,-1 1 0,1-1 0,0 1 0,0-1 0,0 1 0,0-1 0,0 0 0,0 0 0,1 1 0,-1-1 0,1 0 0,0 0 0,0 0 0,0 1 0,0-1 0,1 0 0,0-3 0,-1 5 0,0 1 0,0-1 0,0 1 0,1-1 0,-1 1 0,0-1 0,0 1 0,0 0 0,1-1 0,-1 1 0,0-1 0,1 1 0,-1-1 0,0 1 0,1 0 0,-1-1 0,1 1 0,-1 0 0,0 0 0,1-1 0,-1 1 0,1 0 0,-1 0 0,1-1 0,-1 1 0,1 0 0,-1 0 0,1 0 0,-1 0 0,2 0 0,15 7 0,10 20 0,-22-21 0,-1-1 0,1 0 0,0 0 0,0-1 0,0 1 0,8 4 0,-12-9 0,0 1 0,0-1 0,1 1 0,-1-1 0,0 1 0,1-1 0,-1 0 0,0 1 0,1-1 0,-1 0 0,1 0 0,-1 0 0,0 0 0,1 0 0,-1 0 0,1-1 0,-1 1 0,0 0 0,1-1 0,-1 1 0,0-1 0,0 1 0,1-1 0,-1 0 0,0 0 0,0 1 0,0-1 0,0 0 0,0 0 0,0 0 0,0 0 0,0 0 0,0 0 0,0-1 0,0 1 0,0-2 0,2-2 0,-1 1 0,0-1 0,0 0 0,0 0 0,-1 0 0,0 1 0,0-1 0,1-7 0,1-3 0,-3 15 0,0 0 0,0 0 0,0-1 0,0 1 0,0 0 0,0 0 0,0-1 0,0 1 0,0 0 0,1 0 0,-1 0 0,0 0 0,0-1 0,0 1 0,0 0 0,1 0 0,-1 0 0,0 0 0,0 0 0,0-1 0,1 1 0,-1 0 0,0 0 0,0 0 0,1 0 0,-1 0 0,0 0 0,0 0 0,1 0 0,-1 0 0,0 0 0,0 0 0,0 0 0,1 0 0,-1 0 0,0 0 0,0 0 0,1 0 0,-1 0 0,0 0 0,0 1 0,0-1 0,1 0 0,-1 0 0,0 0 0,0 0 0,0 0 0,1 0 0,-1 1 0,0-1 0,0 0 0,0 0 0,1 1 0,14 12 0,-7-5 0,-7-8 0,0 1 0,0 0 0,0 0 0,0-1 0,0 1 0,0-1 0,0 1 0,1-1 0,-1 1 0,0-1 0,0 0 0,0 1 0,1-1 0,-1 0 0,0 0 0,0 0 0,1 0 0,-1 0 0,0 0 0,3-1 0,-3 1 0,-1-1 0,1 1 0,0-1 0,0 0 0,0 1 0,-1-1 0,1 0 0,0 0 0,-1 0 0,1 1 0,-1-1 0,1 0 0,-1 0 0,1 0 0,-1 0 0,0 0 0,1 0 0,-1-2 0,1-1 0,0-1 0,-1 1 0,0-1 0,0 1 0,0-1 0,0 1 0,-2-7 0,3 15 0,1 0 0,0 0 0,-1-1 0,2 1 0,-1-1 0,0 1 0,5 4 0,-7-8 0,0 1 0,1-1 0,-1 1 0,1-1 0,-1 1 0,1-1 0,-1 0 0,1 1 0,-1-1 0,1 0 0,0 0 0,-1 1 0,1-1 0,-1 0 0,1 0 0,0 0 0,-1 0 0,1 0 0,-1 0 0,1 0 0,0 0 0,0 0 0,0 0 0,0-1 0,-1 1 0,1-1 0,0 1 0,0-1 0,-1 0 0,1 1 0,0-1 0,-1 0 0,1 0 0,-1 1 0,1-1 0,-1 0 0,1 0 0,-1 0 0,0 0 0,1 0 0,-1 0 0,1-1 0,1-6 0,-1 2 0,1 0 0,-1 1 0,1-1 0,5-8 0,-7 14 0,1-1 0,-1 1 0,0-1 0,1 1 0,-1-1 0,0 1 0,1-1 0,-1 1 0,1-1 0,-1 1 0,1 0 0,0-1 0,-1 1 0,1 0 0,-1-1 0,1 1 0,-1 0 0,1 0 0,0-1 0,0 1 0,0 0 0,0 0 0,0 1 0,0-1 0,-1 0 0,1 1 0,0-1 0,0 0 0,0 1 0,-1-1 0,1 1 0,0-1 0,0 1 0,-1 0 0,1-1 0,0 1 0,-1 0 0,1-1 0,-1 1 0,1 1 0,6 7 0,-5-6 0,-1-1 0,1 0 0,0 0 0,0 0 0,-1 0 0,1 0 0,0 0 0,3 2 0,-3-4 0,-1 1 0,0-1 0,1 0 0,-1 1 0,1-1 0,-1 0 0,1 0 0,-1 0 0,1 0 0,-1 0 0,1 0 0,-1 0 0,1 0 0,-1-1 0,1 1 0,-1-1 0,1 1 0,1-2 0,30-5 0,-27 7 0,1-1 0,-1-1 0,1 1 0,-1-1 0,12-5 0,-17 6 0,0 1 0,0-1 0,0 0 0,0 0 0,0 0 0,0 1 0,0-1 0,0 0 0,0 0 0,-1-1 0,1 1 0,0 0 0,-1 0 0,1 0 0,-1 0 0,1-1 0,-1 1 0,1 0 0,-1 0 0,0-1 0,0 1 0,1 0 0,-1-1 0,0 1 0,0 0 0,0-1 0,-1 1 0,1 0 0,0 0 0,0-1 0,-1 1 0,1 0 0,-1 0 0,0-2 0,1 1 0,-1 1 0,1-1 0,-1 1 0,0-1 0,1 1 0,-1-1 0,0 1 0,0-1 0,0 1 0,0 0 0,0 0 0,0-1 0,0 1 0,0 0 0,-1 0 0,1 0 0,0 0 0,-3-1 0,4 2 0,-1 0 0,1 0 0,0 0 0,-1 0 0,1 0 0,-1 0 0,1 0 0,0 0 0,-1 0 0,1 0 0,0 1 0,-1-1 0,1 0 0,0 0 0,-1 0 0,1 0 0,0 1 0,-1-1 0,1 0 0,0 0 0,-1 1 0,1-1 0,0 0 0,0 0 0,-1 1 0,1-1 0,0 1 0,-6 19 0,6-16 0,0 0 0,1 0 0,-1 0 0,1 0 0,-1 0 0,1 0 0,0 0 0,1 0 0,-1-1 0,4 8 0,-4-9 0,0-1 0,0 0 0,-1 1 0,1-1 0,0 0 0,0 0 0,0 0 0,0 0 0,0 0 0,1 0 0,-1 0 0,0 0 0,0 0 0,1 0 0,-1-1 0,0 1 0,1 0 0,-1-1 0,1 1 0,-1-1 0,1 0 0,-1 1 0,1-1 0,-1 0 0,1 0 0,-1 0 0,1 0 0,0 0 0,-1 0 0,1-1 0,-1 1 0,2-1 0,-2 1-105,0-1 0,1 0 0,-1 1 0,0-1 0,0 0 0,0 1 0,0-1 0,0 0 0,0 0 0,-1 0 0,1 0 0,1-1 0,3-6-6721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9:14.60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95 24575,'51'-28'0,"-28"16"0,-5 3 0,-1 0 0,24-17 0,-41 26 0,1 0 0,-1-1 0,0 1 0,0 0 0,1 0 0,-1 0 0,0 0 0,0 0 0,1-1 0,-1 1 0,0 0 0,0 0 0,1 0 0,-1-1 0,0 1 0,0 0 0,0 0 0,0-1 0,1 1 0,-1 0 0,0-1 0,0 1 0,0 0 0,0 0 0,0-1 0,0 1 0,0 0 0,0-1 0,0 1 0,0 0 0,0-1 0,0 1 0,0 0 0,0 0 0,0-1 0,-11-1 0,-17 8 0,26-5 0,1 0 0,-1 0 0,1 0 0,-1 0 0,1 0 0,0 1 0,-1-1 0,1 0 0,0 1 0,0-1 0,0 1 0,0-1 0,0 1 0,1-1 0,-1 1 0,0 0 0,1 0 0,-1-1 0,1 1 0,0 0 0,-1 0 0,1-1 0,0 1 0,0 0 0,0 0 0,0 0 0,0-1 0,1 3 0,1 6 0,1-1 0,0 1 0,0-1 0,5 10 0,0 0 0,29 99 0,-34-103 0,0 0 0,-1 0 0,0 0 0,-1 1 0,-3 29 0,2-43 0,0-1 0,0 0 0,0 0 0,-1 1 0,1-1 0,0 0 0,-1 0 0,1 0 0,-1 1 0,1-1 0,-1 0 0,0 0 0,1 0 0,-1 0 0,0 0 0,0 0 0,0 0 0,0 0 0,0-1 0,0 1 0,0 0 0,0 0 0,0-1 0,0 1 0,0-1 0,0 1 0,-1-1 0,1 1 0,0-1 0,0 0 0,-1 0 0,1 1 0,0-1 0,0 0 0,-1 0 0,1 0 0,0 0 0,-1-1 0,1 1 0,0 0 0,0 0 0,0-1 0,-1 1 0,0-2 0,-4 1 0,0-2 0,0 1 0,1-1 0,0 0 0,-1 0 0,1 0 0,0-1 0,-4-4 0,7 6 0,0 1 0,0-1 0,0 0 0,0 0 0,0 0 0,0 0 0,0 0 0,1 0 0,-1-1 0,1 1 0,0-1 0,0 1 0,-1-3 0,4 5 0,1 1 0,0 0 0,0 1 0,-1-1 0,1 0 0,-1 1 0,3 2 0,-3-3 0,5 4 0,1-1 0,-1 1 0,2-1 0,-1 0 0,0-1 0,11 3 0,-17-5 0,0-1 0,0 0 0,0 0 0,0 1 0,0-1 0,0-1 0,0 1 0,0 0 0,0 0 0,0-1 0,-1 1 0,1-1 0,0 0 0,0 1 0,0-1 0,-1 0 0,1 0 0,0 0 0,-1 0 0,1 0 0,-1-1 0,1 1 0,-1 0 0,1-1 0,-1 1 0,0-1 0,0 1 0,0-1 0,0 0 0,0 0 0,0 1 0,0-1 0,-1 0 0,2-4 0,-1 0 0,1 0 0,-1 0 0,0 0 0,0-8 0,2-11 0,7 47 0,-8-16 0,1 1 0,1-1 0,-1 0 0,1 1 0,0-2 0,5 7 0,-8-10 0,0-1 0,1 0 0,-1 0 0,0 1 0,1-1 0,-1 0 0,1 0 0,-1 0 0,1 0 0,0-1 0,-1 1 0,1 0 0,2 0 0,-3-1 0,0 0 0,0 0 0,-1 0 0,1 0 0,0 0 0,0-1 0,0 1 0,0 0 0,0-1 0,0 1 0,0 0 0,0-1 0,-1 1 0,1-1 0,0 1 0,0-1 0,-1 1 0,1-1 0,0 0 0,0 1 0,-1-1 0,1 0 0,-1 0 0,1 0 0,-1 1 0,1-3 0,1-2 0,0 0 0,0 0 0,-1-1 0,0 1 0,0 0 0,-1-1 0,1 1 0,-1-1 0,0 1 0,-1-7 0,1 14 0,1-1 0,0 1 0,0 0 0,0 0 0,0-1 0,0 1 0,0-1 0,1 1 0,-1-1 0,0 0 0,1 1 0,-1-1 0,1 0 0,-1 0 0,1 0 0,0 0 0,-1 0 0,1 0 0,0-1 0,2 2 0,-2-1 0,0-1 0,0 1 0,0 0 0,0-1 0,0 1 0,1-1 0,-1 0 0,0 0 0,0 1 0,0-1 0,0-1 0,0 1 0,0 0 0,1 0 0,-1-1 0,0 0 0,0 1 0,0-1 0,0 0 0,0 0 0,0 0 0,2-2 0,0-1 0,1-1 0,-2 0 0,1 0 0,-1 0 0,1-1 0,-1 1 0,-1-1 0,1 0 0,-1 1 0,0-1 0,-1 0 0,1 0 0,-1-1 0,0 1 0,-1 0 0,1 0 0,-1-1 0,0 1 0,-2-7 0,0-10 0,-2 0 0,0 0 0,-13-36 0,7 37 0,10 22 0,1 1 0,-1-1 0,0 0 0,0 1 0,-1-1 0,1 0 0,0 0 0,0 1 0,0-1 0,0 0 0,0 1 0,0-1 0,0 0 0,0 0 0,0 1 0,-1-1 0,1 0 0,0 0 0,0 1 0,0-1 0,0 0 0,-1 0 0,1 0 0,0 0 0,0 1 0,-1-1 0,1 0 0,0 0 0,0 0 0,-1 0 0,1 0 0,0 0 0,0 1 0,-1-1 0,1 0 0,0 0 0,-1 0 0,1 0 0,0 0 0,0 0 0,-1 0 0,1 0 0,0 0 0,-1 0 0,1-1 0,0 1 0,0 0 0,-1 0 0,1 0 0,0 0 0,0 0 0,-1 0 0,1-1 0,0 1 0,0 0 0,-1 0 0,1 0 0,0-1 0,0 1 0,0 0 0,0 0 0,-1 0 0,1-1 0,0 1 0,0 0 0,0 0 0,0-1 0,0 1 0,-3 9 0,2-1 0,-1 1 0,1 0 0,0 1 0,1-1 0,1 11 0,8 59 0,-7-64 0,1 9 0,1 1 0,1-1 0,1 0 0,2 0 0,15 36 0,-22-58 0,0 0 0,0 0 0,0 0 0,1 0 0,-1 0 0,0 0 0,1 0 0,0-1 0,-1 1 0,1 0 0,0-1 0,0 0 0,0 1 0,3 1 0,-4-3 0,1 0 0,-1 0 0,0 0 0,0 0 0,0 0 0,0 0 0,0 0 0,0-1 0,0 1 0,0 0 0,0-1 0,0 1 0,0 0 0,0-1 0,0 1 0,0-1 0,0 0 0,0 1 0,0-1 0,-1 0 0,1 0 0,0 1 0,0-1 0,-1 0 0,1 0 0,0 0 0,-1 0 0,1 0 0,-1 0 0,1 0 0,-1 0 0,1-1 0,10-35 0,-11 32 0,1 0 0,0 0 0,1 1 0,-1-1 0,1 0 0,0 1 0,0-1 0,4-4 0,-6 8 0,0 1 0,1 0 0,-1 0 0,0 0 0,1 0 0,-1-1 0,0 1 0,1 0 0,-1 0 0,0 0 0,1 0 0,-1 0 0,1 0 0,-1 0 0,0 0 0,1 0 0,-1 0 0,0 0 0,1 0 0,-1 0 0,1 0 0,-1 0 0,0 0 0,1 0 0,-1 1 0,0-1 0,1 0 0,-1 0 0,0 0 0,1 1 0,-1-1 0,0 0 0,0 0 0,1 1 0,14 13 0,-8-7 0,-7-6 0,1-1 0,0 1 0,-1-1 0,1 0 0,-1 1 0,1-1 0,-1 0 0,1 1 0,0-1 0,-1 0 0,1 0 0,0 1 0,-1-1 0,1 0 0,0 0 0,-1 0 0,1 0 0,0 0 0,-1 0 0,1 0 0,0 0 0,-1 0 0,1 0 0,0-1 0,-1 1 0,1 0 0,1-1 0,8-14 0,-8 9 0,-2 6 0,0 0 0,0 0 0,0 0 0,1 0 0,-1 0 0,0 0 0,0-1 0,0 1 0,0 0 0,0 0 0,0 0 0,0 0 0,0 0 0,0 0 0,0 0 0,1 0 0,-1 0 0,0 0 0,0 0 0,0 0 0,0 0 0,0 0 0,0 0 0,0 0 0,1 0 0,-1 0 0,0 0 0,0 0 0,0 0 0,0 0 0,0 0 0,0 0 0,0 0 0,1 0 0,-1 0 0,0 0 0,0 0 0,0 0 0,0 0 0,0 0 0,0 0 0,0 0 0,0 0 0,0 1 0,1-1 0,-1 0 0,0 0 0,0 0 0,0 0 0,6 9 0,4 10 0,0 6 0,0-1 0,-2 1 0,-1 1 0,-1-1 0,6 51 0,-12-74 8,-1 0 0,1 0 0,0 0 0,-1 0 0,1 1 0,-1-1 0,0 0 0,0 0 0,1 0 0,-1-1 0,-1 1 0,1 0 0,0 0 0,-3 3 0,4-5-38,-1 1-1,1-1 1,-1 1 0,1-1-1,-1 0 1,1 1 0,-1-1 0,0 1-1,1-1 1,-1 0 0,1 0-1,-1 1 1,0-1 0,1 0-1,-1 0 1,0 0 0,1 0-1,-1 0 1,0 0 0,1 0 0,-1 0-1,0 0 1,1 0 0,-1 0-1,0 0 1,1 0 0,-1 0-1,1-1 1,-1 1 0,0 0 0,1 0-1,-1-1 1,1 1 0,-1 0-1,0-1 1,1 1 0,-1-1-1,1 1 1,0-1 0,-1 1-1,1-1 1,-1 1 0,1-1 0,0 1-1,-1-1 1,1 0 0,0 1-1,-1-2 1,-2-5-6796</inkml:trace>
  <inkml:trace contextRef="#ctx0" brushRef="#br0" timeOffset="172.78">720 402 24575,'2'0'0,"3"-2"0,3-1 0,4-4 0,5-1 0,3-2 0,2-1 0,-2 2-8191</inkml:trace>
  <inkml:trace contextRef="#ctx0" brushRef="#br0" timeOffset="1395.66">1041 187 24575,'0'-2'0,"0"1"0,0-1 0,0 1 0,-1 0 0,1-1 0,0 1 0,0-1 0,-1 1 0,1 0 0,-1-1 0,1 1 0,-1 0 0,1 0 0,-2-2 0,-5 2 0,-3 12 0,8-8 0,0 0 0,1 0 0,-1 1 0,1-1 0,-1 0 0,1 1 0,0-1 0,0 1 0,1-1 0,-1 1 0,1-1 0,-1 1 0,1-1 0,0 1 0,1-1 0,-1 1 0,1-1 0,-1 1 0,1-1 0,0 1 0,3 5 0,-1-3 0,0-1 0,1 1 0,0-1 0,1 0 0,-1 0 0,1 0 0,0-1 0,0 1 0,0-1 0,11 6 0,-13-8 0,0 0 0,0 0 0,0 1 0,0-1 0,0 1 0,-1 0 0,1 0 0,-1 0 0,1 0 0,-1 0 0,0 0 0,-1 0 0,1 1 0,0-1 0,1 7 0,-3-8 0,1 0 0,-1 0 0,0 1 0,0-1 0,0 0 0,0 0 0,-1 0 0,1 0 0,0 0 0,-1 1 0,0-1 0,1 0 0,-1 0 0,0 0 0,0 0 0,0-1 0,0 1 0,0 0 0,-1 0 0,1 0 0,-1-1 0,1 1 0,-1-1 0,1 1 0,-1-1 0,0 0 0,0 0 0,1 0 0,-3 1 0,4-2 0,1-1 0,0 1 0,-1-1 0,1 1 0,-1-1 0,1 0 0,-1 1 0,1-1 0,-1 0 0,1 0 0,-1 1 0,0-1 0,1 0 0,-1 0 0,0 0 0,0 1 0,0-1 0,0 0 0,1 0 0,-1 0 0,0 0 0,0 0 0,0 1 0,-1-1 0,1 0 0,0 0 0,0 0 0,0 1 0,-1-1 0,1 0 0,0 0 0,-1 0 0,1 1 0,-1-1 0,1 0 0,-1 1 0,1-1 0,-1 0 0,1 1 0,-1-1 0,0 1 0,1-1 0,-1 1 0,0-1 0,1 1 0,-1-1 0,0 1 0,0 0 0,0-1 0,1 1 0,-1 0 0,0 0 0,0-1 0,0 1 0,0 0 0,1 0 0,-1 0 0,0 0 0,0 0 0,0 0 0,0 1 0,1-1 0,-2 0 0,49-13 0,18-7 0,-59 18 0,0-1 0,0 0 0,-1 0 0,1-1 0,-1 1 0,1-1 0,-1-1 0,5-4 0,-8 7 0,-1-1 0,1 1 0,-1 0 0,0 0 0,1-1 0,-1 1 0,0-1 0,-1 1 0,1-1 0,0 1 0,0-5 0,-1 5 0,0 1 0,1-1 0,-1 1 0,0-1 0,-1 1 0,1-1 0,0 0 0,0 1 0,0-1 0,-1 1 0,1 0 0,-1-1 0,0 1 0,1-1 0,-1 1 0,0 0 0,0-1 0,1 1 0,-1 0 0,-2-3 0,2 4 0,1 0 0,0 0 0,0 0 0,0 0 0,0 0 0,-1 0 0,1 0 0,0-1 0,0 1 0,0 0 0,-1 0 0,1 0 0,0 0 0,0 0 0,0 0 0,-1 0 0,1 0 0,0 0 0,0 0 0,0 0 0,-1 0 0,1 0 0,0 0 0,0 0 0,-1 0 0,1 1 0,0-1 0,0 0 0,0 0 0,0 0 0,-1 0 0,1 0 0,0 0 0,0 0 0,0 1 0,0-1 0,-1 0 0,1 0 0,0 0 0,0 0 0,0 1 0,0-1 0,0 0 0,0 0 0,0 0 0,0 1 0,0-1 0,0 0 0,-1 0 0,1 0 0,0 1 0,0-1 0,0 0 0,0 0 0,0 0 0,0 1 0,1-1 0,-1 0 0,0 1 0,-1 0 0,1 0 0,0 0 0,0-1 0,0 1 0,0 0 0,1 0 0,-1 0 0,0-1 0,0 1 0,0 0 0,1 0 0,-1-1 0,0 1 0,1 0 0,0 1 0,0-2 0,-1 1 0,1 0 0,-1-1 0,1 1 0,0-1 0,-1 1 0,1-1 0,0 0 0,0 1 0,-1-1 0,1 0 0,0 1 0,0-1 0,0 0 0,-1 0 0,1 0 0,0 1 0,0-1 0,0 0 0,-1 0 0,1 0 0,0-1 0,0 1 0,0 0 0,0 0 0,-1 0 0,1-1 0,0 1 0,0 0 0,-1-1 0,2 0 0,0 0 0,-1 0 0,0 0 0,0-1 0,1 1 0,-1 0 0,0-1 0,0 1 0,0-1 0,-1 0 0,1 1 0,0-1 0,0 0 0,0-2 0,-1 2 0,1 1 0,-1-1 0,0 0 0,1 1 0,-1-1 0,0 0 0,0 1 0,0-1 0,-1 0 0,1 1 0,0-1 0,-1 1 0,1-1 0,-1-2 0,0 4 0,1-1 0,0 1 0,-1-1 0,1 1 0,-1-1 0,1 1 0,-1-1 0,1 1 0,-1 0 0,1-1 0,-1 1 0,0 0 0,1-1 0,-1 1 0,1 0 0,-1 0 0,0 0 0,1-1 0,-1 1 0,0 0 0,1 0 0,-1 0 0,0 0 0,1 0 0,-1 0 0,0 0 0,1 0 0,-1 1 0,0-1 0,1 0 0,-1 0 0,1 1 0,-1-1 0,0 0 0,0 1 0,-1 0 0,0 1 0,0-1 0,1 1 0,-1 0 0,1-1 0,-1 1 0,1 0 0,0 0 0,-1 0 0,1 0 0,0 0 0,0 0 0,0 0 0,1 1 0,-1-1 0,1 0 0,-1 0 0,1 0 0,-1 5 0,0 2 0,1 1 0,-1 0 0,2 12 0,-1-21 0,0 1 0,0 0 0,1-1 0,-1 1 0,0 0 0,1-1 0,-1 1 0,1-1 0,0 1 0,0 0 0,-1-1 0,1 0 0,0 1 0,0-1 0,0 1 0,0-1 0,1 0 0,-1 0 0,0 0 0,0 0 0,1 0 0,1 2 0,0-2 0,0 0 0,0-1 0,-1 1 0,1 0 0,0-1 0,0 1 0,0-1 0,0 0 0,0 0 0,0-1 0,0 1 0,3-1 0,3-1 0,0-1 0,1 0 0,-1 0 0,-1-1 0,1 0 0,0 0 0,8-7 0,-12 7 0,-1-1 0,1 1 0,-1-1 0,0 1 0,-1-1 0,1-1 0,-1 1 0,0 0 0,0-1 0,0 1 0,-1-1 0,0 0 0,0 0 0,-1 0 0,0 0 0,0 0 0,0 0 0,0-1 0,-1-7 0,4 117 0,26 157 0,-26-222 0,-11-74 0,4-163 0,5 166 0,2 0 0,1 1 0,18-65 0,-20 88 0,0 1 0,1-1 0,8-12 0,-11 20 0,-1-1 0,1 1 0,0 0 0,0 0 0,0 0 0,0 0 0,0 0 0,1 0 0,-1 0 0,0 0 0,0 0 0,1 0 0,1 0 0,-3 1 0,1 0 0,0 0 0,0 0 0,-1 0 0,1 0 0,0 0 0,-1 0 0,1 0 0,0 0 0,-1 1 0,1-1 0,0 0 0,-1 0 0,1 1 0,-1-1 0,1 1 0,0-1 0,-1 0 0,1 1 0,-1-1 0,1 1 0,-1-1 0,0 1 0,1-1 0,-1 1 0,1 0 0,-1-1 0,0 1 0,1 0 0,-1 0 0,3 5 0,-1 0 0,0-1 0,0 1 0,0 1 0,-1-1 0,0 0 0,0 0 0,-1 0 0,0 1 0,0-1 0,-1 10 0,0-11 0,1 0 0,-1 0 0,0 1 0,-1-1 0,1 0 0,-1 0 0,0-1 0,0 1 0,-1 0 0,1-1 0,-1 1 0,0-1 0,0 0 0,-5 5 0,7-8-76,-1 0 1,1 0-1,-1 0 0,0 0 0,0 0 0,1 0 0,-1 0 0,0-1 1,0 1-1,0 0 0,0-1 0,0 0 0,0 1 0,0-1 1,0 0-1,0 0 0,-3 0 0,-6-2-6750</inkml:trace>
  <inkml:trace contextRef="#ctx0" brushRef="#br0" timeOffset="2641.04">358 1071 24575,'13'-35'0,"-8"26"0,-2 0 0,1 0 0,-1-1 0,-1 1 0,3-16 0,-5 22 0,0 0 0,0-1 0,0 1 0,-1 0 0,1 0 0,-1 0 0,0 0 0,1 1 0,-2-1 0,1 0 0,0 0 0,0 0 0,-1 1 0,0-1 0,1 1 0,-1-1 0,0 1 0,0 0 0,0-1 0,-1 1 0,1 0 0,-5-3 0,6 4 0,-1 0 0,1 0 0,-1 0 0,1 0 0,-1 0 0,0 0 0,1 1 0,-1-1 0,0 0 0,0 1 0,0-1 0,1 1 0,-1 0 0,0 0 0,0 0 0,0-1 0,0 2 0,0-1 0,1 0 0,-1 0 0,0 1 0,-3 0 0,2 1 0,1-1 0,-1 1 0,0 0 0,1 0 0,0 0 0,0 0 0,-1 0 0,1 0 0,1 1 0,-1-1 0,0 1 0,-2 4 0,-2 7 0,0 0 0,0 0 0,2 1 0,-5 20 0,2 0 0,2-1 0,-1 40 0,5-56 0,2 1 0,0 0 0,1-1 0,0 0 0,10 31 0,-11-45 0,0 0 0,1 0 0,-1 0 0,1 0 0,0-1 0,0 1 0,1-1 0,-1 1 0,1-1 0,0 0 0,5 5 0,-6-7 0,-1 0 0,1 0 0,0 0 0,0 0 0,0 0 0,0 0 0,0 0 0,0-1 0,1 1 0,-1-1 0,0 1 0,0-1 0,0 0 0,0 0 0,1 0 0,-1 0 0,0-1 0,0 1 0,0 0 0,0-1 0,1 1 0,-1-1 0,2-1 0,6-3 0,-1 0 0,-1-1 0,1 1 0,-1-2 0,0 1 0,0-1 0,-1 0 0,0-1 0,10-14 0,-5 5 0,0-1 0,-1 0 0,14-35 0,-17 32 0,-1 0 0,-2-1 0,0 1 0,-1-1 0,-1 0 0,-1 0 0,-2-41 0,-1 36 0,-2-1 0,-1 1 0,-2 0 0,0 1 0,-19-48 0,22 66 0,-1 0 0,0 0 0,0 1 0,0-1 0,-11-11 0,15 18 0,-1 0 0,0 0 0,0 0 0,0 0 0,0 1 0,0-1 0,0 0 0,0 0 0,0 1 0,0-1 0,0 0 0,0 1 0,0-1 0,0 1 0,0 0 0,-1-1 0,1 1 0,0 0 0,0 0 0,0 0 0,-1 0 0,1 0 0,0 0 0,0 0 0,-1 0 0,1 0 0,0 0 0,0 1 0,0-1 0,-1 1 0,1-1 0,0 1 0,0-1 0,0 1 0,0-1 0,0 1 0,0 0 0,0 0 0,0 0 0,0-1 0,0 1 0,1 0 0,-1 0 0,0 0 0,1 0 0,-1 0 0,-1 3 0,-3 4 0,1 1 0,-1 0 0,1 1 0,1-1 0,0 1 0,0-1 0,1 1 0,-2 17 0,2-5 0,1 0 0,3 43 0,0-44 0,2 0 0,0 0 0,1 0 0,1-1 0,14 31 0,-16-42 0,0-1 0,0 0 0,1 0 0,0 0 0,0 0 0,1-1 0,0 0 0,0 0 0,1-1 0,0 1 0,0-1 0,0-1 0,1 0 0,0 0 0,10 5 0,-14-9-114,-1 1 1,1-1-1,-1 0 0,1-1 0,0 1 1,-1-1-1,1 1 0,0-1 0,-1 0 1,1-1-1,7 0 0,2-3-6712</inkml:trace>
  <inkml:trace contextRef="#ctx0" brushRef="#br0" timeOffset="3074.58">688 1103 24575,'7'-32'0,"-6"31"0,-1 0 0,0 1 0,0-1 0,0 0 0,1 0 0,-1 0 0,0 0 0,0 0 0,-1 0 0,1 0 0,0 0 0,0 0 0,0 0 0,-1 0 0,1 0 0,0 0 0,-1 0 0,1 0 0,-1 0 0,1 1 0,-1-1 0,0 0 0,1 0 0,-1 0 0,0 1 0,1-1 0,-1 0 0,-1 0 0,1 1 0,0 0 0,0 1 0,0-1 0,0 0 0,0 0 0,0 1 0,0-1 0,1 0 0,-1 1 0,0-1 0,0 1 0,0 0 0,0-1 0,1 1 0,-1-1 0,0 1 0,0 0 0,1 0 0,-1-1 0,1 1 0,-1 0 0,1 0 0,-1 0 0,1 0 0,-1 0 0,1 0 0,-1 1 0,-10 28 0,9-21 0,0 0 0,1 0 0,0 0 0,0 0 0,1 0 0,2 18 0,-1-24 0,-1-1 0,1 1 0,-1 0 0,1-1 0,0 1 0,0 0 0,0-1 0,1 1 0,-1-1 0,0 0 0,1 1 0,2 1 0,-3-3 0,0 0 0,1 0 0,-1 0 0,0 0 0,1 0 0,-1 0 0,1-1 0,-1 1 0,1-1 0,-1 1 0,1-1 0,-1 0 0,1 1 0,0-1 0,-1 0 0,1 0 0,-1 0 0,1 0 0,-1 0 0,1-1 0,0 1 0,2-1 0,1-1 0,-1 0 0,1 0 0,-1 0 0,1-1 0,-1 0 0,0 0 0,0 0 0,0 0 0,0 0 0,-1-1 0,1 0 0,-1 1 0,0-1 0,0 0 0,4-8 0,-1 0 0,0 0 0,-1 0 0,0-1 0,6-22 0,-8 20 0,1 0 0,-2-1 0,0 1 0,-1-1 0,0 1 0,-3-26 0,-3 87 0,5-29-195,1 1 0,0-1 0,1 0 0,1 1 0,1-1 0,7 22 0,-6-26-6631</inkml:trace>
  <inkml:trace contextRef="#ctx0" brushRef="#br0" timeOffset="3232.97">798 1048 24575,'0'0'0,"3"-2"0,2 0 0,5-3 0,4-2 0,3-3 0,-3 1-8191</inkml:trace>
  <inkml:trace contextRef="#ctx0" brushRef="#br0" timeOffset="3403.7">949 1030 24575,'2'-1'0,"4"-2"0,5-1 0,5-4 0,5-1 0,5-3 0,2 0 0,-4 2-8191</inkml:trace>
  <inkml:trace contextRef="#ctx0" brushRef="#br0" timeOffset="4680.76">1338 865 24575,'-1'-4'0,"-1"1"0,1 0 0,0-1 0,0 1 0,0-1 0,1 1 0,-1-1 0,1-6 0,-2-5 0,-3-1 0,3 24 0,2 33 0,0-33 0,2 37 0,-1 73 0,-2-98 0,-1 0 0,-1 0 0,-9 34 0,12-52 0,-1 0 0,0 1 0,0-1 0,0 0 0,0 0 0,0 0 0,0-1 0,-3 4 0,-2-4 0,2-14 0,2 4 0,2-1 0,-1 1 0,1 0 0,0-1 0,1 1 0,2-12 0,-2 19 0,-1 0 0,0 0 0,1 0 0,-1 1 0,1-1 0,-1 0 0,1 0 0,0 1 0,0-1 0,0 0 0,0 1 0,0-1 0,0 1 0,0-1 0,0 1 0,1 0 0,-1 0 0,1-1 0,-1 1 0,1 0 0,-1 0 0,1 0 0,0 1 0,-1-1 0,1 0 0,0 0 0,-1 1 0,1-1 0,0 1 0,0 0 0,0 0 0,0-1 0,0 1 0,-1 0 0,1 0 0,0 1 0,0-1 0,2 1 0,7 1 0,16 4 0,55 5 0,-74-11 0,-1 0 0,1 0 0,-1 0 0,0-1 0,1 0 0,-1-1 0,1 0 0,-1 0 0,0 0 0,0-1 0,0 0 0,9-6 0,-14 8 0,-1 0 0,1-1 0,0 1 0,-1-1 0,1 1 0,-1-1 0,1 0 0,-1 0 0,0 0 0,0 1 0,0-1 0,0 0 0,0 0 0,0 0 0,-1 0 0,1-1 0,-1 1 0,1-2 0,-1-1 0,1 0 0,-1 0 0,-1 0 0,1 0 0,-1 1 0,0-1 0,-3-9 0,-1 0 0,-1 0 0,-1 0 0,0 1 0,-11-15 0,10 16 0,-1 1 0,-12-14 0,19 23 0,0 0 0,0 0 0,0 0 0,0 0 0,0 0 0,-1 1 0,1-1 0,-1 1 0,1-1 0,-1 1 0,0 0 0,1 0 0,-1 0 0,0 0 0,0 0 0,0 1 0,-5-1 0,6 2 0,1-1 0,-1 1 0,1-1 0,-1 1 0,1 0 0,-1 0 0,1 0 0,-1 0 0,1 0 0,0 0 0,-1 0 0,1 0 0,0 1 0,0-1 0,0 0 0,0 1 0,0-1 0,0 1 0,1-1 0,-1 1 0,0-1 0,1 1 0,-1 0 0,1-1 0,0 1 0,-1 0 0,1-1 0,0 1 0,0 0 0,0 0 0,1 2 0,-1 3 0,0 0 0,1 0 0,0 0 0,0 0 0,0-1 0,4 11 0,-2-10-76,0 0 1,1-1-1,0 0 0,0 0 0,0 0 0,0 0 0,1 0 0,0-1 1,0 0-1,1 0 0,-1-1 0,1 1 0,0-1 0,0 0 1,1-1-1,-1 1 0,11 3 0,-5-4-6750</inkml:trace>
  <inkml:trace contextRef="#ctx0" brushRef="#br0" timeOffset="4992.85">1613 887 24575,'4'0'0,"0"-1"0,0 0 0,0 0 0,0 0 0,0 0 0,0-1 0,0 0 0,-1 0 0,1 0 0,-1 0 0,1 0 0,-1-1 0,4-3 0,-6 5 0,0 0 0,1 1 0,-1-2 0,0 1 0,0 0 0,0 0 0,0 0 0,0 0 0,0-1 0,0 1 0,-1 0 0,1-1 0,0 1 0,-1-1 0,1 1 0,-1-1 0,1 1 0,-1-1 0,0 1 0,0-1 0,0 1 0,0-1 0,0 1 0,0-1 0,0 0 0,0 1 0,0-1 0,-1 1 0,1-1 0,-1 1 0,1-1 0,-1 1 0,0-1 0,1 1 0,-1 0 0,-1-2 0,1 2 0,1 1 0,0-1 0,-1 1 0,1 0 0,0-1 0,-1 1 0,1 0 0,-1-1 0,1 1 0,-1 0 0,1-1 0,-1 1 0,1 0 0,-1 0 0,1 0 0,-1-1 0,1 1 0,-1 0 0,1 0 0,-1 0 0,1 0 0,-1 0 0,1 0 0,-1 0 0,0 0 0,1 0 0,-1 0 0,1 1 0,-1-1 0,1 0 0,-1 0 0,-1 1 0,1 1 0,-1-1 0,1 0 0,-1 0 0,1 0 0,0 1 0,0-1 0,0 1 0,-2 2 0,0 2 0,-1 1 0,1-1 0,1 1 0,-3 7 0,4-8 0,0-1 0,0 1 0,1-1 0,0 1 0,0-1 0,0 1 0,0-1 0,1 1 0,0-1 0,3 10 0,-3-13 0,-1 0 0,1-1 0,0 1 0,0 0 0,0-1 0,0 1 0,0-1 0,0 1 0,1-1 0,-1 1 0,0-1 0,1 0 0,-1 0 0,1 0 0,-1 0 0,1 0 0,0 0 0,-1 0 0,1 0 0,0 0 0,0-1 0,-1 1 0,1-1 0,0 0 0,0 1 0,0-1 0,0 0 0,0 0 0,-1 0 0,1 0 0,0 0 0,0-1 0,0 1 0,3-2 0,-1 1-170,0 0-1,0-1 0,0 0 1,0 0-1,-1 0 0,1 0 1,3-3-1,9-8-6655</inkml:trace>
  <inkml:trace contextRef="#ctx0" brushRef="#br0" timeOffset="5212.69">1925 672 24575,'-3'1'0,"0"1"0,0-1 0,0 1 0,0 0 0,0 0 0,1 0 0,-1 0 0,1 0 0,-1 0 0,1 1 0,0-1 0,0 1 0,-2 3 0,3-5 0,-3 5 0,0 1 0,0-1 0,0 1 0,1-1 0,0 1 0,0 0 0,1 1 0,0-1 0,-2 13 0,3-17 0,1-1 0,0 0 0,0 0 0,-1 1 0,2-1 0,-1 0 0,0 0 0,0 1 0,1-1 0,-1 0 0,1 0 0,0 0 0,0 1 0,0-1 0,0 0 0,0 0 0,0 0 0,0 0 0,0-1 0,1 1 0,-1 0 0,1-1 0,0 1 0,-1 0 0,1-1 0,0 0 0,0 1 0,0-1 0,0 0 0,0 0 0,0 0 0,0 0 0,0-1 0,1 1 0,1 0 0,1 0-91,-1 0 0,0-1 0,0 1 0,0-1 0,1 0 0,-1 0 0,0-1 0,0 1 0,1-1 0,-1 0 0,0 0 0,0 0 0,0 0 0,5-3 0,1-3-6735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3:59:24.56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290 0 24575,'-18'55'0,"-32"61"0,14-33 0,9-17 0,3 2 0,3 1 0,-17 102 0,1 120 0,0 397 0,36-595 0,4 207 0,-4-299 0,1 0 0,0 0 0,0 1 0,0-1 0,1 0 0,-1 0 0,0 0 0,0 1 0,1-1 0,-1 0 0,0 0 0,1 0 0,-1 0 0,1 0 0,-1 0 0,1 0 0,0 0 0,0 0 0,-1 0 0,1 0 0,0 0 0,0-1 0,1 2 0,1-1 0,-1-1 0,1 1 0,0-1 0,0 0 0,0 0 0,-1 0 0,1 0 0,0 0 0,3-1 0,0 0 0,315-22-1365,-292 22-5461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5:10.23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81 484 24575,'1'4'0,"0"1"0,0-1 0,0-1 0,1 2 0,3 6 0,3 9 0,71 216 0,164 433 0,-238-658 0,8 19 0,-13-29 0,1 1 0,0-1 0,-1 0 0,1 0 0,0 1 0,0-1 0,0 0 0,0 0 0,0 0 0,0 0 0,0 0 0,0 0 0,0 0 0,1-1 0,1 1 0,-3-1 0,1 0 0,-1 0 0,0 0 0,0 0 0,1 0 0,-1 0 0,0 0 0,0-1 0,1 1 0,-1 0 0,0 0 0,0 0 0,1 0 0,-1 0 0,0 0 0,0 0 0,0 0 0,1-1 0,-1 1 0,0 0 0,0 0 0,0-1 0,0 1 0,0 0 0,0-1 0,1 1 0,-1 0 0,0 0 0,0-1 0,0 1 0,0 0 0,0-1 0,0 1 0,0 0 0,0-1 0,0 1 0,0 0 0,-1 0 0,1-1 0,0 1 0,-2-17 0,-6-17-1365,-2-2-5461</inkml:trace>
  <inkml:trace contextRef="#ctx0" brushRef="#br0" timeOffset="831.49">8 407 24575,'-1'-1'0,"1"1"0,-1 0 0,1-1 0,0 1 0,-1 0 0,1-1 0,-1 1 0,1 0 0,0-1 0,-1 1 0,1-1 0,0 1 0,-1-1 0,1 1 0,0-1 0,0 1 0,-1-1 0,1 0 0,0 1 0,0-1 0,0 1 0,0-1 0,0 1 0,0-1 0,0 1 0,0-2 0,9-14 0,31-12 0,-27 19 0,131-105 0,10-9 0,-116 95 0,-15 9 0,0 2 0,38-20 0,-60 37 0,0-1 0,0 1 0,0 0 0,0 0 0,-1-1 0,1 1 0,0 0 0,0 0 0,0 0 0,0 0 0,0 0 0,0 0 0,0 0 0,0 1 0,0-1 0,0 0 0,-1 0 0,1 1 0,0-1 0,0 1 0,0-1 0,0 0 0,-1 1 0,1 0 0,0-1 0,0 1 0,-1-1 0,1 1 0,-1 0 0,1 0 0,0-1 0,-1 1 0,1 0 0,-1 0 0,0 0 0,1-1 0,0 3 0,2 4 0,0 1 0,0-1 0,3 12 0,-4-9 0,34 109 0,133 371 0,31-98 0,-121-245 0,-76-142 0,-1-1 0,0-1 0,0 1 0,-1-1 0,1 1 0,-1 0 0,1 0 0,0 7 0,-2-10 0,0 0 0,-1 1 0,1-1 0,0 0 0,-1 0 0,1 1 0,0-1 0,-1 0 0,0 0 0,1 0 0,-1 0 0,0 0 0,1 1 0,-1-1 0,0-1 0,0 1 0,0 0 0,0 0 0,0 0 0,0 0 0,0-1 0,0 1 0,0 0 0,0-1 0,-1 1 0,1-1 0,0 0 0,0 1 0,-2-1 0,-154 47 0,101-22 0,1 1 0,1 4 0,-65 47 0,36-24 0,82-52-68,-23 13 265,12-11-438,12-3 209,0 0 0,-1 0 0,1 0 0,0 0 0,0 0-1,-1 0 1,1 0 0,0 0 0,0 0 0,0-1 0,-1 1 0,1 0 0,0 0-1,0 0 1,0 0 0,0 0 0,-1 0 0,1-1 0,0 1 0,0 0-1,0 0 1,0 0 0,0 0 0,-1-1 0,1 1 0,0 0 0,0 0-1,0 0 1,0-1 0,0 1 0,0 0 0,0 0 0,0 0 0,0-1 0,0 1-1,0 0 1,0 0 0,0-1 0,1-5-6794</inkml:trace>
  <inkml:trace contextRef="#ctx0" brushRef="#br0" timeOffset="1517.56">708 795 24575,'0'-2'0,"1"1"0,0 0 0,-1 0 0,1 0 0,0 0 0,0-1 0,0 1 0,0 0 0,0 1 0,0-1 0,0 0 0,0 0 0,1 0 0,3-3 0,33-27 0,3 1 0,0 3 0,2 0 0,52-22 0,-36 22 0,2 4 0,107-29 0,-156 48-39,-10 3-127,1 1 0,0-1 0,-1 0 1,1 1-1,0-1 0,0 1 1,3 0-1</inkml:trace>
  <inkml:trace contextRef="#ctx0" brushRef="#br0" timeOffset="1848.54">1202 438 24575,'0'-1'0,"1"-1"0,0 1 0,0 0 0,-1 1 0,1-2 0,0 1 0,0 0 0,1 0 0,-1 0 0,0 0 0,0 0 0,0 1 0,1-1 0,-1 0 0,0 0 0,1 1 0,2-1 0,26-8 0,-28 8 0,6-1 0,0 1 0,1 0 0,-1 0 0,0 1 0,1-1 0,-1 2 0,0-1 0,1 1 0,-1 1 0,10 2 0,-14-3 0,-1 1 0,0-1 0,1 0 0,-1 1 0,0 0 0,0 0 0,0 0 0,0 0 0,-1 0 0,1 1 0,0-2 0,-1 2 0,0 0 0,1 0 0,-1-1 0,0 1 0,-1 1 0,1-1 0,-1 0 0,1 0 0,-1 1 0,0-1 0,0 1 0,0-1 0,-1 1 0,1 3 0,0 2 0,-1-1 0,-1 1 0,1-1 0,-1 1 0,-1 0 0,0-1 0,0 1 0,0-1 0,-5 9 0,3-14 12,4-9-1320,0 6 1239,0-11-6757</inkml:trace>
  <inkml:trace contextRef="#ctx0" brushRef="#br0" timeOffset="2176.31">1642 86 24575,'0'8'0,"2"-1"0,-1 1 0,1-1 0,0 1 0,1-1 0,5 11 0,3 10 0,31 130 0,-3-8 0,-37-146 15,0 1 0,-1-1 0,1-1 0,1 2 0,-1-1 0,1 0 0,3 5 0,-6-9-23,1 0 0,-1 1 0,1-1 0,-1 1 0,0-1 0,1 0 0,-1 1 0,1-1 0,-1 0 0,1 1 0,-1-1 0,1 0-1,0 0 1,-1 1 0,1-1 0,-1 0 0,1 0 0,-1 0 0,1 0 0,0 0 0,-1 0 0,1 0 0,-1 0 0,2 0 0,-1-1-63,0 0-1,0 1 1,0-1 0,-1 0-1,1 0 1,0 0 0,0 1-1,0-1 1,-1 0 0,1 0-1,0 0 1,-1-1 0,1 1-1,-1 0 1,0 0 0,1 0-1,-1-2 1,6-14-6755</inkml:trace>
  <inkml:trace contextRef="#ctx0" brushRef="#br0" timeOffset="2916.03">1820 222 24575,'0'-17'0,"-2"21"0,0 28 0,1-14 0,0-2 0,1 0 0,3 25 0,-3-38 0,1 0 0,-1-1 0,1 1 0,-1 0 0,1 0 0,0-1 0,0 1 0,0-1 0,0 1 0,1-1 0,-1 1 0,1-1 0,-1-1 0,1 1 0,0 0 0,0 0 0,0 0 0,0 0 0,0 0 0,0 0 0,0-1 0,4 2 0,-4-2 0,0 0 0,0-1 0,0 1 0,0-1 0,0 1 0,1-1 0,-1 0 0,0 0 0,0 0 0,1 0 0,-1 0 0,0-1 0,0 1 0,0-1 0,0 1 0,1-1 0,-1 0 0,0 0 0,0 0 0,0 0 0,0 0 0,-1 0 0,1 0 0,0-1 0,0 1 0,-1-1 0,1 1 0,-1-1 0,1 0 0,-1 0 0,0 1 0,0 0 0,0-1 0,0 0 0,0 0 0,1-3 0,0 0 0,0-1 0,0 1 0,-1 0 0,1-1 0,-1 1 0,-1-1 0,1 1 0,-1-1 0,0 1 0,0 0 0,0 0 0,-1-1 0,-2-9 0,1 9 0,-1 0 0,0 0 0,0 0 0,0 1 0,-1 0 0,0 0 0,0 0 0,0 0 0,-1 1 0,0-1 0,1 1 0,-2 0 0,1 0 0,0 1 0,-1-1 0,1 1 0,-1 0 0,-12-4 0,17 7 0,-1 0 0,0 0 0,1 0 0,-1 0 0,1 0 0,-1 1 0,0-1 0,1 0 0,-1 1 0,1-1 0,-1 1 0,1 0 0,-1-1 0,-1 2 0,3-2 0,-1 1 0,1-1 0,-1 0 0,1 1 0,-1-1 0,1 0 0,-1 1 0,1-1 0,0 1 0,-1-1 0,1 1 0,0-1 0,-1 1 0,1-1 0,0 1 0,-1-1 0,1 1 0,0-1 0,0 1 0,0 0 0,-1-1 0,1 1 0,0-1 0,0 1 0,0 0 0,0-1 0,0 1 0,0-1 0,0 1 0,0 0 0,1-1 0,-1 1 0,0-1 0,0 1 0,0 0 0,1-1 0,0 2 0,-1-2 0,1 0 0,-1 1 0,1-1 0,-1 0 0,1 1 0,-1-1 0,1 0 0,0 0 0,-1 1 0,1-1 0,-1 0 0,1 0 0,0 0 0,-1 0 0,1 0 0,0 0 0,-1 0 0,1 0 0,0 0 0,-1 0 0,1 0 0,0 0 0,-1-1 0,1 1 0,-1 0 0,1 0 0,0-1 0,-1 1 0,1 0 0,-1-1 0,1 1 0,0-1 0,20-14 0,-20 14 0,28-23 0,-18 14 0,1-1 0,22-13 0,-34 24 0,0 0 0,1 0 0,-1 0 0,0 0 0,1-1 0,-1 1 0,0 0 0,1 0 0,-1 0 0,0 0 0,1 0 0,-1 0 0,0 0 0,1 0 0,-1 0 0,0 0 0,1 0 0,-1 0 0,0 1 0,1-1 0,-1 0 0,0 0 0,1 0 0,-1 0 0,0 0 0,0 1 0,1-1 0,-1 0 0,0 0 0,0 1 0,1-1 0,-1 0 0,0 0 0,0 1 0,0-1 0,1 0 0,-1 0 0,0 1 0,0-1 0,0 0 0,0 1 0,0-1 0,0 0 0,1 1 0,-1-1 0,0 0 0,0 1 0,0-1 0,0 0 0,0 1 0,0-1 0,-1 0 0,1 1 0,0-1 0,0 0 0,0 1 0,-2 30 0,1-21 0,1-6 0,0 0 0,0 0 0,1 0 0,-1 0 0,1 1 0,0-1 0,0 0 0,1 0 0,-1 0 0,1-1 0,0 1 0,0 0 0,0-1 0,0 1 0,1-1 0,0 0 0,2 3 0,-3-4 0,1 0 0,-1 0 0,0-1 0,1 1 0,0-1 0,-1 0 0,1 1 0,0-1 0,0-1 0,-1 1 0,1 0 0,0-1 0,0 1 0,0-1 0,0 0 0,0 0 0,0 0 0,0 0 0,0-1 0,0 1 0,0-1 0,-1 0 0,1 0 0,0 0 0,3-2 0,-3 2 0,0 0 0,-1 0 0,1-1 0,0 0 0,-1 1 0,0-1 0,1 0 0,-1 0 0,0 0 0,0 0 0,0 0 0,0 0 0,-1-1 0,1 1 0,-1-1 0,1 1 0,-1-1 0,0 0 0,0 0 0,0 1 0,0-1 0,-1 0 0,1 0 0,-1 0 0,0 0 0,0 0 0,0 0 0,0 0 0,0 0 0,-2-6 0,2 5 0,-1 2 0,-1-2 0,1 0 0,0 1 0,-1-1 0,0 1 0,0-1 0,0 1 0,0 0 0,0 0 0,-1-1 0,0 2 0,1-1 0,-1 0 0,0 1 0,0-1 0,0 1 0,-1 0 0,1 0 0,-1 0 0,1 0 0,-1 1 0,-3-2 0,5 3-39,1 0 0,-1 0 0,0 0 0,1 0 0,-1 0 0,1 0 0,-1 0 0,1 0 0,-1 1 0,0-1 0,1 1 0,-1-1 0,1 1 0,0 0 0,-1-1 0,1 1 0,0 0 0,-1 0 0,1 0 0,0 0 0,0 0 0,0 0 0,-1 0 0,1 1 0,1-1 0,-1 0 0,0 1 0,0-1 0,0 0 0,1 1 0,-1-1 0,1 1 0,-1-1 0,0 2 0,-1 6-6787</inkml:trace>
  <inkml:trace contextRef="#ctx0" brushRef="#br0" timeOffset="8447.59">891 1598 24575,'0'0'0,"-1"0"0,1 0 0,0 0 0,-1 0 0,1 0 0,-1 0 0,1 0 0,0 1 0,-1-1 0,1 0 0,-1 0 0,1 0 0,0 0 0,-1 1 0,1-1 0,0 0 0,-1 0 0,1 0 0,0 1 0,0-1 0,-1 0 0,1 1 0,0-1 0,0 0 0,-1 1 0,1-1 0,0 0 0,0 1 0,0-1 0,0 0 0,-1 1 0,1-1 0,0 1 0,2 18 0,14 16 0,-16-35 0,8 15 0,0-1 0,1-1 0,15 20 0,-21-30 0,0 1 0,1-1 0,0 1 0,0-1 0,0 0 0,0 0 0,5 2 0,-7-4 0,1 0 0,-1-1 0,0 0 0,0 1 0,0 0 0,1-1 0,-1 0 0,0 1 0,0-1 0,1 0 0,-1 0 0,0-1 0,1 1 0,-1 0 0,0-1 0,3 0 0,-2 0 0,0-1 0,0 1 0,0-1 0,-1 0 0,1 0 0,-1-1 0,0 1 0,1 0 0,-1-1 0,0 0 0,0 1 0,-1-1 0,1 0 0,-1 0 0,1 0 0,-1 0 0,0 0 0,0 0 0,1-4 0,2-9 0,-1-1 0,2-21 0,-4 34 0,-1-3 0,0-1 0,0 0 0,0 1 0,-1-1 0,0 0 0,-1 1 0,0-1 0,0 1 0,0 1 0,-1-2 0,-4-7 0,6 13 0,-1-1 0,1 0 0,-1 0 0,0 1 0,0-1 0,0 1 0,0 0 0,0 0 0,0 0 0,-1 0 0,1 0 0,-1 0 0,1 0 0,-1 1 0,0-1 0,0 1 0,0 0 0,0 0 0,0 0 0,0 0 0,0 1 0,0-1 0,0 1 0,0-1 0,0 1 0,0 0 0,0 0 0,0 1 0,0-1 0,-4 2 0,3-1 6,0 0-1,1 1 1,-1 0-1,0 0 0,1 0 1,-1 0-1,1 0 1,0 1-1,0-1 1,0 1-1,0 0 1,0 0-1,0 0 0,1 0 1,0 1-1,-1-1 1,1 1-1,0 0 1,1-1-1,-1 1 1,-1 5-1,1-3-119,0 1 0,1-1-1,0 0 1,0 1 0,0-1 0,1 1-1,0-1 1,0 0 0,1 1 0,0-2-1,0 2 1,4 11 0,2-1-6712</inkml:trace>
  <inkml:trace contextRef="#ctx0" brushRef="#br0" timeOffset="8776.81">1162 1702 24575,'-11'7'0,"10"-7"0,0 1 0,0-1 0,0 1 0,0-1 0,0 1 0,1 0 0,-1-1 0,0 1 0,0 0 0,1-1 0,-1 1 0,0 0 0,1 0 0,-1 0 0,1-1 0,-1 1 0,1 0 0,-1 0 0,1 0 0,-1 2 0,-1 7 0,0 0 0,0 0 0,1-1 0,0 2 0,2 16 0,8 54 0,-3-28 0,-3 1 0,-5-70-1365,1 4-5461</inkml:trace>
  <inkml:trace contextRef="#ctx0" brushRef="#br0" timeOffset="9010.52">1129 1783 24575,'0'-1'0,"-1"0"0,-1-1 0,0 0 0,5 2 0,3 2 0,4 2 0,2 2 0,4 1 0,2 1 0,3-2 0,0 1 0,-1-2 0,-1-1 0,-3 1 0,-1-2 0,-5 2 0,-3 0-8191</inkml:trace>
  <inkml:trace contextRef="#ctx0" brushRef="#br0" timeOffset="9781.84">1179 1842 24575,'-3'-2'0,"7"5"0,52 56 0,65 89 0,35 75 0,-151-214 0,3 2 0,-4-7 0,-1 0 0,0 0 0,1 1 0,-2 0 0,1 1 0,-1-1 0,1 0 0,2 11 0,-6-15 0,1-1 0,0 0 0,-1 0 0,1 0 0,0 0 0,-1 0 0,1 0 0,-1 0 0,1 0 0,0-1 0,-1 1 0,1 0 0,0 0 0,0 0 0,-1 0 0,1 0 0,0 0 0,-1-1 0,1 1 0,0 0 0,-1 0 0,1 0 0,0-1 0,0 1 0,0 0 0,-1 0 0,1-1 0,0 1 0,0 0 0,0-1 0,-1 1 0,1-1 0,-11-10 0,-1-9 0,9 16 0,0-1 0,0 1 0,0 0 0,0 0 0,-5-6 0,7 11 0,1-1 0,0 0 0,-1 0 0,1 0 0,0 0 0,0 0 0,-1 1 0,1-1 0,0 0 0,0 0 0,0 0 0,-1 1 0,1-1 0,0 0 0,0 1 0,0-1 0,0 0 0,-1 0 0,1 1 0,0-1 0,0 0 0,0 1 0,0-1 0,0 0 0,0 0 0,0 1 0,0-1 0,0 0 0,0 1 0,0-1 0,0 0 0,0 1 0,0-1 0,0 1 0,0 12 0,2 32 0,13 70 0,-15-134 0,5-36 0,-5 54 0,0 0 0,0 0 0,0-1 0,0 1 0,1 0 0,-1 0 0,1 0 0,-1 0 0,0 0 0,1 0 0,0 0 0,-1 0 0,1 0 0,0 0 0,-1 1 0,1-1 0,0 0 0,0 0 0,0 0 0,0 1 0,0-1 0,0 1 0,-1-1 0,2 1 0,-1-1 0,0 1 0,0-1 0,0 1 0,0 0 0,0 0 0,2-1 0,1 1 0,0 1 0,0 0 0,0-1 0,1 2 0,-1-1 0,7 3 0,12 3 0,-23-7-40,0 0 0,1 1 0,-1-1 0,0 0-1,1 0 1,-1 0 0,0 0 0,0 0 0,1 0 0,-1-1 0,0 1-1,1 0 1,-1 0 0,0 0 0,1 0 0,-1 0 0,0 0-1,0 0 1,1-1 0,-1 1 0,0 0 0,0 0 0,0 0 0,1-1-1,-1 1 1,0 0 0,0 0 0,0-1 0,1 1 0,-1 0-1,0 0 1,0-1 0,0 1 0</inkml:trace>
  <inkml:trace contextRef="#ctx0" brushRef="#br0" timeOffset="10598.34">1266 1585 24575,'35'4'0,"-34"-4"0,0 0 0,0 0 0,0-1 0,0 1 0,0 0 0,0-1 0,0 1 0,-1 0 0,1-1 0,0 1 0,0-1 0,0 1 0,0-1 0,-1 0 0,1 1 0,0-1 0,0 0 0,-1 0 0,1 1 0,-1-1 0,1 0 0,-1 0 0,1 0 0,-1 0 0,1 0 0,0-1 0,8-29 0,-8 27 0,6-34 0,2-40 0,-6 47 0,0 0 0,13-43 0,-15 70 0,0 1 0,0-1 0,0 1 0,1 0 0,-1 0 0,1-1 0,0 1 0,4-5 0,-5 7 0,0 1 0,-1-1 0,1 1 0,0-1 0,0 1 0,0-1 0,-1 1 0,1-1 0,0 1 0,0 0 0,0 0 0,0 0 0,0-1 0,0 1 0,-1 0 0,1 0 0,0 0 0,0 0 0,0 0 0,0 0 0,0 1 0,0-1 0,0 0 0,-1 0 0,1 1 0,0-1 0,0 0 0,0 1 0,0-1 0,-1 1 0,1-1 0,0 1 0,-1 0 0,1-1 0,0 1 0,-1 0 0,1-1 0,0 2 0,9 8-1365,-2 0-5461</inkml:trace>
  <inkml:trace contextRef="#ctx0" brushRef="#br0" timeOffset="12099.9">2117 556 24575,'0'-3'0,"0"-1"0,0 1 0,-1-1 0,1 1 0,-1-1 0,0 1 0,0-1 0,0 1 0,-1 0 0,1 0 0,-1 0 0,1 0 0,-1 0 0,0 0 0,0 0 0,-1 0 0,1 1 0,0 0 0,-1 0 0,0-1 0,1 1 0,-1 0 0,0 0 0,0 1 0,0-1 0,-1 0 0,1 1 0,0 0 0,-5-1 0,7 1 0,0 1 0,0 0 0,0 0 0,0 0 0,0 0 0,0 0 0,0 0 0,0 0 0,0 0 0,0 0 0,0 0 0,0 0 0,0 1 0,0-1 0,0 0 0,0 1 0,1-1 0,-1 1 0,0-1 0,0 1 0,0 0 0,0-1 0,0 2 0,-1-1 0,1 1 0,0 0 0,0 0 0,0 0 0,0-1 0,0 1 0,1 0 0,-1 0 0,0-1 0,1 1 0,-1 3 0,1-1 0,-1 0 0,1 1 0,0-1 0,0 1 0,0-1 0,1 1 0,-1-1 0,1 0 0,0 1 0,3 5 0,-3-8 0,0 1 0,1-2 0,-1 1 0,1 0 0,0 0 0,-1 0 0,1 0 0,0 0 0,0-1 0,0 1 0,0-1 0,1 1 0,-1-1 0,0 0 0,0 1 0,1-1 0,-1-1 0,4 2 0,2 0 0,1-1 0,-1 0 0,1-1 0,10 0 0,-9-1 0,-1 1 0,0 0 0,16 3 0,-22-2 0,0 0 0,-1 0 0,1 0 0,0 0 0,0 0 0,-1 1 0,1-1 0,-1 1 0,1-1 0,-1 1 0,0 0 0,0 0 0,0 0 0,0 0 0,4 5 0,-4-2 0,1-1 0,0 1 0,-1 0 0,0 1 0,0-1 0,-1 1 0,1-1 0,-1 1 0,0 0 0,-1-1 0,1 1 0,-1 0 0,-1 7 0,1-10 0,0-1 0,-1 1 0,1 0 0,-1 0 0,0-1 0,1 1 0,-1-1 0,0 1 0,-1-1 0,1 1 0,0-1 0,-1 1 0,1-1 0,-1 0 0,0 0 0,0 0 0,0 0 0,0 0 0,0 0 0,0-1 0,0 1 0,-1-1 0,1 1 0,0-1 0,-1 0 0,1-1 0,-1 1 0,0 0 0,-5 1 0,5-2 0,0 0 0,0-1 0,0 1 0,0 0 0,0-1 0,0 0 0,0 0 0,0 1 0,1-1 0,-1 0 0,0-1 0,0 1 0,1-1 0,-1 0 0,1 1 0,-1-1 0,1 0 0,0-1 0,0 1 0,0 0 0,0-1 0,0 1 0,1-1 0,-3-2 0,0-2 0,1 1 0,-1-1 0,1 0 0,0 1 0,1-1 0,-1 0 0,1 0 0,-1-14 0,3 17 7,0 1-1,0-1 0,0 0 0,1 1 1,-1-1-1,1 2 0,0-2 1,0 1-1,1 0 0,-1-1 1,1 1-1,-1 0 0,1 0 0,0 0 1,0 0-1,1 0 0,-1 1 1,4-5-1,-1 3-155,0 0 1,0 0-1,0 1 1,1-1-1,0 1 1,-1 0-1,1 1 1,0 0-1,9-3 1,-9 4-6678</inkml:trace>
  <inkml:trace contextRef="#ctx0" brushRef="#br0" timeOffset="12464.34">2259 497 24575,'0'7'0,"1"0"0,0 0 0,1 0 0,0 0 0,0 0 0,0-1 0,1 1 0,4 9 0,-5-14 0,-1 1 0,0-1 0,1 1 0,-1-1 0,1 0 0,0 1 0,0-1 0,0 0 0,0 0 0,0 0 0,0-1 0,0 1 0,1 0 0,-1-1 0,1 0 0,-1 1 0,1-1 0,-1 0 0,1 0 0,0 0 0,-1-1 0,1 1 0,0-1 0,0 0 0,0 1 0,3-1 0,-4-1 0,0 1 0,-1-1 0,1 1 0,0-1 0,-1 1 0,1-1 0,-1 0 0,1 0 0,-1 0 0,1 0 0,-1 0 0,0 0 0,0 0 0,1-1 0,-1 1 0,0 0 0,0-1 0,0 1 0,0 0 0,0-1 0,-1 0 0,1 1 0,0-1 0,-1 1 0,1-1 0,-1 0 0,1 1 0,-1-1 0,0 0 0,0 1 0,0-1 0,0 0 0,0 1 0,0 0 0,0-1 0,-1-2 0,0 0 0,1-1 0,-1 0 0,0 0 0,-1 1 0,1-1 0,-1 1 0,0-1 0,0 1 0,0 0 0,0-1 0,-6-5 0,6 8 0,1 1 0,-1-1 0,0 0 0,1 1 0,-1-1 0,0 1 0,0-1 0,0 1 0,0 0 0,-1 0 0,1 0 0,0 0 0,0 0 0,-1 0 0,1 1 0,0-1 0,-1 1 0,1 0 0,0 0 0,-4 0 0,3 0 0,1 1 0,0 0 0,-1 0 0,1 0 0,-1 1 0,1-1 0,0 1 0,0-1 0,0 1 0,0 0 0,0-1 0,0 1 0,1 0 0,-1 0 0,0-1 0,1 2 0,0-1 0,-2 3 0,-3 6-341,1 1 0,1-1-1,-5 14 1,6-14-6485</inkml:trace>
  <inkml:trace contextRef="#ctx0" brushRef="#br0" timeOffset="12997.2">2094 1038 24575,'-5'1'0,"10"0"0,15-4 0,4-7 0,0-3 0,0-1 0,24-19 0,3-1 0,185-107 0,-168 105 0,114-42 0,-179 76-44,-4 2 130,-7 1-749,6-1-81,-7 2-6082</inkml:trace>
  <inkml:trace contextRef="#ctx0" brushRef="#br0" timeOffset="14221.89">2140 77 24575,'1'-3'0,"1"-1"0,0 1 0,1-1 0,-1 1 0,0 0 0,1 0 0,0 0 0,-1 0 0,1 0 0,0 1 0,6-4 0,-2 0 0,-4 3 0,0 0 0,1 0 0,-1 0 0,1 0 0,-1 1 0,1-1 0,7-3 0,-10 6 0,0 0 0,0 0 0,0 0 0,0 0 0,0 0 0,0 0 0,0 0 0,-1 0 0,1 0 0,0 0 0,0 0 0,0 0 0,0 1 0,0-1 0,0 0 0,0 1 0,0-1 0,-1 1 0,1-1 0,0 1 0,0-1 0,-1 1 0,1-1 0,0 1 0,0 0 0,-1 0 0,1-1 0,-1 1 0,1 0 0,-1 0 0,1 0 0,-1-1 0,0 1 0,1 0 0,-1 0 0,0 0 0,1 1 0,11 22 0,2 0 0,26 36 0,-1-4 0,32 53 0,54 93 0,-124-201 0,1 1 0,-1 1 0,0-1 0,-1 0 0,1 0 0,0 0 0,0 1 0,-1-1 0,0 0 0,1 1 0,-1 2 0,0-4 0,-1 0 0,1 0 0,-1 0 0,1 0 0,-1 0 0,1 0 0,-1-1 0,0 1 0,1 0 0,-1 0 0,0 0 0,0-1 0,1 1 0,-1-1 0,0 1 0,0 0 0,0-1 0,0 1 0,0-1 0,0 0 0,0 1 0,0-1 0,0 0 0,0 0 0,0 1 0,-2-1 0,-59 22 0,62-22-59,-1 0 0,1 1-1,-1-1 1,1 0-1,-1 0 1,1 0 0,-1 0-1,1 0 1,-1 0 0,1 0-1,-1 0 1,1 0 0,0 0-1,-1 0 1,1 0 0,-1 0-1,1-1 1,-1 1-1,1 0 1,-1 0 0,1 0-1,-1 0 1</inkml:trace>
  <inkml:trace contextRef="#ctx0" brushRef="#br0" timeOffset="15107.54">2580 353 24575,'1'0'0,"1"1"0,0 0 0,-1 0 0,1-1 0,-1 1 0,0 0 0,1 0 0,-1 1 0,0-1 0,1 0 0,-1 0 0,1 2 0,14 10 0,-16-13 0,1 0 0,0 1 0,-1-1 0,1 0 0,0 0 0,-1 0 0,1 0 0,-1 0 0,1 0 0,0 0 0,-1 0 0,1 0 0,0 0 0,-1 0 0,1 0 0,0-1 0,-1 1 0,1 0 0,-1 0 0,1-1 0,-1 1 0,1 0 0,-1-1 0,1 1 0,0-1 0,10-16 0,-2-28 0,-8 38 0,6-26-1365,-7 25-5461</inkml:trace>
  <inkml:trace contextRef="#ctx0" brushRef="#br0" timeOffset="16583.42">2506 1030 24575,'-8'0'0,"0"0"0,-1-1 0,1 0 0,0-1 0,0 0 0,-9-3 0,11 2 0,0-1 0,1-1 0,-1 1 0,-7-9 0,12 12 0,0 0 0,0 0 0,0 0 0,0 0 0,0-1 0,1 1 0,-1 0 0,0-1 0,1 1 0,-1-1 0,1 1 0,-1-2 0,1 2 0,0 1 0,0-1 0,0 1 0,0-1 0,1 1 0,-1-1 0,0 1 0,0-1 0,0 1 0,1-1 0,-1 1 0,0 0 0,1 0 0,-1-1 0,0 1 0,1 0 0,-1-1 0,1 1 0,-1 0 0,0-1 0,1 1 0,-1 0 0,1-1 0,-1 1 0,1 0 0,-1 0 0,1 0 0,-1 0 0,1-1 0,-1 1 0,1 0 0,0 0 0,-1 0 0,1 0 0,3 0 0,0 0 0,0 0 0,0 0 0,0 1 0,0-1 0,0 1 0,0 0 0,0 0 0,0 0 0,0 0 0,-1 1 0,1 0 0,-1 0 0,1 0 0,-1 0 0,0 0 0,0 1 0,5 4 0,-1 0 0,0 0 0,0 1 0,-1-1 0,0 1 0,0 0 0,6 13 0,-8-12 0,-1 1 0,1 0 0,-2-1 0,1 0 0,-1 1 0,-1 1 0,0-1 0,-1 20 0,0-27 0,0 1 0,-1 1 0,0-1 0,0 0 0,0 0 0,0 0 0,-1 0 0,1 0 0,-1-1 0,-4 8 0,4-9 0,0 0 0,0 0 0,0 0 0,0 0 0,0 0 0,-1-1 0,1 1 0,0-1 0,-1 1 0,1-1 0,-1-1 0,0 1 0,1 0 0,-1 0 0,0-1 0,1 1 0,-6 0 0,5-1 0,0 0 0,1-1 0,-1 1 0,0-1 0,0 1 0,0-1 0,1 0 0,-1 0 0,1 1 0,-1-1 0,1-1 0,-1 1 0,1-1 0,-1 1 0,1-1 0,0 0 0,0 0 0,0 0 0,0 0 0,0 0 0,-1-3 0,1 2 0,0 0 0,0 1 0,0-1 0,1-1 0,-1 1 0,1 0 0,-1 0 0,1 0 0,0-1 0,1 1 0,-1-1 0,0 1 0,1 0 0,0 0 0,0-1 0,0 1 0,1-4 0,-1 5 0,1 1 0,0-1 0,0 1 0,0-1 0,0 1 0,0-1 0,0 1 0,1 0 0,-1-1 0,0 1 0,1 0 0,-1 0 0,1 0 0,-1 0 0,1 0 0,-1 0 0,1 1 0,0-1 0,-1 0 0,1 1 0,0-1 0,0 1 0,-1 0 0,1 0 0,0-1 0,0 1 0,3 1 0,4-2 0,0 2 0,-1-1 0,1 1 0,11 3 0,-10-1 0,1 0 0,-2 1 0,1 0 0,0 1 0,-1 0 0,0 1 0,0-1 0,10 9 0,-18-14-72,-1 1 1,1 0-1,0-1 0,0 1 0,0-1 0,-1 1 0,1-1 0,0 0 1,0 1-1,0-1 0,0 0 0,0 0 0,0 1 0,0-1 0,0 0 1,0 0-1,0 0 0,1 0 0,6-3-6754</inkml:trace>
  <inkml:trace contextRef="#ctx0" brushRef="#br0" timeOffset="16928.28">2703 984 24575,'0'5'0,"0"0"0,1-1 0,-1 1 0,1 0 0,0 0 0,0-1 0,3 9 0,-3-12 0,-1 0 0,1-1 0,-1 1 0,1 0 0,0 0 0,-1 0 0,1-1 0,0 1 0,0 0 0,0-1 0,0 1 0,-1 0 0,1-1 0,0 1 0,0-1 0,0 0 0,0 1 0,0-1 0,0 0 0,0 1 0,0-1 0,1 0 0,-1 0 0,0 0 0,0 0 0,0 0 0,0 0 0,0 0 0,0 0 0,0-1 0,0 1 0,0 0 0,0 0 0,0-1 0,0 1 0,0-1 0,0 1 0,0-1 0,-1 0 0,1 1 0,0-2 0,2 0 0,0 0 0,0 0 0,0-1 0,-1 1 0,1-1 0,-1 0 0,0 0 0,0 0 0,0-1 0,0 1 0,-1-1 0,1 1 0,-1-1 0,0 1 0,0-1 0,1-4 0,-1 6 0,-1 1 0,0-1 0,1 0 0,-1 0 0,0 0 0,0 1 0,0-1 0,0 1 0,0-1 0,0 0 0,0 1 0,-1-1 0,1 0 0,-1 0 0,1 1 0,-1-1 0,0 0 0,0 1 0,1-1 0,-1 0 0,0 1 0,-1-1 0,1 1 0,0 0 0,0-1 0,-1 1 0,1 0 0,0 0 0,-1 0 0,1 0 0,-1 0 0,1 0 0,-1 0 0,-3-1 0,4 2 0,-1 0 0,0 0 0,0 0 0,1 1 0,-1-1 0,1 0 0,0 1 0,-1-1 0,0 1 0,1-1 0,-1 1 0,1 0 0,-1-1 0,1 1 0,-1 0 0,1 0 0,-1 0 0,1 1 0,0-1 0,0 0 0,-1 0 0,1 1 0,0-1 0,0 1 0,-1 2 0,-4 5 0,1 0 0,-8 17 0,12-24 0,-9 27-1365,7-19-5461</inkml:trace>
  <inkml:trace contextRef="#ctx0" brushRef="#br0" timeOffset="17303.73">2516 1432 24575,'-5'19'0,"4"-17"0,1-1 0,-1 1 0,0-1 0,1 1 0,0-1 0,-1 1 0,1 0 0,0-1 0,0 1 0,0 0 0,0-1 0,0 1 0,0 0 0,0-1 0,0 1 0,1 0 0,-1-1 0,1 1 0,0 1 0,-1-3 0,1 1 0,-1-1 0,1 0 0,-1 0 0,1 1 0,-1-1 0,1 0 0,-1 0 0,1 0 0,-1 1 0,1-1 0,-1 0 0,1 0 0,0 0 0,-1 0 0,1 0 0,-1 0 0,1 0 0,-1-1 0,1 1 0,-1 0 0,1 0 0,-1 0 0,1 0 0,-1-1 0,1 1 0,-1 0 0,1 0 0,-1-1 0,1 1 0,0-1 0,16-13 0,-15 13 0,93-87 0,50-40 0,-6 29 0,-105 76 0,1 3 0,44-19 0,-78 38-3,-1 1 0,1 0 0,-1-1 0,1 1 0,-1 0 0,1-1 0,-1 1 0,1 0 0,-1 0 0,1 0 0,0-1 0,-1 1 0,1 0 0,0 0 0,-1 0 0,1 0 0,-1 0 0,1 0 0,0 0 0,-1 0 0,1 1 0,-1-1 0,1 0 0,1 0 0,-7 12 190,-18 14-1664,7-10-5349</inkml:trace>
  <inkml:trace contextRef="#ctx0" brushRef="#br0" timeOffset="17632.38">2676 1521 24575,'-7'13'0,"7"-13"0,-1 0 0,1 0 0,0 0 0,0 0 0,0 0 0,0 0 0,0 0 0,0 1 0,0-1 0,0 0 0,0 0 0,0 0 0,1 0 0,-1 0 0,0 0 0,0 0 0,0 0 0,0 0 0,0 0 0,0 1 0,0-1 0,0 0 0,0 0 0,0 0 0,0 0 0,0 0 0,0 0 0,0 0 0,0 0 0,0 0 0,0 0 0,1 0 0,-1 0 0,0 0 0,0 0 0,0 0 0,0 0 0,0 0 0,0 0 0,0 0 0,0 0 0,0 0 0,0 0 0,0 0 0,1 0 0,-1 0 0,0 0 0,0 0 0,0 0 0,0 0 0,0 0 0,0 0 0,0 0 0,0 0 0,0 0 0,0 0 0,0 0 0,1 0 0,-1 0 0,0 0 0,0 0 0,22-16 0,60-60 0,214-182 0,-279 246 0,-8 5 0,-1 2 0,1-2 0,8-10 0,-17 16-44,1 1 0,-1 0 0,0 0 0,1-1 0,-1 1 0,0 0 0,0-1 0,1 1 0,-1 0 0,0-1 0,0 1 0,1 0 0,-1-1 0,0 1 0,0-1 0,0 1 0,0 0 0,0-1-1,0 1 1,0-1 0,0 1 0,0-1 0,0 1 0,0 0 0,0-1 0,0 1 0,0-1 0,0 1 0,0-1 0,0 0 0</inkml:trace>
  <inkml:trace contextRef="#ctx0" brushRef="#br0" timeOffset="18293.73">1866 804 24575,'-2'2'0,"2"0"0,2-2 0,3-2 0,4-4 0,2-3 0,1-3 0,2-1 0,-1 0 0,-2 2 0,-1 4 0,-3 3-8191</inkml:trace>
  <inkml:trace contextRef="#ctx0" brushRef="#br0" timeOffset="19206.39">3170 551 24575,'0'0'0,"0"0"0,0 0 0,0 0 0,0 0 0,0 0 0,0 0 0,0-1 0,0 1 0,0 0 0,0 0 0,0 0 0,0 0 0,0 0 0,0-1 0,0 1 0,0 0 0,0 0 0,0 0 0,0 0 0,0 0 0,0 0 0,0 0 0,1 0 0,-1-1 0,0 1 0,0 0 0,0 0 0,0 0 0,0 0 0,0 0 0,0 0 0,0 0 0,1 0 0,-1 0 0,0 0 0,0 0 0,0 0 0,0 0 0,0 0 0,1 0 0,-1 0 0,0 0 0,0 0 0,0 0 0,0 0 0,0 0 0,0 0 0,1 0 0,-1 0 0,0 0 0,0 0 0,0 0 0,10 6 0,8 10 0,14 24 0,-1 1 0,-3 2 0,38 73 0,-62-108 0,-2-5 0,0 1 0,0 0 0,0-1 0,-1 1 0,0 0 0,1 0 0,-1 0 0,-1 0 0,1 0 0,0 6 0,-1-10 0,0 0 0,0 1 0,0-1 0,0 0 0,0 0 0,-1 1 0,1-1 0,0 0 0,0 0 0,0 1 0,0-1 0,0 0 0,0 0 0,0 0 0,-1 1 0,1-1 0,0 0 0,0 0 0,0 0 0,-1 1 0,1-1 0,0 0 0,0 0 0,0 0 0,-1 0 0,1 0 0,0 1 0,0-1 0,-1 0 0,1 0 0,0 0 0,0 0 0,-1 0 0,1 0 0,0 0 0,-1 0 0,1 0 0,0 0 0,0 0 0,-1 0 0,1 0 0,0 0 0,0 0 0,-1 0 0,1-1 0,0 1 0,0 0 0,-1 0 0,1 0 0,0 0 0,0 0 0,-1-1 0,-12-8 0,-4-9 0,0 1 0,1-2 0,-22-34 0,-30-68 0,53 90 0,-12-33 0,22 52 0,2-1 0,-1 1 0,2 0 0,0 0 0,0-1 0,1-14 0,1 24 0,0 1 0,0 0 0,0-1 0,1 1 0,-1-1 0,1 0 0,-1 1 0,1-1 0,0 1 0,0-1 0,0 1 0,0 0 0,1-1 0,-1 1 0,1 0 0,-1 0 0,1 0 0,0 0 0,-1 0 0,1 0 0,0 1 0,0-1 0,4-2 0,-4 4 0,1-1 0,-1 0 0,0 1 0,1-1 0,-1 1 0,1 0 0,-1 0 0,1 0 0,-1 0 0,0 0 0,1 0 0,-1 1 0,1-1 0,-1 1 0,0 0 0,1 0 0,-1 0 0,0 0 0,0 0 0,0 0 0,0 0 0,0 1 0,0-1 0,0 1 0,2 2 0,2 1 0,-1 1 0,0 0 0,0 0 0,-1 0 0,0 1 0,0-2 0,0 2 0,-1 0 0,0 0 0,0 1 0,0-1 0,1 9 0,-2-4 0,0 1 0,0-1 0,-1 1 0,-1 0 0,0 0 0,-3 19 0,1-25-1365</inkml:trace>
  <inkml:trace contextRef="#ctx0" brushRef="#br0" timeOffset="19566.41">3367 556 24575,'0'1'-69,"0"-1"-1,0 0 0,0 1 0,0-1 1,0 0-1,1 1 0,-1-1 0,0 0 1,0 1-1,1-1 0,-1 0 0,0 1 1,1-1-1,-1 0 0,0 1 1,1-1-1,-1 0 0,0 0 0,1 0 1,-1 1-1,0-1 0,1 0 0,-1 0 1,1 0-1,-1 0 0,1 0 0,19 6 828,-12-3-847,1 0 196,1 2 1,-1-1 0,0 1-1,-1 0 1,11 9 0,-17-12-81,1 0 0,-1 0 0,1 0 0,-1 1 0,0-1 0,0 1 0,0-1 0,0 1 0,-1 0 0,1-2 0,-1 2 1,0 0-1,1 0 0,-1 0 0,-1 1 0,1-1 0,0 0 0,-1 0 0,0 0 0,1 6 0,-1-8-27,0 0 0,-1 0 0,1 0 0,0 0 0,0 0 0,0 0 0,-1 0 0,1 0 0,0 0 0,-1 0 0,1 0 0,-1 0 0,1 0 0,-1 0 0,0-1 0,0 2 0,0-1 0,1-1 0,-1 0 0,1 0 0,-1 1 0,0-1 0,1 0 0,-1 0 0,1 0 0,-1 0 0,1 0 0,-1 0 0,1 1 0,-1-1 0,0-1 0,1 1 0,-1 0 0,1 0 0,-1 0 0,1 0 0,-1 0 0,0-1 0,-1 0 0,-1 0 0,1 0 0,0-1 0,0 1 0,0-1 0,1 1 0,-1-1 0,0 0 0,1 0 0,-1 1 0,1-1 0,-2-3 0,-2-4 0,1-1 0,0 0 0,1 2 0,0-3 0,-3-14 0,5 17 0,0 1 0,0 0 0,1 1 0,0-1 0,0 0 0,1 0 0,0-1 0,0 1 0,3-7 0,-4 13-49,0 0 1,1-1-1,0 1 0,-1 0 0,1-1 1,0 1-1,0 0 0,-1 0 0,1 0 1,0 0-1,0 0 0,0 0 0,0 1 1,0-1-1,1 0 0,-1 1 0,0-1 1,0 0-1,1 1 0,-1-1 0,0 1 1,1-1-1,-1 1 0,0-1 0,1 1 0,-1 0 1,3 0-1,4 0-6777</inkml:trace>
  <inkml:trace contextRef="#ctx0" brushRef="#br0" timeOffset="20539.46">3527 438 24575,'-2'-10'0,"-3"11"0,-3 18 0,7-12 0,1-1 0,-1 1 0,2 0 0,-1 0 0,1 0 0,0-1 0,4 12 0,-5-17 0,0 1 0,0-1 0,1 1 0,-1-1 0,1 1 0,0-1 0,-1 1 0,1-1 0,0 0 0,0 1 0,0-1 0,0 0 0,0 0 0,0 1 0,0-1 0,0 0 0,1 0 0,-2 0 0,1-1 0,0 1 0,1 0 0,-1 0 0,1-1 0,-1 1 0,1-1 0,-1 1 0,1-1 0,-1 0 0,1 1 0,-1-1 0,1 0 0,0 0 0,-1 0 0,1 0 0,-1 0 0,1-1 0,-1 1 0,1 0 0,2-2 0,-3 2 0,1-1 0,-1 0 0,0 0 0,0 1 0,0-1 0,0 0 0,0 0 0,0 0 0,0 0 0,0 0 0,0 0 0,0 0 0,-1 0 0,1 0 0,0-1 0,-1 1 0,1 0 0,-1 0 0,1-1 0,-1 1 0,0 0 0,0-1 0,1 1 0,-1 0 0,0-1 0,0 1 0,0 0 0,0-1 0,-1 1 0,1 0 0,0-1 0,0 1 0,-1 0 0,1-1 0,-1 1 0,0 0 0,-1-5 0,-1 0 0,1 0 0,-1 0 0,-1 0 0,1 1 0,-5-6 0,8 10 0,-25-25 0,24 24 0,-1 1 0,1-1 0,-1 1 0,0 0 0,1 0 0,-1-1 0,0 1 0,0 0 0,0 1 0,0-1 0,0 0 0,0 1 0,0-1 0,0 1 0,-2-1 0,3 1 0,1 0 0,-1 0 0,1 0 0,0 0 0,-1 0 0,1 0 0,-1 0 0,1 0 0,0 1 0,-1-1 0,1 0 0,0 0 0,-1 0 0,1 1 0,0-1 0,-1 0 0,1 0 0,0 1 0,-1-1 0,1 0 0,0 0 0,0 1 0,-1-1 0,1 0 0,0 1 0,0-1 0,0 0 0,0 1 0,-1-1 0,1 1 0,0-1 0,0 0 0,0 1 0,0-1 0,0 1 0,0-1 0,0 0 0,0 1 0,0-1 0,0 1 0,0-1 0,0 0 0,0 1 0,0-1 0,1 0 0,-1 1 0,0-1 0,0 1 0,0-1 0,0 0 0,1 1 0,-1 0 0,1-1 0,-1 1 0,1 0 0,-1 0 0,1-1 0,-1 1 0,1 0 0,-1-1 0,1 1 0,0-1 0,0 1 0,-1-1 0,1 0 0,0 0 0,0 1 0,-1-1 0,1 0 0,0 1 0,0-1 0,0 0 0,-1 0 0,1 1 0,0-1 0,0 0 0,2 0 0,0-1 0,0-1 0,1 2 0,-1-2 0,0 1 0,0-1 0,-1 0 0,1 0 0,0-1 0,0 1 0,-1 0 0,1-1 0,-1 0 0,0 1 0,0-1 0,0 0 0,0 0 0,3-6 0,0-2 0,1 0 0,-2 1 0,7-25 0,-9 23 0,0 0 0,-1 1 0,0-1 0,-1-1 0,0 1 0,-1 0 0,-1 1 0,-3-17 0,1 20 0,3 18 0,1 20 0,9 23 0,2 1 0,2-2 0,3 0 0,2 0 0,3-1 0,51 91 0,-67-133 0,-4-6 0,0 0 0,1 0 0,-1 0 0,1 0 0,0 0 0,0 0 0,1 0 0,-1-1 0,0 1 0,1 0 0,-1-1 0,1 0 0,4 3 0,-7-5 0,1 0 0,-1 0 0,1-1 0,-1 1 0,1 0 0,-1 0 0,0 0 0,1 0 0,-1-1 0,1 1 0,-1 0 0,1 0 0,-1-1 0,0 1 0,1 0 0,-1-1 0,0 1 0,0 0 0,1-1 0,-1 1 0,0-1 0,0 1 0,1 0 0,-1-1 0,0 1 0,0-1 0,0 1 0,0-1 0,1 1 0,-1-1 0,0 1 0,0-1 0,0 1 0,0-1 0,0 1 0,0 0 0,0-1 0,-1 0 0,1-21 0,-3 2 0,0-1 0,-2 0 0,0 1 0,-1 0 0,-1 0 0,-1 1 0,-1 0 0,-1 0 0,0 0 0,-1 2 0,-26-32 0,35 47 0,-1-1 0,1 2 0,-1-2 0,0 1 0,1 0 0,-1 0 0,0 1 0,0-1 0,-5-2 0,7 4 0,0 0 0,0 0 0,0-1 0,0 1 0,0 0 0,0 0 0,0 0 0,0 0 0,0 0 0,0 0 0,0 0 0,0 1 0,0-1 0,0 0 0,1 0 0,-1 1 0,0-1 0,0 1 0,0-1 0,0 0 0,0 1 0,1 0 0,-1-1 0,0 1 0,0-1 0,1 1 0,-1 0 0,1 0 0,-1-1 0,0 1 0,1 0 0,-1 0 0,1 0 0,0 0 0,-1 0 0,1 1 0,32-40 0,29-57 0,-61 95 0,0 0 0,1 0 0,-1 0 0,0 0 0,0 0 0,0-1 0,1 1 0,-1 0 0,0 0 0,0 0 0,0-1 0,1 1 0,-1 0 0,0 0 0,0 0 0,1 0 0,-1 0 0,0 0 0,1 0 0,-1 0 0,0-1 0,0 1 0,1 0 0,-1 0 0,0 0 0,1 0 0,-1 0 0,0 1 0,0-1 0,1 0 0,-1 0 0,0 0 0,1 0 0,-1 0 0,0 0 0,9 10 0,6 25 0,-12-26 0,19 31 0,-21-38 0,0-1 0,1 1 0,-1-1 0,0 1 0,0-1 0,1 1 0,-1-1 0,0 0 0,1 1 0,0-1 0,-1 0 0,1 0 0,0 0 0,-1 0 0,1-1 0,0 1 0,0 0 0,0-1 0,0 1 0,0-1 0,2 1 0,-4-2-48,1 1-1,0 0 0,0-1 0,0 1 0,-1 0 1,1-1-1,0 1 0,-1-1 0,1 1 1,0-1-1,-1 0 0,1 1 0,0-1 1,-1 1-1,1-1 0,-1 0 0,0 0 1,1 1-1,-1-1 0,1 0 0,-1 0 1,0 0-1,0 1 0,1-1 0,-1 0 0,0 0 1,0-1-1,2-7-6777</inkml:trace>
  <inkml:trace contextRef="#ctx0" brushRef="#br0" timeOffset="20852.26">3700 194 24575,'0'0'0,"-1"0"0,1 0 0,0 0 0,-1 0 0,1 0 0,0 0 0,-1 0 0,1 0 0,0 0 0,-1 0 0,1 0 0,0 0 0,-1 1 0,1-1 0,0 0 0,-1 0 0,1 0 0,0 0 0,-1 0 0,1 1 0,0-1 0,-1 0 0,1 0 0,0 1 0,0-1 0,-1 0 0,1 0 0,0 1 0,0-1 0,0 0 0,0 1 0,-1-1 0,1 0 0,0 1 0,0-1 0,0 0 0,0 1 0,0-1 0,0 0 0,0 1 0,0-1 0,0 1 0,0-1 0,0 0 0,0 1 0,0-1 0,0 0 0,0 1 0,0-1 0,0 0 0,0 1 0,1-1 0,-1 0 0,0 1 0,1-1 0,7 4 0,-8-5 0,1 1 0,0 0 0,-1-1 0,1 1 0,0 0 0,-1-1 0,1 1 0,0-1 0,-1 1 0,1-1 0,-1 0 0,1 1 0,-1-1 0,1 0 0,-1 1 0,0-1 0,1-1 0,0 0 0,-1 0 0,1 0 0,-1 0 0,0 0 0,1 0 0,-1 0 0,0 0 0,-1 0 0,1 0 0,0 0 0,0 0 0,-1 0 0,0 0 0,1 0 0,-1 0 0,0 0 0,0 1 0,0-1 0,0 0 0,-2-2 0,3 3 0,-1-1 0,0 1 0,0-1 0,0 1 0,0 0 0,0-1 0,-1 1 0,1 0 0,0 0 0,-1 0 0,1 0 0,-1 0 0,1 0 0,-1 0 0,1 1 0,-1-1 0,1 0 0,-1 1 0,0-1 0,1 1 0,-1 0 0,0-1 0,0 1 0,-2 0 0,2 1 0,1-1 0,0 1 0,0 0 0,0 0 0,0-1 0,0 1 0,0 0 0,1 0 0,-1 0 0,0 0 0,0 0 0,1 0 0,-1 0 0,0 0 0,1 0 0,-1 1 0,1-1 0,-1 0 0,1 0 0,0 0 0,0 1 0,-1-1 0,1 0 0,0 0 0,0 1 0,0-1 0,1 2 0,-2-1 0,1 0 0,1 0 0,-1 1 0,0-1 0,0 1 0,1-1 0,0 1 0,-1-1 0,1 0 0,0 1 0,0-1 0,0 0 0,2 3 0,-2-4-57,0 0 0,0 0 1,0 0-1,0-1 0,0 1 0,1 0 0,-1-1 0,0 1 0,0-1 0,0 1 1,1-1-1,-1 0 0,0 1 0,0-1 0,1 0 0,-1 0 0,0 0 0,1 0 0,-1 0 1,0 0-1,0 0 0,1 0 0,1-1 0,7-3-6769</inkml:trace>
  <inkml:trace contextRef="#ctx0" brushRef="#br0" timeOffset="21148.27">3755 113 24575,'17'38'0,"6"22"0,-2-4 0,36 69 0,-57-125 0,17 28 0,-16-27 0,-1 0 0,1 0 0,-1 0 0,1-1 0,0 1 0,-1 0 0,1 0 0,0 0 0,0-1 0,-1 1 0,1-1 0,0 1 0,0 0 0,0-1 0,0 1 0,0-1 0,0 0 0,0 1 0,0-1 0,0 0 0,0 0 0,0 0 0,0 0 0,0 0 0,0 0 0,2 0 0,-3 0 0,1 0 0,0-1 0,-1 0 0,1 1 0,-1-1 0,1 0 0,-1 0 0,1 1 0,-1-1 0,1 0 0,-1 0 0,0 0 0,1 0 0,-1 0 0,0 1 0,0-1 0,0 0 0,1 0 0,-1 0 0,0 0 0,0 0 0,0 0 0,-1 0 0,1 0 0,-4-25 0,-2 7-1365,0 1-5461</inkml:trace>
  <inkml:trace contextRef="#ctx0" brushRef="#br0" timeOffset="21416.26">3819 290 24575,'0'1'0,"-2"1"0,-1 2 0,1-2 0,2-4 0,1-4 0,4-3 0,2-3 0,2 1 0,-1 2-8191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5:34.76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239 1715 24575,'-2'0'0,"-1"2"0,1 0 0,4-2 0,6-3 0,5-7 0,6-4 0,5-6 0,0 0 0,-2 3 0,-5 4 0,-5 3 0,-4 4-8191</inkml:trace>
  <inkml:trace contextRef="#ctx0" brushRef="#br0" timeOffset="-1550.02">138 939 24575,'0'-1'0,"0"0"0,0 0 0,1 0 0,-1 1 0,-1-1 0,1 0 0,0 0 0,0 0 0,0 0 0,0 1 0,-1-1 0,1 0 0,0 0 0,-1 0 0,1 1 0,-1-1 0,1 0 0,-1 0 0,1 1 0,-1-1 0,0 0 0,1 0 0,-1 1 0,0-1 0,0 1 0,1-1 0,-1 1 0,0-1 0,-1 0 0,0 1 0,1 0 0,0 0 0,-1 0 0,1 0 0,0 0 0,0 0 0,-1 1 0,1-1 0,0 0 0,0 1 0,0-1 0,-1 1 0,1-1 0,0 1 0,0 0 0,0-1 0,0 1 0,0 0 0,0 0 0,0 0 0,-1 1 0,-14 16 0,0 1 0,2 1 0,0 0 0,-19 40 0,32-60 0,1 1 0,-1-1 0,1 1 0,0-1 0,-1 1 0,1-1 0,0 1 0,-1 0 0,1-1 0,0 1 0,0 0 0,0-1 0,0 1 0,0-1 0,-1 1 0,1 0 0,0-1 0,1 1 0,-1 0 0,0-1 0,0 1 0,0 0 0,0-1 0,0 1 0,1 0 0,-1-1 0,0 1 0,0-1 0,1 1 0,-1 0 0,1-1 0,-1 1 0,0-1 0,1 1 0,-1-1 0,1 1 0,-1-1 0,1 0 0,-1 1 0,1-1 0,0 0 0,-1 1 0,1-1 0,-1 0 0,1 0 0,0 1 0,-1-1 0,1 0 0,0 0 0,-1 0 0,1 0 0,0 0 0,-1 0 0,1 0 0,0 0 0,0 0 0,8-1 0,0 0 0,0 0 0,13-4 0,-9 2 0,4 0 0,0 1 0,0 0 0,21 1 0,-34 1 0,0 0 0,-1 1 0,1-1 0,0 1 0,0-1 0,0 1 0,-1 0 0,1 1 0,0-1 0,-1 1 0,1-1 0,-1 1 0,0 0 0,1 0 0,-1 1 0,0-1 0,0 1 0,-1-1 0,1 1 0,4 5 0,-6-5 0,0-1 0,0 1 0,-1-1 0,1 1 0,0-1 0,-1 0 0,0 1 0,0-1 0,0 1 0,0-1 0,0 1 0,0 0 0,0-1 0,-1 1 0,0 0 0,1-1 0,-1 1 0,0-1 0,0 0 0,0 1 0,-1-1 0,1 0 0,0 1 0,-1-1 0,0 0 0,-3 3 0,-2 4 0,-2-1 0,0 0 0,0 0 0,-14 9 0,11-9 0,0-1 0,-17 8 0,26-14 0,1 0 0,0 0 0,-1 0 0,1 0 0,0 0 0,-1 0 0,1-1 0,-1 1 0,1-1 0,-1 0 0,1 0 0,-1 0 0,1 0 0,-1 0 0,0 0 0,1-1 0,0 1 0,-1-1 0,1 0 0,-1 0 0,-2-1 0,4 1-57,0 0 0,1 0 1,-1 1-1,0-1 0,1 0 0,-1 0 0,1 0 0,-1 0 0,1 1 0,0-1 1,-1 0-1,1 0 0,0 0 0,0 0 0,-1 0 0,1 0 0,0-1 0,0 1 0,0 0 1,0 0-1,1 0 0,-1 0 0,1-2 0,3-13-6769</inkml:trace>
  <inkml:trace contextRef="#ctx0" brushRef="#br0" timeOffset="-903.48">422 990 24575,'0'-1'0,"0"0"0,1 0 0,-1 0 0,-1 1 0,1-1 0,0 0 0,0 0 0,0 0 0,0 1 0,-1-1 0,1 0 0,0 0 0,0 0 0,-1 1 0,1-1 0,-1 0 0,1 1 0,-1-1 0,1 0 0,-1 1 0,1-1 0,-1 1 0,0-1 0,1 1 0,-1-1 0,0 1 0,1-1 0,-1 1 0,0 0 0,0-1 0,1 1 0,-1 0 0,0 0 0,0-1 0,0 1 0,1 0 0,-1 0 0,0 0 0,-1 0 0,0 0 0,0 1 0,1-1 0,-1 0 0,0 1 0,0-1 0,1 1 0,-1-1 0,0 1 0,1 0 0,-1 0 0,1 0 0,-1 0 0,1 0 0,0 0 0,-1 0 0,1 0 0,-2 3 0,1-1 0,0 1 0,0-1 0,1 0 0,-1 1 0,1 0 0,0 0 0,0 0 0,0 0 0,0 0 0,1 0 0,0 0 0,0 6 0,0-9 0,0 1 0,0-1 0,0 1 0,0-1 0,1 1 0,-1 0 0,0-1 0,1 0 0,-1 1 0,1-1 0,0 1 0,-1-1 0,1-1 0,0 2 0,0-1 0,0 0 0,0 0 0,0 0 0,0 1 0,0-1 0,0 0 0,1-1 0,-1 1 0,0 0 0,1 0 0,-1 0 0,0-1 0,1 1 0,-1-1 0,1 1 0,-1-1 0,1 0 0,-1 1 0,1-1 0,2 0 0,-2 0 0,-1 0 0,0 0 0,0-1 0,1 1 0,-1 0 0,0-1 0,1 1 0,-1-1 0,0 0 0,0 1 0,0-1 0,0 0 0,0 0 0,1 1 0,-1-1 0,-1 0 0,1 0 0,0 0 0,0 0 0,0 0 0,0-1 0,-1 1 0,1 0 0,0 1 0,-1-1 0,1-2 0,8-36 0,-6 28 0,1 13 0,-1 0 0,0 0 0,1 0 0,-1-1 0,1 1 0,0-1 0,-1 0 0,1 0 0,0 0 0,0 0 0,0-1 0,-1 1 0,1-1 0,0 0 0,0-1 0,6 0 0,-5 0 0,-1 1 0,1-1 0,-1-1 0,1 1 0,-1 0 0,0-1 0,0 0 0,0 0 0,0 0 0,0-1 0,0 0 0,0 1 0,5-6 0,-6 4 0,-1 1 0,0 0 0,0-1 0,-1 0 0,1 1 0,-1-1 0,1 0 0,-1 0 0,-1 0 0,1 0 0,0 0 0,-1 0 0,0 0 0,0 0 0,0 1 0,0-1 0,-1 0 0,0 0 0,1 0 0,-2 0 0,1 0 0,-2-5 0,-5-9 0,-1 0 0,0 0 0,-14-19 0,14 24 0,3 2 0,-1 0 0,-1 0 0,-9-9 0,17 20 0,0-1 0,-1 1 0,1 0 0,0 0 0,-1-1 0,1 1 0,-1-1 0,1 1 0,-1 0 0,1-1 0,-1 1 0,1 0 0,-1-1 0,1 1 0,-1 0 0,1 0 0,-1-1 0,1 1 0,-1 0 0,0 0 0,1 0 0,-1 0 0,1 0 0,-1 0 0,0 0 0,1 0 0,-1 0 0,0 0 0,0 1 0,1 0 0,-1-1 0,1 1 0,-1 0 0,1 0 0,0-1 0,-1 0 0,1 1 0,0 0 0,-1 0 0,1-1 0,0 1 0,0 0 0,0 0 0,0 0 0,0 1 0,5 39 0,1-18 0,1 1 0,0-1 0,2-1 0,1 1 0,1-1 0,22 33 0,-32-54-41,0 0 0,-1 1-1,1-1 1,1 0-1,-1 1 1,0-1 0,0 0-1,0 0 1,1 0 0,-1 0-1,0 0 1,1-1-1,-1 1 1,1-1 0,-1 1-1,1-1 1,-1 1 0,1-1-1,0 1 1,-1-1-1,1 0 1,0 1 0,-1-1-1,1 0 1,0 0 0,-1-1-1,1 1 1,0 0-1,-1 0 1,1-1 0,-1 1-1,3-2 1,3-1-6785</inkml:trace>
  <inkml:trace contextRef="#ctx0" brushRef="#br0" timeOffset="-531.73">670 899 24575,'0'1'0,"0"-1"0,0 1 0,0 0 0,0 0 0,0-1 0,0 1 0,0 0 0,1-1 0,-1 1 0,0 0 0,0-1 0,1 1 0,-1 0 0,0-1 0,1 1 0,-1 0 0,1-1 0,-1 1 0,1-1 0,-1 1 0,1-1 0,-1 1 0,1-1 0,-1 1 0,1-1 0,0 0 0,-1 1 0,1-1 0,0 0 0,-1 0 0,0 1 0,1-1 0,0 0 0,-1 0 0,1 0 0,0 0 0,-1 0 0,1 0 0,0 0 0,0 0 0,-1 0 0,1 0 0,0 0 0,-1-1 0,2 1 0,1-1 0,-1 1 0,0-1 0,0 0 0,-1 1 0,1-1 0,0 0 0,0 0 0,0-1 0,0 1 0,-1 0 0,1 0 0,-1-1 0,1 1 0,-1-1 0,3-3 0,-3 3 0,0 0 0,-1-1 0,1 0 0,0 1 0,-1-1 0,0 1 0,0-1 0,1 0 0,-2 1 0,1-1 0,-1-2 0,1 4 0,0 0 0,0 0 0,0 0 0,0 0 0,-1 0 0,1 0 0,0 0 0,-1 0 0,1 0 0,-1 0 0,1 0 0,-1 0 0,0 0 0,1 0 0,-1 0 0,0 1 0,1-1 0,-1 0 0,0 1 0,0-1 0,0 0 0,0 1 0,0-1 0,0 1 0,0-1 0,1 1 0,-1 0 0,-1-1 0,1 1 0,0 0 0,-1 0 0,1 0 0,-1 0 0,1 1 0,0-1 0,-1 1 0,1-1 0,0 1 0,-1 0 0,1 0 0,0-1 0,0 1 0,0 0 0,0 0 0,0 0 0,0 0 0,0 0 0,0 0 0,0 1 0,0-1 0,1 0 0,-1 0 0,1 1 0,0-1 0,-1 0 0,1 1 0,-1 0 0,-9 36 0,9-33 0,1-1 0,-1 0 0,1 1 0,0-1 0,0 1 0,0-2 0,0 2 0,3 7 0,-3-11 0,1 1 0,-1-1 0,1 0 0,0 1 0,0-1 0,0 0 0,0 0 0,0 0 0,0 0 0,0 0 0,0 0 0,0 0 0,-1 0 0,1 0 0,1 0 0,-1-1 0,0 1 0,1 0 0,-1-1 0,0 1 0,1-1 0,-1 0 0,1 1 0,-1-1 0,1 0 0,-1 0 0,1 0 0,-1 0 0,3 0 0,0-1-57,0 1 0,0 0 1,0-1-1,1 0 0,-1 0 0,-1 0 0,1 0 0,0-1 0,0 1 0,0-1 0,-1 0 1,1 0-1,-1-1 0,1 1 0,-1-1 0,0 1 0,0-1 0,0 0 0,-1 0 1,1-1-1,-1 1 0,1 1 0,2-8 0,-1-1-6769</inkml:trace>
  <inkml:trace contextRef="#ctx0" brushRef="#br0" timeOffset="703.27">682 1292 24575,'0'-1'0,"0"1"0,0 0 0,0 0 0,0-1 0,0 1 0,0 0 0,0 0 0,0 0 0,-1-1 0,1 1 0,0 0 0,0 0 0,0 0 0,0-1 0,0 1 0,0 0 0,0 0 0,0 0 0,0 0 0,-1-1 0,1 1 0,0 0 0,0 0 0,-1 0 0,1 0 0,0 0 0,0 0 0,-1 0 0,1 0 0,0 0 0,0 0 0,-1 0 0,1 0 0,0 0 0,0 0 0,-1 0 0,1 0 0,0 0 0,0 0 0,-1 0 0,1 0 0,0 0 0,0 1 0,0-1 0,-1 0 0,1 0 0,0 0 0,0 0 0,-1 1 0,-14 7 0,13-7 0,-6 3 0,-50 25 0,53-28 0,1 1 0,-1 0 0,0-1 0,0 0 0,0 0 0,0 0 0,0-1 0,0 1 0,0-1 0,-8-1 0,11 0 0,0 0 0,1 0 0,-1 1 0,0-1 0,1 0 0,-1 0 0,1 0 0,-1-1 0,1 1 0,-1 0 0,1 0 0,0-1 0,0 1 0,0-1 0,0 1 0,-1-3 0,1 4 0,1-1 0,0 1 0,-1-1 0,1 1 0,0-1 0,0 1 0,-1-1 0,1 1 0,0 0 0,0-1 0,0 1 0,0-1 0,0 1 0,0-1 0,0 0 0,0 1 0,0-1 0,0 1 0,0-1 0,0 0 0,0 1 0,0-1 0,1 1 0,-1-1 0,0 1 0,0-1 0,1 1 0,-1-1 0,0 1 0,1-1 0,-1 1 0,0-1 0,1 1 0,-1-1 0,1 1 0,-1 0 0,1-1 0,-1 1 0,1 0 0,-1-1 0,1 1 0,-1 0 0,1 0 0,-1 0 0,1-1 0,0 1 0,-1 0 0,1 0 0,-1 0 0,1 0 0,0 0 0,1 0 0,0 0 0,0 0 0,-1 1 0,1-1 0,0 1 0,0-1 0,-1 1 0,1-1 0,0 1 0,-1 0 0,1 0 0,-1 0 0,1 0 0,-1 0 0,1 0 0,-1 0 0,0 0 0,0 1 0,1-1 0,-1 0 0,0 0 0,1 3 0,21 37 0,-23-40 0,15 35 0,14 50 0,-19-50 0,27 59 0,-36-93 0,0 0 0,0 0 0,0 1 0,0-1 0,1 0 0,-1 0 0,0 0 0,1 0 0,0 0 0,-1-2 0,1 2 0,-1 0 0,1-1 0,0 1 0,0-1 0,0 0 0,1 0 0,-1 0 0,3 2 0,-3-3 0,0 0 0,1-1 0,-1 1 0,0 0 0,0-1 0,0 1 0,0-1 0,0 1 0,1-1 0,-1 0 0,0 0 0,-1 0 0,1 0 0,0 0 0,0-1 0,0 1 0,-1 0 0,1 0 0,-1 0 0,1-1 0,1-3 0,2 0 20,0-1 0,-1 0 0,1 0 0,-2 0 0,7-13 0,-9 16-126,1-1 0,-1 2 0,0-2 0,-1 1 0,1-1 0,0 0-1,-1 1 1,0-1 0,0 0 0,0 1 0,0-1 0,-1 0 0,-1-5 0,-3-5-6720</inkml:trace>
  <inkml:trace contextRef="#ctx0" brushRef="#br0" timeOffset="843.72">687 1512 24575,'-2'2'-8525,"-2"2"8525,-1 0 3692,1-2-3692,5-5 1469,2-4-1469,2-2 785,-1-3-785,2 1-5612</inkml:trace>
  <inkml:trace contextRef="#ctx0" brushRef="#br0" timeOffset="1233.84">783 1373 24575,'2'-1'0,"0"1"0,0-1 0,0 1 0,0-1 0,0 1 0,0 0 0,0 0 0,0 0 0,0 0 0,0 0 0,3 1 0,22 4 0,-22-3 0,1-2 0,-1 2 0,1-2 0,-1 1 0,1 0 0,-1-1 0,1 0 0,-1 0 0,1-1 0,6-1 0,-11 2 0,0-1 0,-1 1 0,1 0 0,0 0 0,0-1 0,-1 1 0,1-1 0,0 0 0,-1 1 0,1-1 0,-1 0 0,1 1 0,-1-1 0,1 0 0,-1 0 0,0 0 0,1 1 0,-1-1 0,0 0 0,0 0 0,0 0 0,1 0 0,-1 0 0,0 1 0,0-1 0,0 0 0,0 0 0,0 0 0,-1 0 0,1 0 0,0 0 0,0 1 0,0-1 0,-1 0 0,1 0 0,-1 0 0,1 1 0,-1-2 0,0 1 0,1 0 0,0 1 0,0-1 0,-1 0 0,1 1 0,-1-1 0,1 0 0,-1 1 0,1-1 0,-1 1 0,1-1 0,-1 1 0,0-1 0,1 1 0,-1 0 0,1-1 0,-1 1 0,0 0 0,0-1 0,1 1 0,-1 0 0,0 0 0,1 0 0,-1-1 0,0 1 0,0 0 0,1 0 0,-1 0 0,0 0 0,0 0 0,1 1 0,-1-1 0,0 0 0,0 0 0,1 0 0,-1 1 0,0-1 0,1 0 0,-1 1 0,0-1 0,1 0 0,-1 1 0,1-1 0,-1 1 0,0 0 0,-2 3 0,0-1 0,1 1 0,0 0 0,0 0 0,0 0 0,0 0 0,1 0 0,-1-1 0,1 1 0,-1 9 0,1-10 0,1-1 0,-1 1 0,1 0 0,0 0 0,0 0 0,0 0 0,0 0 0,0-1 0,1 1 0,0 0 0,-1 0 0,1-1 0,0 1 0,0 0 0,0-1 0,1 1 0,2 2 0,-4-4-57,1-1 0,-1 1 1,1-1-1,-1 1 0,1-1 0,-1 0 0,1 1 0,0-1 0,-1 0 0,1 1 0,0-1 1,-1 0-1,1 0 0,0 0 0,-1 0 0,1 1 0,0-1 0,-1 0 0,1 0 1,0 0-1,-1-1 0,1 1 0,1 0 0,7-3-6769</inkml:trace>
  <inkml:trace contextRef="#ctx0" brushRef="#br0" timeOffset="1719.04">967 1228 24575,'61'131'0,"34"60"0,-85-178 0,-8-21 0,-10-26 0,-14-13 0,-50-77 0,24 45 0,35 59 0,10 17 0,-1-2 0,1 1 0,1-1 0,-1 0 0,1 0 0,0 0 0,0 0 0,0 0 0,-1-7 0,3 12 0,0-1 0,1 1 0,-1-1 0,0 1 0,1-1 0,-1 1 0,0 0 0,1-1 0,-1 1 0,1-1 0,-1 1 0,1 0 0,-1 0 0,0-1 0,1 1 0,-1 0 0,1 0 0,-1-1 0,1 1 0,-1 0 0,1 0 0,0 0 0,-1 0 0,1 0 0,-1 0 0,1 0 0,-1 0 0,1 0 0,-1 0 0,1 0 0,0 0 0,21 2 0,-22-2 0,4 1 8,-1 0 0,0 0 0,0 0 0,0 0 0,0 0 0,0 1 0,0-1 0,0 1 0,-1 0 0,1-1 0,0 2 0,-1-1 0,0 0 0,3 3 0,-3-3-61,-1-1 0,0 0 0,0 1 0,0-1 0,0 1 0,-1-1 0,1 1 0,0 0 0,-1-1 0,1 1 0,-1 0 0,1 0 0,-1-1-1,0 1 1,0 0 0,0 0 0,0-1 0,0 1 0,0-1 0,0 1 0,-1-1 0,1 1 0,-1 0 0,1-1 0,-1 1 0,0 0 0,-1 2 0</inkml:trace>
  <inkml:trace contextRef="#ctx0" brushRef="#br0" timeOffset="2046.38">1338 836 24575,'-13'-1'0,"12"1"0,0 0 0,0-1 0,0 1 0,0 0 0,0 0 0,0 0 0,0 0 0,0 0 0,0 0 0,1 0 0,-1 0 0,0 0 0,0 0 0,0 1 0,0-1 0,0 0 0,0 1 0,0-1 0,0 1 0,1-1 0,-1 1 0,0-1 0,0 1 0,0-1 0,1 1 0,-1 0 0,0-1 0,1 1 0,-1 0 0,1 0 0,-1-1 0,1 1 0,-1 0 0,1 0 0,0 0 0,-1 0 0,1 0 0,0 0 0,0 0 0,-1 0 0,1 0 0,0-1 0,0 1 0,0 0 0,0 2 0,-3 17 0,1 0 0,1 37 0,1-50 0,0 0 0,1 1 0,0-1 0,0 0 0,1-1 0,0 2 0,0-1 0,1-1 0,0 1 0,0 0 0,6 8 0,-6-12 5,-1 0-1,1 0 1,0-2 0,0 2-1,0-1 1,0 0-1,0 0 1,1 0 0,-1 0-1,1-1 1,-1 1 0,1-1-1,-1 0 1,1 0-1,0 0 1,0 0 0,0-1-1,-1 1 1,1-1-1,0 0 1,0-1 0,0 1-1,0 0 1,-1-1-1,8-2 1,-6 2-83,0-1 0,0 0 0,0 0-1,-1 0 1,1-1 0,0 1 0,-1-1 0,1 1 0,-1-1-1,0-1 1,0 1 0,-1-1 0,1 0 0,-1 0 0,1 0-1,-1-1 1,0 1 0,2-6 0,1-7-6748</inkml:trace>
  <inkml:trace contextRef="#ctx0" brushRef="#br0" timeOffset="2500.91">1489 764 24575,'0'3'0,"1"1"0,-1-1 0,1 1 0,0-1 0,0 1 0,0-1 0,1 0 0,-1 1 0,1-1 0,2 2 0,23 33 0,-15-22 0,0-2 0,-8-10 0,0 1 0,0 0 0,0 0 0,-1 0 0,0 0 0,0 1 0,4 9 0,-7-15 0,0 0 0,0 0 0,0 0 0,0 0 0,0 0 0,0 0 0,0 0 0,0 0 0,0 1 0,0-1 0,0 0 0,0 0 0,0 0 0,0 0 0,0 0 0,0 0 0,0 0 0,0 0 0,0 1 0,-1-1 0,1 0 0,0 0 0,0 0 0,0 0 0,0 0 0,0 0 0,0 0 0,0 0 0,0 0 0,0 0 0,0 0 0,0 1 0,0-1 0,0 0 0,-1 0 0,1 0 0,0 0 0,0 0 0,0 0 0,0 0 0,0 0 0,0 0 0,0 0 0,0 0 0,-1 0 0,1 0 0,0 0 0,0 0 0,0 0 0,0 0 0,0 0 0,0 0 0,0 0 0,0 0 0,-1 0 0,-8-5 0,-7-6 0,7 1 0,0 0 0,1-1 0,1 0 0,0 1 0,0-1 0,1-1 0,0 0 0,1 0 0,-6-21 0,3-1 0,0 2 0,-3-52 0,10 72 0,-2-47 0,3 55 0,0 1 0,0 0 0,1 0 0,-1 0 0,1 0 0,0 0 0,-1-1 0,2 1 0,-1 0 0,0 0 0,1 0 0,-1 0 0,1 0 0,2-3 0,-3 5 0,0 1 0,0-1 0,0 1 0,0-1 0,0 1 0,0 0 0,-1-1 0,1 1 0,0 0 0,0 0 0,0 0 0,0 0 0,0-1 0,0 1 0,0 1 0,0-1 0,0 0 0,0 0 0,0 0 0,0 0 0,0 1 0,0-1 0,0 0 0,0 1 0,0-1 0,0 1 0,-1-1 0,1 1 0,0-1 0,0 1 0,-1 0 0,1-1 0,0 1 0,-1 0 0,1 0 0,0-1 0,0 2 0,23 31 0,-19-23-85,0-1 0,-1 1-1,0-1 1,0 1 0,-1 0-1,0-1 1,-1 2 0,0-1-1,-1 1 1,0-1 0,-1 1-1,0-2 1,0 2 0,-1-1-1,-5 21 1</inkml:trace>
  <inkml:trace contextRef="#ctx0" brushRef="#br0" timeOffset="2750.76">1745 696 24575,'0'0'0,"2"-3"0,5-5 0,5-3 0,5-2 0,3-4 0,5-1 0,4 0 0,2-2 0,-1 1 0,-5 2 0,-6 3 0,-5 0 0,-6 3-8191</inkml:trace>
  <inkml:trace contextRef="#ctx0" brushRef="#br0" timeOffset="2986.88">1892 516 24575,'2'3'0,"1"4"0,4 2 0,1 0 0,1 0 0,1 0 0,0-1 0,1-2 0,-1-2 0,-1-1-8191</inkml:trace>
  <inkml:trace contextRef="#ctx0" brushRef="#br0" timeOffset="3280.83">2102 420 24575,'0'-1'0,"2"-2"0,3-1 0,1-3 0,2 1 0,2-3 0,0 2 0,3 0 0,-1 1 0,0 1 0,-2 1 0,-1 0 0,1 0 0,-1 2-8191</inkml:trace>
  <inkml:trace contextRef="#ctx0" brushRef="#br0" timeOffset="3423.15">2345 289 24575,'2'0'0,"1"0"0,2-2 0,1-2 0,0 1 0,-1-3 0,2-1 0</inkml:trace>
  <inkml:trace contextRef="#ctx0" brushRef="#br0" timeOffset="3597.34">2496 200 24575,'1'-2'0,"3"-1"0,2-1 0,1-3 0,1 0 0,1 0 0,-1 0-8191</inkml:trace>
  <inkml:trace contextRef="#ctx0" brushRef="#br0" timeOffset="4048.38">2477 24 24575,'1'-1'0,"-1"0"0,1 0 0,-1 0 0,1 0 0,-1 0 0,1 0 0,0 0 0,-1 0 0,1 0 0,0 0 0,0 0 0,0 1 0,-1-1 0,1 0 0,0 1 0,0-1 0,0 0 0,0 1 0,0-1 0,1 1 0,-1 0 0,0-1 0,0 1 0,0 0 0,0-1 0,3 1 0,31-4 0,-26 4 0,-1 1 0,1 0 0,-1 1 0,0 0 0,1 0 0,-1 1 0,0 0 0,0 0 0,-1 1 0,1 0 0,-1 0 0,0-1 0,0 2 0,0 1 0,0-1 0,-1 1 0,11 13 0,-13-15 0,0 1 0,-1 0 0,0 0 0,1-1 0,-2 1 0,1 1 0,-1-1 0,1 1 0,-1 0 0,-1-1 0,1 1 0,-1 0 0,0 0 0,-1 0 0,1 0 0,-1-1 0,0 1 0,-1 0 0,1 0 0,-1 0 0,-1 0 0,1 0 0,-1 0 0,0-1 0,0 1 0,-3 4 0,-2 2-341,-1-2 0,0 1-1,-14 14 1,-4 0-6485</inkml:trace>
  <inkml:trace contextRef="#ctx0" brushRef="#br0" timeOffset="7533.23">824 1941 24575,'0'1'0,"0"-1"0,0 0 0,-1 0 0,1 0 0,0 0 0,-1 0 0,1 1 0,0-1 0,0 0 0,-1 0 0,1 1 0,0-1 0,0 0 0,0 0 0,-1 1 0,1-1 0,0 0 0,0 1 0,0-1 0,0 0 0,0 1 0,0-1 0,0 0 0,0 0 0,0 1 0,-1-1 0,1 0 0,0 1 0,1-1 0,-1 0 0,0 1 0,0-1 0,0 0 0,0 1 0,0-1 0,0 0 0,0 1 0,0-1 0,0 0 0,1 1 0,-1-1 0,0 0 0,0 0 0,0 1 0,1-1 0,-1 0 0,0 0 0,0 0 0,1 1 0,-1-1 0,0 0 0,1 0 0,-1 0 0,0 0 0,0 0 0,1 0 0,-1 0 0,0 0 0,1 0 0,1 0 0,0 1 0,0-1 0,0 0 0,0 0 0,0 0 0,0 0 0,0 0 0,0 0 0,3-1 0,2-1 0,1-1 0,-1 0 0,0-1 0,0 0 0,0-1 0,0 1 0,-1-1 0,7-7 0,47-51 0,-42 42 0,144-159 0,152-164 0,20 25 0,-292 284-1365,-15 15-5461</inkml:trace>
  <inkml:trace contextRef="#ctx0" brushRef="#br0" timeOffset="8199.9">1475 1715 24575,'0'0'0,"0"0"0,0 0 0,0-1 0,0 1 0,-1 0 0,1 0 0,0-1 0,0 1 0,0 0 0,0 0 0,0 0 0,-1 0 0,1-1 0,0 1 0,0 0 0,-1 0 0,1 0 0,0 0 0,0 0 0,0-1 0,-1 1 0,1 0 0,0 0 0,0 0 0,-1 0 0,1 0 0,0 0 0,0 0 0,-1 0 0,1 0 0,0 0 0,-1 0 0,1 0 0,0 0 0,-1 0 0,2 10 0,9 16 0,105 139 0,-43-65 0,-25-30 0,-14-18 0,49 56 0,-264-289 0,74 78 0,73 69 0,-65-68 0,83 83 0,1-2 0,1 1 0,-18-34 0,31 51 0,1 1 0,-1-1 0,1 1 0,0-1 0,0 0 0,0 0 0,0 0 0,1 0 0,-1 0 0,1 0 0,0 0 0,0 0 0,0 0 0,1-5 0,-1 6 0,1 0 0,0 1 0,0-1 0,0 0 0,0 1 0,0 0 0,0-1 0,0 1 0,1-1 0,-1 1 0,0 0 0,1 0 0,-1 0 0,1 0 0,-1 0 0,1 0 0,0 0 0,-1 1 0,1-1 0,0 0 0,-1 1 0,1 0 0,0 0 0,0 0 0,3-1 0,4 0 0,0 1 0,0-1 0,0 2 0,0-1 0,0 1 0,1 0 0,-2 0 0,1 1 0,0 1 0,0 0 0,-1 0 0,1 0 0,-1 1 0,0 1 0,0-1 0,-1 1 0,1 1 0,-1-1 0,0 1 0,8 9 0,-10-10 0,1 1 0,-1 1 0,-1 0 0,1 0 0,-1 0 0,0 0 0,-1 1 0,0-1 0,0 0 0,0 1 0,-1 0 0,0 0 0,-1 0 0,0 1 0,0-1 0,-1 0 0,0-1 0,0 2 0,-1-1 0,0 0 0,0 0 0,-5 13 0,5-17 17,0-1 0,-1 0 1,0 1-1,0-1 0,0 1 0,-5 6 0,6-10-45,1 1 0,0-1 0,-1 1 0,1-1 0,-1 1 0,1-1 0,0 0 0,-1 1 0,1-1 0,-1 0 0,1 1 0,-1-1 0,0 0 0,1 1 0,-1-1 0,1 0 0,-1 0 0,0 0 0,1 0 0,-1 0 0,1 0 0,-1 0 0,0 0 0,1 0 0,-1 0 0,1 0-1,-1 0 1,0 0 0,1 0 0,-1 0 0,1-1 0,-1 1 0,1 0 0,-1 0 0,0-1 0,1 1 0,-1 0 0,1-1 0,-1 1 0,1-1 0,0 1 0,-1 0 0,1-1 0,-1 1 0,1-1 0,0 1 0,-1-1 0,1 1 0,0-1 0,0 0 0,-1 1 0,1-2 0,-5-9-6798</inkml:trace>
  <inkml:trace contextRef="#ctx0" brushRef="#br0" timeOffset="8544.79">1704 1810 24575,'0'-1'0,"0"0"0,1 1 0,-1-1 0,0 0 0,0 0 0,1 0 0,-1 0 0,1 0 0,-1 0 0,1 0 0,-1 1 0,1-1 0,-1 0 0,1 0 0,0 1 0,-1-1 0,1 0 0,0 1 0,-1-1 0,1 1 0,0-1 0,0 1 0,0-1 0,0 1 0,0-1 0,-1 1 0,1 0 0,0-1 0,0 1 0,0 0 0,0 0 0,0 0 0,0 0 0,0 0 0,1 0 0,4 0 0,-1 0 0,0 0 0,1 1 0,-1 0 0,6 1 0,-4 0 0,0 0 0,0 1 0,0 0 0,0 0 0,-1 1 0,1 0 0,-1 0 0,0 0 0,0 0 0,0 1 0,0 0 0,-1 0 0,0 1 0,0 0 0,-1 0 0,0 0 0,0 0 0,0 1 0,0-1 0,-1 0 0,-1 1 0,1 0 0,-1 1 0,3 12 0,-7-3 0,2-17 0,0 0 0,0 1 0,-1-1 0,1 0 0,0 0 0,0 0 0,0 1 0,0-1 0,-1 0 0,1 0 0,0 0 0,0 0 0,-1 1 0,1-1 0,0 0 0,0 0 0,-1 0 0,1 0 0,0 0 0,0 0 0,-1 0 0,1 0 0,0 0 0,-1 0 0,1 0 0,0 0 0,0 0 0,-1 0 0,1 0 0,-1 0 0,0-1 0,-1 1 0,1-1 0,0 0 0,-1 0 0,1 0 0,0 0 0,-1 0 0,1 0 0,0-1 0,0 1 0,0 0 0,0-1 0,0 1 0,-1-3 0,-6-13 0,1 1 0,1 0 0,0-1 0,1 0 0,1-1 0,1 2 0,0-2 0,0-25 0,3 40-65,0 0 0,0 1 0,0-1 0,1 0 0,-1 0 0,1 0 0,-1 1 0,1-1 0,0 0 0,0 1 0,0-1 0,1 0 0,-1 1 0,1 0 0,-1-1 0,1 1 0,0 0 0,0 0 0,0 0 0,4-4 0,3 3-6761</inkml:trace>
  <inkml:trace contextRef="#ctx0" brushRef="#br0" timeOffset="9486.72">1924 1589 24575,'-2'0'0,"0"0"0,0-1 0,0 1 0,0 1 0,1-1 0,-1 0 0,0 0 0,0 1 0,0-1 0,0 1 0,0 0 0,0-1 0,1 1 0,-1 0 0,0 0 0,1 0 0,-1 0 0,0 0 0,1 1 0,-1-1 0,1 0 0,0 1 0,0-1 0,-1 1 0,1 0 0,0-1 0,0 1 0,0 0 0,0-1 0,1 1 0,-1 0 0,0 0 0,1 0 0,0 0 0,-1 0 0,1 0 0,0 3 0,-1 2 0,0 1 0,1 0 0,0 0 0,1 0 0,0 0 0,2 8 0,-3-14 0,0-1 0,0 1 0,1 0 0,-1 0 0,1 0 0,0 0 0,0 0 0,-1 0 0,1 0 0,0-1 0,0 1 0,1 0 0,-1-1 0,0 1 0,1-1 0,-1 1 0,1-1 0,-1 0 0,1 1 0,-1-1 0,1 0 0,0 0 0,0 0 0,-1 0 0,1-1 0,0 1 0,0 0 0,0-1 0,4 1 0,-6-1 0,1 0 0,0 0 0,0 0 0,0 0 0,0-1 0,0 1 0,0 0 0,0 0 0,-1-1 0,1 1 0,0-1 0,0 1 0,0-1 0,-1 1 0,1-1 0,0 1 0,-1-1 0,1 0 0,0 1 0,-1-1 0,1 0 0,-1 0 0,1 1 0,-1-1 0,1 0 0,-1 0 0,0 0 0,1 0 0,-1 1 0,0-1 0,0 0 0,1 0 0,-1 0 0,0 0 0,0 0 0,0 0 0,0 0 0,0 0 0,-1 0 0,1-1 0,-1-3 0,1 1 0,-1 0 0,0-1 0,0 1 0,-1-1 0,-3-6 0,-4-7 0,6 15 0,1-1 0,0 1 0,0-1 0,0 0 0,0 0 0,0 1 0,1-1 0,0-1 0,0 1 0,0 0 0,0 0 0,1-1 0,0 1 0,0 0 0,1-9 0,1 6 0,-1 0 0,0 1 0,0-2 0,0 1 0,-1 0 0,0-1 0,0 1 0,-1 0 0,1-1 0,-2 2 0,1-1 0,-1 0 0,0-1 0,-4-6 0,-5-6 0,-18-22 0,13 19 0,52 72 0,77 76 0,-67-76 0,-45-48 0,77 86 0,154 127 0,-227-210 0,22 16 0,-27-19 0,1 0 0,0-1 0,0 1 0,0 0 0,0-1 0,0 1 0,0-1 0,0 0 0,0 1 0,0-1 0,0 0 0,0 1 0,0-1 0,0 0 0,0 0 0,0 0 0,0 0 0,1 0 0,-1 0 0,0 0 0,2-1 0,-3 0 0,0 1 0,1-1 0,-1 0 0,0 0 0,1 1 0,-1-1 0,0 0 0,0 0 0,0 0 0,0 0 0,0 1 0,0-1 0,0 0 0,0 0 0,0 0 0,0 0 0,0 1 0,0-1 0,-1 0 0,1 0 0,0 0 0,-1 1 0,1-1 0,-1 0 0,0 0 0,-13-25 0,12 23 0,-21-34 0,-2 3 0,-2-1 0,-1 2 0,-1 1 0,-2 2 0,-59-46 0,84 72 0,0 0 0,0 0 0,-1 0 0,1 1 0,-12-4 0,17 7 0,0-1 0,0 1 0,1 0 0,-1-1 0,0 1 0,0 0 0,0 0 0,0 0 0,0 0 0,0 0 0,0 0 0,0 0 0,0 0 0,0 0 0,0 0 0,1 0 0,-1 1 0,0-1 0,0 0 0,0 1 0,0-1 0,0 0 0,1 1 0,-1-1 0,0 1 0,0-1 0,1 1 0,-1 0 0,0-1 0,1 1 0,-1 0 0,0 0 0,1-1 0,-1 1 0,1 0 0,-1 0 0,1 0 0,0-1 0,-1 1 0,1 0 0,0 0 0,0 0 0,0 0 0,-1 0 0,1 0 0,0 0 0,0 0 0,0 0 0,0 0 0,1 0 0,-1-1 0,0 3 0,0-3 0,0 1 0,0 0 0,0 0 0,0-1 0,0 1 0,0 0 0,0 0 0,0 0 0,0-1 0,0 1 0,0 0 0,0 0 0,1-1 0,-1 1 0,0 0 0,1 0 0,-1-1 0,0 1 0,1 0 0,-1-1 0,1 1 0,-1 0 0,1-1 0,-1 1 0,1-1 0,0 1 0,-1-1 0,1 1 0,0-1 0,-1 0 0,1 1 0,0-1 0,-1 0 0,1 0 0,0 0 0,0 0 0,-1 0 0,1 0 0,0 0 0,0 0 0,0 0 0,-1 0 0,1 0 0,0 0 0,1 0 0,0 0 0,0-1 0,0 1 0,0-1 0,0 0 0,0-1 0,0 1 0,-1 0 0,1 0 0,0-1 0,-1 1 0,1-1 0,-1 0 0,1 1 0,-1-1 0,2-3 0,1-5 0,-1 0 0,1 0 0,-2 0 0,1 0 0,-2 0 0,1-1 0,-1 1 0,-1-15 0,2-10 0,-2 34 0,-1 1 0,1-1 0,0 1 0,0-1 0,0 1 0,0-1 0,0 1 0,0-1 0,0 1 0,0-1 0,0 1 0,1-1 0,-1 1 0,0-1 0,0 1 0,0-1 0,1 1 0,-1-1 0,0 1 0,0-1 0,1 1 0,-1-1 0,0 1 0,1 0 0,-1-1 0,1 1 0,-1 0 0,0-1 0,1 1 0,-1 0 0,1-1 0,-1 1 0,1 0 0,-1 0 0,1 0 0,-1-1 0,1 1 0,-1 0 0,1 0 0,-1 0 0,1 0 0,-1 0 0,1 0 0,-1 0 0,1 0 0,-1 0 0,1 0 0,-1 0 0,1 1 0,0-1 0,-1 0 0,0 0 0,1 0 0,-1 1 0,1-1 0,-1 0 0,1 1 0,-1-1 0,1 1 0,6 3 0,-1 2 0,0-1 0,8 9 0,0-1 0,-9-9 24,1-1 0,0 1 0,0-1 0,13 6 0,-18-9-36,0 1 0,1-1 1,-1 0-1,0 0 0,0 1 0,0-1 0,0 0 0,0 0 1,1 0-1,-1 0 0,0 0 0,0 0 0,0-1 0,0 1 1,0 0-1,2-1 0,-3 1-37,1-1-1,0 0 1,-1 1-1,1-1 1,-1 0 0,1 1-1,-1-1 1,1 0 0,-1 1-1,0-1 1,1 0-1,-1 0 1,0 0 0,0 1-1,1-1 1,-1 0-1,0 0 1,0 0 0,0 0-1,0 1 1,0-1-1,0 0 1,0 1 0,-1-1-1,1-1 1,-2-9-6777</inkml:trace>
  <inkml:trace contextRef="#ctx0" brushRef="#br0" timeOffset="10032.79">2020 1292 24575,'0'0'0,"0"0"0,-1 0 0,1 0 0,-1 0 0,1 0 0,0 0 0,-1 1 0,1-1 0,0 0 0,-1 0 0,1 0 0,0 1 0,0-1 0,-1 0 0,1 0 0,0 1 0,0-1 0,-1 0 0,1 1 0,0-1 0,0 0 0,0 1 0,-1-1 0,1 0 0,0 1 0,0-1 0,0 0 0,0 1 0,0-1 0,0 1 0,0-1 0,0 0 0,0 1 0,0-1 0,0 0 0,0 1 0,0-1 0,0 0 0,0 1 0,0-1 0,1 1 0,-1-1 0,0 0 0,0 1 0,0-1 0,0 0 0,1 1 0,-1-1 0,11 17 0,-11-17 0,1 1 0,0 0 0,0-1 0,0 1 0,0-1 0,0 1 0,-1-1 0,1 1 0,0-1 0,0 1 0,0-1 0,0 0 0,1 0 0,-1 0 0,0 1 0,0-1 0,-1 0 0,1 0 0,1-1 0,-1 1 0,0 0 0,0-1 0,-1 1 0,1 0 0,-1-1 0,1 1 0,0-1 0,-1 1 0,1-1 0,-1 1 0,1-1 0,-1 1 0,1-1 0,-1 1 0,0-1 0,1 0 0,-1 1 0,0-1 0,1 0 0,-1 1 0,0-2 0,1 0 0,-1 1 0,0 0 0,1-1 0,-1 0 0,0 1 0,0-1 0,0 0 0,-1 0 0,1 1 0,0-1 0,-1 0 0,1 1 0,-1-1 0,1 0 0,-1 1 0,0-1 0,0 1 0,0-1 0,0 1 0,0-1 0,0 1 0,0 0 0,-1-2 0,1 2 0,0 0 0,1 1 0,-1-1 0,1 1 0,-1-1 0,0 0 0,1 1 0,-1-1 0,0 1 0,0 0 0,0-1 0,0 1 0,0 0 0,0 0 0,0-1 0,0 1 0,0 0 0,0 0 0,0 0 0,0 0 0,1 0 0,-1 0 0,0 0 0,0 1 0,0-1 0,0 0 0,0 0 0,0 1 0,0-1 0,0 1 0,0-1 0,1 1 0,-1-1 0,0 1 0,0-1 0,0 1 0,1 0 0,-1-1 0,0 1 0,1 0 0,-1 0 0,1-1 0,-1 1 0,1 0 0,-1 0 0,1 0 0,-1 2 0,1-2 0,-1 1 0,1-1 0,-1 1 0,1-1 0,0 1 0,0-1 0,0 1 0,0 0 0,0-1 0,0 1 0,0-1 0,0 1 0,1-1 0,-1 1 0,0 0 0,1-1 0,0 0 0,-1 0 0,1 0 0,0 1 0,0-1 0,-1 0 0,1 1 0,0-1 0,0 0 0,1 0 0,-1 0 0,0 0 0,0 0 0,1 0 0,1 1 0,-1-1 0,1 0 0,1 0 0,-1 0 0,0-1 0,0 1 0,-1-1 0,1 0 0,0 1 0,1-2 0,-1 1 0,0 0 0,0-1 0,0 1 0,0-1 0,0 0 0,0 0 0,0 0 0,0 0 0,0-1 0,0 1 0,0-1 0,-1 0 0,1 0 0,-1 0 0,3-2 0,-1 2 0,-1-1 0,1-1 0,-1 1 0,0-1 0,0 1 0,0-1 0,0 0 0,-1 0 0,0 0 0,0-1 0,0 1 0,0 0 0,-1-1 0,1 1 0,-1-1 0,1-6 0,-2 8 0,-1 1 0,1-1 0,0 1 0,-1-1 0,0 0 0,1 1 0,-1-1 0,0 1 0,0 0 0,-1-1 0,1 1 0,0 0 0,-1 0 0,1 0 0,-1 0 0,0 0 0,0 0 0,0 0 0,-4-3 0,7 9 0,0-1 0,0 0 0,0 0 0,1 0 0,-1 0 0,1 0 0,2 4 0,15 18 0,145 187 0,-158-205 0,-4-4 0,0 0 0,0-1 0,1 1 0,-1-1 0,1 1 0,-1-1 0,1 0 0,0 0 0,0 0 0,0 0 0,0 0 0,0-1 0,7 3 0,-10-4-34,1 0 0,-1 0 0,1 0 0,-1-1 0,0 1-1,1 0 1,-1 0 0,1 0 0,-1 0 0,0-1 0,1 1 0,-1 0 0,1 0-1,-1-1 1,0 1 0,1 0 0,-1-1 0,0 1 0,0 0 0,1-1-1,-1 1 1,0 0 0,0-1 0,1 1 0,-1-1 0,0 1 0,0 0 0,0-1-1,0 1 1,0-1 0,0 1 0,0-1 0,0 1 0,0 0 0,0-1 0,0 1-1,0-1 1,0 1 0,0-1 0,-1-11-6792</inkml:trace>
  <inkml:trace contextRef="#ctx0" brushRef="#br0" timeOffset="10234.84">2203 1341 24575,'-3'3'0,"0"3"0,1 0 0,4-4 0,4-8 0,5-8 0,3-6 0,0-2 0,0-3 0,0 3 0,-1 3 0,-2 4 0,-2 2 0,-3 3-8191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5:45.971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188 186 24575,'-5'-1'0,"3"8"0,2 12 0,11 45 0,23 80 0,6 27 0,-62-230 0,2-5 0,4-1 0,3-1 0,2 0 0,-3-100 0,13 157 0,1 0 0,1 0 0,0 0 0,0 0 0,0 0 0,4-12 0,-4 20 0,-1-1 0,1 0 0,0 1 0,0-1 0,0 1 0,-1-1 0,1 1 0,0-1 0,1 1 0,-1 0 0,0 0 0,0-1 0,1 1 0,-1 0 0,0 0 0,1 0 0,-1 0 0,1 1 0,0-1 0,-1 0 0,1 1 0,-1-1 0,1 1 0,0-1 0,0 1 0,-1 0 0,1 0 0,0-1 0,-1 1 0,1 1 0,0-1 0,0 0 0,-1 0 0,1 1 0,0-1 0,-1 1 0,1-1 0,0 1 0,1 1 0,6 1 0,-1 2 0,1-1 0,-1 1 0,-1 0 0,1 1 0,-1 0 0,0 0 0,0 1 0,-1-1 0,1 1 0,-2 1 0,1-1 0,-1 1 0,0 0 0,-1 0 0,1 1 0,-2-1 0,1 1 0,-1 0 0,2 10 0,-3-11 0,0 1 0,0-1 0,-1 1 0,0 0 0,-1 0 0,0-1 0,0 1 0,-1 0 0,0 0 0,0-1 0,-1 1 0,0-1 0,-1 1 0,0-1 0,0 0 0,-1 0 0,0 0 0,0 0 0,-1-1 0,0 0 0,-9 11 0,-2-5 120,16-13-160,-1 0 0,1 0 0,0 1-1,-1-1 1,1 0 0,-1 0 0,1 1 0,0-1 0,-1 0 0,1 0 0,-1 0-1,1 0 1,-1 0 0,1 0 0,-1 0 0,1 0 0,-1 0 0,1 0-1,0 0 1,-1 0 0,1 0 0,-1 0 0,1 0 0,-1 0 0,1-1-1,-1 1 1,1 0 0,0 0 0,-1-1 0,1 1 0,0 0 0,-1 0 0,1-1-1,-1 1 1,1 0 0,0-1 0</inkml:trace>
  <inkml:trace contextRef="#ctx0" brushRef="#br0" timeOffset="518.29">399 319 24575,'0'-2'0,"0"-1"0,1-2 0,3 2 0,2 0 0,1 2 0,0 1 0,-1 0 0,-4 1 0,-4 0 0,-1-1 0</inkml:trace>
  <inkml:trace contextRef="#ctx0" brushRef="#br0" timeOffset="1044.28">417 112 24575,'-6'-13'0,"5"11"0,0 0 0,0-1 0,0 1 0,0 0 0,0 0 0,-1 0 0,1 0 0,0 0 0,-1 0 0,0 0 0,1 0 0,-1 1 0,0-1 0,0 1 0,0-1 0,0 1 0,0 0 0,0-1 0,-1 1 0,-2-1 0,3 2 0,-1-1 0,1 1 0,-1-1 0,1 1 0,-1 0 0,1 0 0,-1 0 0,0 0 0,1 0 0,-1 1 0,1-1 0,-1 1 0,1 0 0,0 0 0,-1 0 0,1 0 0,0 0 0,-1 0 0,1 0 0,0 1 0,0-1 0,0 1 0,0 0 0,0 0 0,-1 1 0,-5 7 0,0-1 0,1 1 0,-11 21 0,17-30 0,-15 29 0,1 1 0,2 1 0,1 0 0,2 1 0,1 0 0,-7 49 0,15-77 0,0 1 0,1 0 0,-1 0 0,1 0 0,1 0 0,-1 0 0,1 0 0,3 9 0,-4-13 0,1 0 0,0 0 0,0 0 0,1 0 0,-1 0 0,0-1 0,1 1 0,-1 0 0,1-1 0,-1 1 0,1-1 0,0 1 0,-1-1 0,1 0 0,0 0 0,0 0 0,0 0 0,0 0 0,0 0 0,0 0 0,0-1 0,0 1 0,1-1 0,-1 1 0,4-1 0,16 1 0,32-2 0,-40 0 0,0 0 0,0 1 0,1 0 0,-1 2 0,0-1 0,16 5 0,-29-5 0,1-1 0,0 1 0,-1-1 0,1 1 0,0 0 0,-1-1 0,1 1 0,-1 0 0,1 0 0,-1 0 0,1 0 0,-1 1 0,0-1 0,0 0 0,1 0 0,-1 1 0,0-1 0,0 1 0,0-1 0,-1 1 0,2 3 0,-1-3 0,-1 0 0,0 1 0,0-1 0,0 1 0,0-1 0,0 1 0,0-1 0,-1 0 0,1 1 0,-1-1 0,0 0 0,0 1 0,0-1 0,-1 2 0,-4 7 0,-1-1 0,0 0 0,0 0 0,-1-1 0,-10 10 0,9-9 0,-2-1 0,1 0 0,-1-1 0,0 0 0,-1 0 0,0-2 0,0 1 0,0-1 0,-1-1 0,0 0 0,-24 5 0,36-10 4,-1 1 0,1-1-1,0 0 1,0 0-1,0 1 1,-1-1 0,1 0-1,0 0 1,-1 0 0,1 0-1,0-1 1,0 1-1,0 0 1,-1 0 0,1-1-1,0 1 1,0-1 0,0 1-1,0-1 1,-1 0-1,1 1 1,0-1 0,0 0-1,0 0 1,0 1 0,1-1-1,-1 0 1,0 0-1,0 0 1,0 0 0,1 0-1,-2-3 1,2 2-87,-1 0 1,1 0-1,0 0 1,0-1-1,0 1 1,1 0-1,-1 0 1,0 0-1,1 0 1,-1-1-1,1 1 1,0 0-1,0 0 1,-1 0-1,1 0 1,1 0-1,1-2 1,10-14-6744</inkml:trace>
  <inkml:trace contextRef="#ctx0" brushRef="#br0" timeOffset="1841.14">550 484 24575,'1'-1'0,"0"0"0,0 0 0,0 0 0,0 1 0,-1-1 0,1 0 0,0 0 0,-1 0 0,1 0 0,0 0 0,-1-1 0,1 1 0,-1 0 0,1 0 0,-1 0 0,0 0 0,0-1 0,1 1 0,-1 0 0,0 0 0,0 0 0,0-1 0,0 1 0,0 0 0,-1 0 0,1 0 0,0-1 0,0 1 0,-1 0 0,1 0 0,-1 0 0,1 0 0,-1 0 0,0-1 0,1 1 0,-1 0 0,0 1 0,0-1 0,1 0 0,-3-2 0,2 2 0,-1 1 0,1-1 0,-1 0 0,1 0 0,0 1 0,-1-1 0,0 1 0,1-1 0,-1 1 0,1 0 0,-1-1 0,1 1 0,-1 0 0,0 0 0,1 0 0,-1 0 0,1 1 0,-1-1 0,0 0 0,1 1 0,-1-1 0,1 1 0,-1-1 0,1 1 0,-1 0 0,1-1 0,0 1 0,-1 0 0,1 0 0,0 0 0,-2 2 0,2-2 0,-1 1 0,1 0 0,0 0 0,-1 0 0,1 0 0,0 0 0,0 0 0,1 1 0,-1-1 0,0 0 0,1 0 0,-1 1 0,1-1 0,0 0 0,-1 1 0,1-1 0,1 0 0,-1 1 0,0 2 0,1-4 0,-1 0 0,0 0 0,0 0 0,1 0 0,-1 0 0,0 0 0,1 0 0,-1 0 0,1-1 0,0 1 0,-1 0 0,1 0 0,-1 0 0,1-1 0,0 1 0,0 0 0,-1-1 0,1 1 0,0 0 0,0-1 0,0 1 0,0-1 0,0 0 0,0 1 0,0-1 0,0 0 0,0 1 0,0-1 0,0 0 0,0 0 0,0 0 0,0 0 0,0 0 0,0 0 0,0 0 0,0 0 0,0 0 0,0-1 0,0 1 0,0 0 0,0-1 0,0 1 0,0-1 0,1 0 0,-1 0 0,0 1 0,1-1 0,-1 0 0,0 0 0,0 1 0,0-1 0,0 0 0,0 0 0,0 0 0,-1 0 0,1 0 0,0 0 0,0-1 0,-1 1 0,1 0 0,-1 0 0,1 0 0,-1-1 0,0 1 0,1 0 0,-1 0 0,0-1 0,0 1 0,0 0 0,0-1 0,0-1 0,0 1 0,0 0 0,0 0 0,1 0 0,-1 0 0,0 1 0,1-1 0,-1 0 0,1 0 0,0 1 0,-1-1 0,3-2 0,-2 3 0,1 0 0,0 0 0,0 0 0,1 0 0,-1 0 0,0 0 0,0 1 0,0-1 0,1 1 0,-1 0 0,0-1 0,3 1 0,12-3 0,-12 1 0,0 0 0,-1-1 0,1 1 0,-1-1 0,0 0 0,1 0 0,-1-1 0,-1 1 0,1-1 0,0 0 0,-1 0 0,0 0 0,0-1 0,0 1 0,-1-1 0,1 1 0,-1-1 0,0 0 0,0 0 0,-1 0 0,0 0 0,1 0 0,-2 0 0,1 0 0,-1-1 0,1 1 0,-1 0 0,-1 0 0,1-1 0,-1 1 0,0 0 0,0 0 0,0 0 0,-1 0 0,0 0 0,-3-5 0,5 9 0,0 1 0,0-1 0,0 1 0,0 0 0,0-1 0,0 1 0,0 0 0,0-1 0,0 1 0,-1 0 0,1-1 0,0 1 0,0 0 0,0-1 0,-1 1 0,1 0 0,0 0 0,0-1 0,-1 1 0,1 0 0,0 0 0,0-1 0,-1 1 0,1 0 0,0 0 0,-1 0 0,1-1 0,0 1 0,-1 0 0,1 0 0,0 0 0,-1 0 0,1 0 0,-1 0 0,1 0 0,0 0 0,-1 0 0,1 0 0,-1 0 0,-6 16 0,3 26 0,4-28 0,0 1 0,1-1 0,1 0 0,1 1 0,0-1 0,0 0 0,2 0 0,0-1 0,0 1 0,14 23 0,-18-35 0,0-1 0,-1 0 0,1 0 0,0 1 0,0-1 0,0 0 0,0 0 0,0 0 0,0 0 0,0 0 0,0 0 0,1-1 0,-1 1 0,0 0 0,0-1 0,1 1 0,-1 0 0,3 0 0,-2-1 0,-1-1 0,1 1 0,0-1 0,-1 1 0,1-1 0,-1 1 0,0-1 0,1 0 0,-1 0 0,1 0 0,-1 1 0,0-1 0,0-1 0,1 1 0,1-2 0,-1 1 0,0 0 0,0 1 0,1 0 0,-1-1 0,0 1 0,1 0 0,-1 0 0,1 0 0,0 0 0,-1 0 0,1 1 0,0 0 0,-1-1 0,1 1 0,0 0 0,0 0 0,2 0 0,-1 1 0,0-1 0,-1-1 0,1 1 0,0 0 0,-1-1 0,1 0 0,-1 0 0,5-1 0,-7 1 0,0 0 0,0 0 0,0 0 0,0-1 0,0 1 0,0 0 0,0 0 0,0-1 0,0 1 0,-1 0 0,1-1 0,0 1 0,-1-1 0,1 1 0,-1-1 0,0 1 0,1-1 0,-1 1 0,0-3 0,0 3 0,0 0 0,0-1 0,1 1 0,-1 0 0,0 0 0,0 0 0,-1 0 0,1 0 0,0 0 0,0-1 0,0 1 0,-1 0 0,1 0 0,-1 0 0,1 0 0,-1 0 0,1 0 0,-1 0 0,1 0 0,-1 0 0,0 0 0,0 1 0,1-1 0,-1 0 0,0 0 0,-1 0 0,1 1 0,0 0 0,1 0 0,-1 0 0,0 0 0,1 1 0,-1-1 0,0 0 0,1 0 0,-1 1 0,1-1 0,-1 0 0,0 1 0,1-1 0,-1 1 0,1-1 0,-1 1 0,1-1 0,0 1 0,-1-1 0,1 1 0,-1-1 0,1 1 0,0-1 0,0 1 0,-1 0 0,1-1 0,0 1 0,0 0 0,0-1 0,-1 1 0,1 0 0,0-1 0,0 1 0,0 0 0,0 0 0,-2 27 0,3-26 3,-1-1 1,0 0-1,1 1 0,-1-1 0,1 0 1,-1 1-1,1-1 0,-1 0 0,1 1 1,0-1-1,0 0 0,0 0 0,0 0 1,0 0-1,0 0 0,0 0 0,0 0 1,0 0-1,0 0 0,0-1 0,1 1 0,-1 0 1,0-1-1,0 1 0,1-1 0,-1 1 1,1-1-1,-1 0 0,0 1 0,1-1 1,-1 0-1,1 0 0,-1 0 0,0 0 1,1 0-1,1-1 0,1 1-109,0-1 0,-1 0 0,1 0 0,0 0 0,-1 0 0,1 0-1,-1-1 1,0 1 0,1-1 0,-1 0 0,0 0 0,0 0 0,3-3 0,1-4-6720</inkml:trace>
  <inkml:trace contextRef="#ctx0" brushRef="#br0" timeOffset="2134.3">18 1189 24575,'1'-1'0,"3"-4"0,5-4 0,5-4 0,4-2 0,3-3 0,3-1 0,0 0 0,-3 3-8191</inkml:trace>
  <inkml:trace contextRef="#ctx0" brushRef="#br0" timeOffset="2556.25">463 914 24575,'0'22'0,"1"-1"0,5 34 0,-3-44 0,0 0 0,0 1 0,1-2 0,1 1 0,-1 0 0,10 13 0,1-3 0,-11-16 0,0 1 0,0 0 0,0 0 0,-1 0 0,0 0 0,3 7 0,-17-20 0,-1-6 0,1-2 0,0 1 0,1-1 0,1-1 0,0 0 0,1 0 0,-8-25 0,1-4 0,-14-73 0,25 102 0,-16-101 0,18 102 0,1 0 0,0 0 0,2 0 0,-1 0 0,6-25 0,-6 39 0,0 0 0,0 0 0,1 0 0,-1-1 0,0 1 0,1 0 0,-1 0 0,1 0 0,-1-1 0,1 1 0,-1 0 0,1 0 0,0 0 0,0 0 0,-1 0 0,1 0 0,0 1 0,0-1 0,0 0 0,0 0 0,0 1 0,0-1 0,0 0 0,2 0 0,-1 1 0,-1 0 0,1 0 0,-1 0 0,1 0 0,-1 1 0,1-1 0,-1 0 0,0 1 0,1-1 0,-1 1 0,0 0 0,1-1 0,-1 1 0,0 0 0,1 0 0,-1 0 0,1 1 0,5 4 0,-1 0 0,0 1 0,0 0 0,0 0 0,6 11 0,-6-6 0,0 1 0,0 0 0,-1 0 0,-1 0 0,0 0 0,-1 1 0,-1-1 0,2 20 0,-3-24 0,-1-1 0,0 1 0,-1-1 0,1 1 0,-1-1 0,-1 1 0,0-1 0,0 0 0,-1 0 0,0 0 0,0 0 0,-1 0 0,0-1 0,0 0 0,-6 8 0,-4-2-1365,1-3-5461</inkml:trace>
  <inkml:trace contextRef="#ctx0" brushRef="#br0" timeOffset="2901.18">0 1382 24575,'0'0'0,"0"1"0,0-1 0,0 1 0,0-1 0,0 1 0,1 0 0,-1-1 0,0 1 0,0-1 0,0 1 0,1-1 0,-1 1 0,0-1 0,1 1 0,-1-1 0,0 0 0,1 1 0,-1-1 0,1 1 0,-1-1 0,0 0 0,1 1 0,-1-1 0,1 0 0,-1 1 0,1-1 0,-1 0 0,1 0 0,-1 0 0,1 1 0,0-1 0,-1 0 0,1 0 0,-1 0 0,1 0 0,-1 0 0,1 0 0,0 0 0,-1 0 0,1 0 0,-1 0 0,1-1 0,0 1 0,27-9 0,150-84 0,-99 48 0,362-179 0,-316 170 0,215-63 0,-311 108 0,0 2 0,32-3 0,-60 10-5,1 0 0,-1 0 0,1-1 0,-1 1 0,1 0 0,-1 1 0,1-1 0,-1 0 0,0 0 1,1 0-1,-1 1 0,1-1 0,1 2 0,-2-2 10,-1 0 0,0 1 0,0-1 0,0 0 0,0 1 0,1-1 0,-1 0 0,0 1 0,0-1 1,0 0-1,0 1 0,0-1 0,0 0 0,0 1 0,0-1 0,0 0 0,0 1 0,0-1 0,0 0 0,0 1 1,0-1-1,0 0 0,-1 1 0,1-1 0,0 0 0,0 1 0,0-1 0,0 0 0,-1 0 0,1 1 1,0-1-1,0 0 0,-1 1 0,-2 3-250,-1-1 0,1 0 0,-1 1 1,0-1-1,-8 4 0,-14 8-6581</inkml:trace>
  <inkml:trace contextRef="#ctx0" brushRef="#br0" timeOffset="3413">719 1194 24575,'-8'74'0,"14"179"0,-3-184 0,3-27 0,-7-52 0,-1 0 0,-1 0 0,0 0 0,0 1 0,-1-1 0,-6-12 0,-1-3 0,-16-38 0,3-2 0,-28-117 0,50 173 0,1 1 0,0-1 0,0 0 0,1 0 0,0 0 0,2-14 0,-1 22 0,-1-1 0,0 0 0,1 1 0,-1-1 0,1 0 0,0 1 0,-1-1 0,1 1 0,0-1 0,0 1 0,0-1 0,0 1 0,0 0 0,0-1 0,0 1 0,1 0 0,-1 0 0,0 0 0,1 0 0,-1 0 0,1 0 0,-1 0 0,1 0 0,-1 1 0,1-1 0,-1 1 0,1-1 0,0 1 0,-1 0 0,1-1 0,0 1 0,0 0 0,-1 0 0,1 0 0,0 0 0,-1 1 0,1-1 0,0 0 0,3 2 0,2 0 0,1 0 0,-1 1 0,0 0 0,0 1 0,0-1 0,0 1 0,0 1 0,-1-1 0,0 1 0,0 0 0,0 1 0,0-1 0,-1 1 0,0 0 0,6 11 0,-9-14 0,0 0 0,0 0 0,0 1 0,-1-1 0,1 1 0,-1-1 0,0 1 0,0 0 0,0 0 0,-1-1 0,1 1 0,-1 0 0,0 0 0,0 0 0,0-1 0,-1 1 0,1 0 0,-1 0 0,0-1 0,0 1 0,0 0 0,-1-1 0,1 1 0,-1-1 0,0 1 0,0-1 0,0 0 0,0 0 0,-1 0 0,1 0 0,-1 0 0,1-1 0,-7 5 0,8-6 14,-1 1-1,0-1 0,0 0 0,0 0 1,0 0-1,0 0 0,0 0 1,-4 1-1,5-2-59,1 0-1,-1 0 1,0 0-1,0 0 1,1 0 0,-1 0-1,0 0 1,1 0-1,-1 0 1,0 0 0,1 0-1,-1 0 1,0-1-1,1 1 1,-1 0-1,0 0 1,1-1 0,-1 1-1,1 0 1,-1-1-1,0 1 1,1-1 0,-1 1-1,1-1 1,-1 1-1,1-1 1,0 1 0,-1-1-1,1 0 1,0 1-1,-1-2 1,-2-4-6780</inkml:trace>
  <inkml:trace contextRef="#ctx0" brushRef="#br0" timeOffset="3765.56">756 1295 24575,'0'-1'0,"1"0"0,-1 1 0,0-1 0,1 0 0,-1 1 0,1-1 0,-1 0 0,1 1 0,-1-1 0,1 1 0,-1-1 0,1 1 0,-1-1 0,1 1 0,0 0 0,-1-1 0,1 1 0,0 0 0,0-1 0,-1 1 0,1 0 0,0 0 0,0 0 0,-1 0 0,1 0 0,1 0 0,21 0 0,-20 2 0,0 0 0,0 0 0,0 1 0,0-1 0,0 1 0,0-1 0,-1 1 0,0 0 0,1 0 0,-1 0 0,0 1 0,-1-1 0,1 0 0,0 1 0,-1-1 0,0 1 0,2 6 0,0 2 0,-1 0 0,0 0 0,0 0 0,-1 14 0,-1-21 0,-1-1 0,0 0 0,0 1 0,0-1 0,-2 7 0,3-11 0,-1 1 0,1-1 0,0 0 0,0 1 0,0-1 0,0 0 0,0 1 0,-1-1 0,1 0 0,0 1 0,0-1 0,-1 0 0,1 1 0,0-1 0,-1 0 0,1 0 0,0 1 0,-1-1 0,1 0 0,0 0 0,-1 1 0,1-1 0,0 0 0,-1 0 0,0 0 0,0 0 0,1-1 0,-1 1 0,0-1 0,1 1 0,-1-1 0,1 0 0,-1 1 0,1-1 0,-1 0 0,1 1 0,-1-1 0,1 0 0,0 0 0,-1 1 0,1-1 0,0 0 0,0 0 0,-1-1 0,-1-5 0,1 1 0,0 0 0,0-1 0,0 1 0,0-1 0,1 0 0,0 1 0,1-1 0,0 1 0,0-1 0,0 1 0,4-13 0,-3 15 0,-1 1 0,1-1 0,0 1 0,0-1 0,0 1 0,1 0 0,-1-1 0,1 1 0,0 0 0,-1 1 0,1-1 0,1 1 0,-1-1 0,0 1 0,1 0 0,-1 0 0,1 0 0,-1 1 0,1-1 0,0 1 0,0 0 0,5-1 0,1 0-1365,-2 0-5461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25.06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15 211 24575,'0'-2'0,"1"0"0,-1 0 0,1 0 0,0 1 0,0-1 0,0 0 0,0 1 0,0-1 0,0 0 0,0 1 0,0-1 0,1 1 0,-1-1 0,1 1 0,-1 0 0,1 0 0,-1 0 0,1 0 0,0 0 0,-1 0 0,1 0 0,0 0 0,0 1 0,0-1 0,0 0 0,0 1 0,-1 0 0,1 0 0,3-1 0,-4 1 0,1-1 0,-1 1 0,1 0 0,0 0 0,-1-1 0,1 1 0,0 0 0,-1 1 0,1-1 0,0 0 0,-1 0 0,1 1 0,-1-1 0,1 1 0,0-1 0,-1 1 0,1 0 0,-1-1 0,1 1 0,-1 0 0,0 0 0,1 0 0,-1 0 0,0 0 0,0 0 0,0 1 0,0-1 0,0 0 0,0 1 0,0-1 0,0 0 0,0 1 0,-1-1 0,1 1 0,0 1 0,-3 17 0,2-18 0,-1 0 0,1 0 0,-1-1 0,1 1 0,0 0 0,0 0 0,0 0 0,0 0 0,0 0 0,0 0 0,0-1 0,0 1 0,1 0 0,-1 0 0,1 0 0,0 0 0,-1-1 0,3 4 0,-2-5 0,0 0 0,-1 1 0,1-1 0,0 0 0,0 0 0,0 0 0,0 0 0,0 0 0,0 0 0,0-1 0,-1 1 0,1 0 0,0 0 0,0-1 0,0 1 0,0 0 0,-1-1 0,1 1 0,0-1 0,0 1 0,-1-1 0,1 1 0,0-1 0,-1 0 0,1 1 0,-1-1 0,2-1 0,15-19 0,-14 16-273,-1 0 0,0 0 0,0 1 0,3-11 0,-2-2-6553</inkml:trace>
  <inkml:trace contextRef="#ctx0" brushRef="#br0" timeOffset="216.7">1 0 24575,'7'1'0,"0"0"0,1 0 0,-1 0 0,0 1 0,0 0 0,0 0 0,0 1 0,-1 0 0,9 5 0,0 1 0,-1 0 0,23 20 0,-28-21 0,0 1 0,-1 0 0,0 0 0,-1 0 0,0 1 0,-1 0 0,1 1 0,-2-1 0,0 1 0,0 0 0,-1 0 0,0 1 0,-1-1 0,0 1 0,-1 0 0,-1 0 0,0 0 0,0 0 0,-1 0 0,0 0 0,-1 0 0,-1 0 0,0-1 0,0 1 0,-1 0 0,-1-1 0,0 1 0,-1-1 0,0 0 0,0-1 0,-1 1 0,0-1 0,-1 0 0,-14 15 0,-14 8-1365,1-8-5461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21.405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184 205 24575,'-4'-1'0,"0"1"0,-1 0 0,1 1 0,-1-1 0,1 1 0,-1-1 0,1 2 0,0-1 0,-1 0 0,1 1 0,0 0 0,0-1 0,0 2 0,0-1 0,1 0 0,-1 1 0,0 0 0,1 0 0,0 0 0,0 0 0,0 0 0,0 1 0,0-1 0,-2 5 0,-9 12 0,1 2 0,-15 30 0,22-40 0,1 1 0,0 0 0,1 0 0,1 0 0,0 0 0,-1 16 0,4-28 0,0 0 0,0-1 0,0 1 0,0 0 0,0 0 0,0 0 0,0 0 0,0 0 0,0 0 0,0 0 0,1 0 0,-1 0 0,0 0 0,1 0 0,-1-1 0,1 1 0,-1 0 0,1 0 0,-1 0 0,1-1 0,0 1 0,-1 0 0,1-1 0,0 1 0,0-1 0,-1 1 0,1 0 0,0-1 0,0 0 0,0 1 0,0-1 0,-1 1 0,1-1 0,0 0 0,0 0 0,0 0 0,0 1 0,0-1 0,0 0 0,0 0 0,0 0 0,0 0 0,0-1 0,0 1 0,1 0 0,6-2 0,1 1 0,-1-1 0,0-1 0,9-3 0,-10 3 0,17-5 0,-1-1 0,-1 1 0,1 1 0,0 1 0,47-5 0,-69 11 0,1 0 0,-1-1 0,1 1 0,-1 0 0,1 0 0,-1 0 0,1 1 0,-1-1 0,1 0 0,-1 1 0,1-1 0,-1 0 0,0 1 0,1 0 0,-1-1 0,0 1 0,1 0 0,-1 0 0,0 0 0,0-1 0,0 1 0,0 1 0,0-1 0,0 0 0,0 0 0,0 0 0,0 0 0,0 1 0,-1-1 0,1 0 0,0 1 0,-1-1 0,1 0 0,-1 1 0,0-1 0,1 1 0,-1-1 0,0 1 0,0-1 0,0 1 0,0-1 0,0 1 0,-1 2 0,0 5 0,-1 0 0,0 0 0,-1 0 0,0-1 0,-7 15 0,1-5 0,0 0 0,-1-1 0,-1 0 0,-1-1 0,-1 0 0,0-1 0,0-1 0,-2 0 0,0 0 0,-18 12 0,31-25-4,1 0 0,0 0-1,-1-1 1,1 1-1,0 0 1,-1-1 0,1 1-1,-1-1 1,1 1 0,-1-1-1,1 1 1,-1-1-1,1 0 1,-1 0 0,0 0-1,1 0 1,-3 0-1,3-1 15,1 1-1,-1 0 0,0-1 1,0 1-1,0-1 0,0 0 1,1 1-1,-1-1 0,0 1 1,1-1-1,-1 0 0,0 0 1,1 1-1,-1-1 0,1 0 1,-1 0-1,1 0 0,0 0 1,-1 0-1,1-1 1,-2-3-196,1-1 1,1 1 0,-1-1-1,1 1 1,0-1 0,0 0-1,2-8 1,4-18-6641</inkml:trace>
  <inkml:trace contextRef="#ctx0" brushRef="#br0" timeOffset="592.79">583 182 24575,'-15'0'0,"9"-1"0,0 1 0,0 0 0,0 0 0,0 1 0,0 0 0,-10 2 0,15-2 0,-1 0 0,0 0 0,1 0 0,-1 0 0,1 0 0,-1 0 0,1 0 0,-1 1 0,1-1 0,0 1 0,0-1 0,0 1 0,0-1 0,0 1 0,0-1 0,0 1 0,0 0 0,1-1 0,-1 1 0,1 0 0,-1 0 0,1 0 0,-1 0 0,1-1 0,0 5 0,0-1 0,1-1 0,-1 1 0,1 0 0,0-1 0,0 1 0,0-1 0,1 1 0,0-1 0,-1 1 0,4 3 0,-5-7 0,1 0 0,-1 0 0,1 0 0,-1 0 0,1 0 0,-1 0 0,1 0 0,0 0 0,-1 0 0,1-1 0,0 1 0,0 0 0,0-1 0,-1 1 0,1 0 0,0-1 0,0 1 0,0-1 0,0 1 0,0-1 0,0 0 0,0 1 0,0-1 0,0 0 0,1 0 0,-1 0 0,0 1 0,0-1 0,0 0 0,0-1 0,0 1 0,0 0 0,0 0 0,0 0 0,0-1 0,0 1 0,0 0 0,0-1 0,0 1 0,0-1 0,0 1 0,0-1 0,0 0 0,0 1 0,0-1 0,-1 0 0,1 0 0,1-1 0,-1 1 0,1-1 0,-1 0 0,0-1 0,1 1 0,-1 0 0,0 0 0,-1 0 0,1-1 0,0 1 0,0-1 0,-1 1 0,0 0 0,1-1 0,-1 1 0,0-1 0,0 1 0,0-1 0,-1 1 0,1-1 0,-1 1 0,0-4 0,-1-22 0,28 32 0,-13-2 0,-10-2 0,0 1 0,0-1 0,0 0 0,0-1 0,0 1 0,0 0 0,0-1 0,-1 0 0,1 0 0,0 0 0,0 0 0,0 0 0,-1 0 0,1-1 0,-1 1 0,1-1 0,-1 0 0,1 0 0,-1 0 0,0 0 0,0 0 0,0 0 0,0 0 0,0-1 0,-1 1 0,1-1 0,-1 1 0,0-1 0,3-5 0,-3 2 0,1 0 0,-1-1 0,0 1 0,0 0 0,-1 0 0,0-1 0,0 1 0,-1 0 0,1-1 0,-1 1 0,-1 0 0,1 0 0,-4-7 0,3 5 0,0 2 0,0 0 0,0 0 0,-1 0 0,1 1 0,-1-1 0,0 1 0,-1 0 0,1 0 0,-7-7 0,10 12 0,0 0 0,0 0 0,0 0 0,0 0 0,-1 0 0,1 0 0,0-1 0,0 1 0,0 0 0,0 0 0,0 0 0,-1 0 0,1 0 0,0 0 0,0 0 0,0 0 0,0 0 0,0 0 0,-1 0 0,1 0 0,0 0 0,0 0 0,0 0 0,0 0 0,-1 0 0,1 0 0,0 0 0,0 0 0,0 0 0,0 0 0,-1 0 0,1 0 0,0 0 0,0 1 0,0-1 0,0 0 0,0 0 0,0 0 0,-1 0 0,1 0 0,0 0 0,0 1 0,0-1 0,0 0 0,0 0 0,0 0 0,0 0 0,0 0 0,0 1 0,0-1 0,0 0 0,0 0 0,0 0 0,0 0 0,0 1 0,0-1 0,0 0 0,0 0 0,0 0 0,0 0 0,0 0 0,0 1 0,1 12 0,6 8 0,0-1 0,2 0 0,0 0 0,1-1 0,1 0 0,1-1 0,1 0 0,28 30 0,-40-47-58,20 18 243,-20-18-259,0 0-1,0-1 1,0 1-1,0-1 0,0 1 1,0-1-1,0 1 0,0-1 1,0 0-1,1 1 1,-1-1-1,0 0 0,0 0 1,0 0-1,1 0 0,-1 0 1,0 0-1,0 0 1,2-1-1,6-3-6751</inkml:trace>
  <inkml:trace contextRef="#ctx0" brushRef="#br0" timeOffset="889.66">798 127 24575,'2'0'0,"-1"0"0,0 0 0,0 1 0,0-1 0,0 0 0,0 1 0,0-1 0,0 0 0,0 1 0,0-1 0,0 1 0,2 1 0,-3-2 0,1 1 0,-1-1 0,1 1 0,0-1 0,-1 1 0,1-1 0,0 0 0,-1 0 0,1 1 0,0-1 0,-1 0 0,1 0 0,0 0 0,0 1 0,-1-1 0,1 0 0,0 0 0,-1 0 0,1 0 0,0-1 0,0 1 0,-1 0 0,1 0 0,0 0 0,0 0 0,-1-1 0,1 1 0,0 0 0,-1-1 0,1 1 0,-1-1 0,1 1 0,0-1 0,-1 1 0,1-1 0,1-1 0,-1 1 0,0-1 0,0 1 0,1-1 0,-1 0 0,0 1 0,-1-1 0,1 0 0,0 0 0,0 0 0,-1 1 0,1-1 0,0-4 0,-1 6 0,0-1 0,0 1 0,0-1 0,0 1 0,0-1 0,0 0 0,0 1 0,0-1 0,0 1 0,0-1 0,0 1 0,0-1 0,0 0 0,0 1 0,0-1 0,-1 1 0,1-1 0,0 1 0,0-1 0,-1 1 0,1-1 0,0 1 0,-1-1 0,1 1 0,-1 0 0,1-1 0,0 1 0,-1-1 0,1 1 0,-1 0 0,1-1 0,-1 1 0,1 0 0,-1 0 0,1-1 0,-1 1 0,1 0 0,-1 0 0,0 0 0,1 0 0,-1 0 0,1 0 0,-1 0 0,0 0 0,1 0 0,-1 0 0,1 0 0,-2 0 0,1 1 0,0-1 0,-1 1 0,1 0 0,0 0 0,-1 0 0,1-1 0,0 1 0,0 0 0,0 1 0,0-1 0,0 0 0,0 0 0,0 0 0,0 1 0,0-1 0,0 0 0,1 1 0,-1-1 0,0 1 0,1-1 0,0 1 0,-1-1 0,1 1 0,0-1 0,0 1 0,-1 2 0,1 3 0,-1 1 0,1 0 0,0-1 0,1 9 0,0-13 0,0 1 0,0-1 0,0 1 0,0-1 0,1 0 0,-1 0 0,1 0 0,0 1 0,0-2 0,0 1 0,0 0 0,1 0 0,-1-1 0,1 1 0,3 2 0,-4-3 0,-1-1 0,1 0 0,-1-1 0,1 1 0,-1 0 0,1 0 0,0-1 0,-1 1 0,1-1 0,0 1 0,-1-1 0,1 0 0,0 0 0,0 0 0,-1 0 0,1 0 0,0 0 0,0 0 0,-1 0 0,1-1 0,0 1 0,0-1 0,-1 1 0,1-1 0,-1 0 0,1 1 0,-1-1 0,1 0 0,-1 0 0,1 0 0,-1 0 0,0-1 0,2-1 0,5-7-1365,-3-1-5461</inkml:trace>
  <inkml:trace contextRef="#ctx0" brushRef="#br0" timeOffset="1692.85">235 1043 24575,'0'0'0,"0"0"0,0 0 0,0 0 0,-1-1 0,1 1 0,0 0 0,0 0 0,0 0 0,0 0 0,0 0 0,0 0 0,0 0 0,-1-1 0,1 1 0,0 0 0,0 0 0,0 0 0,0 0 0,-1 0 0,1 0 0,0 0 0,0 0 0,0 0 0,0 0 0,0 0 0,-1 0 0,1 0 0,0 0 0,0 0 0,0 0 0,0 0 0,-1 0 0,1 0 0,0 0 0,0 0 0,0 0 0,0 0 0,0 0 0,-1 1 0,1-1 0,0 0 0,0 0 0,0 0 0,0 0 0,0 0 0,0 0 0,0 0 0,-1 1 0,-1 10 0,2 14 0,12 39 0,2-2 0,24 64 0,-9-29 0,-26-81 0,-9-24 0,-12-27 0,-85-198 0,86 184 0,1-1 0,-17-95 0,33 144 0,-1-8 0,0 0 0,0 0 0,1-16 0,0 24 0,0 0 0,0 0 0,0 0 0,0 0 0,0 1 0,0-1 0,0 0 0,0 0 0,1 0 0,-1 0 0,0 0 0,1 0 0,-1 1 0,0-1 0,1 0 0,-1 0 0,1 0 0,-1 1 0,1-1 0,0 0 0,-1 1 0,1-1 0,0 1 0,-1-1 0,1 0 0,0 1 0,0 0 0,-1-1 0,1 1 0,0-1 0,0 1 0,0 0 0,0 0 0,0-1 0,-1 1 0,1 0 0,0 0 0,0 0 0,0 0 0,0 0 0,0 0 0,0 0 0,0 0 0,0 0 0,-1 1 0,1-1 0,0 0 0,0 1 0,1-1 0,3 3 0,1 1 0,0-1 0,-1 1 0,0 0 0,0 0 0,0 0 0,0 1 0,-1-1 0,0 1 0,0 1 0,0-1 0,0 0 0,4 11 0,0 0 0,0 1 0,-1 0 0,7 30 0,-9-25 0,-1-1 0,2 28 0,-6-39 0,0 0 0,0 0 0,0 0 0,-1-1 0,-1 1 0,0 0 0,-4 12 0,0-11-1365,0-7-5461</inkml:trace>
  <inkml:trace contextRef="#ctx0" brushRef="#br0" timeOffset="2048.01">386 1236 24575,'0'-2'0,"0"1"0,0 0 0,0 0 0,0 0 0,0 0 0,0 0 0,0-1 0,1 1 0,-1 0 0,0 0 0,1 0 0,-1 0 0,1 0 0,-1 0 0,1 0 0,0 0 0,-1 0 0,2-1 0,-1 2 0,-1-1 0,1 1 0,0-1 0,0 1 0,-1 0 0,1 0 0,0-1 0,0 1 0,-1 0 0,1 0 0,0 0 0,0 0 0,-1 0 0,1 0 0,0 0 0,0 0 0,-1 0 0,1 1 0,0-1 0,1 0 0,1 2 0,1-1 0,-1 1 0,1 0 0,-1 0 0,1 1 0,-1-1 0,0 1 0,0-1 0,2 4 0,1 1 0,-1-1 0,0 2 0,0-1 0,-1 0 0,0 1 0,-1 0 0,1 0 0,-1 0 0,-1 0 0,0 1 0,0-1 0,0 1 0,-1-1 0,0 1 0,-1-1 0,-1 13 0,1-20 0,0-1 0,0 1 0,0-1 0,0 1 0,0-1 0,0 1 0,0-1 0,0 0 0,0 1 0,0-1 0,-1 1 0,1-1 0,0 1 0,0-1 0,0 1 0,-1-1 0,1 0 0,0 1 0,-1-1 0,1 0 0,0 1 0,-1-1 0,1 0 0,-1 1 0,1-1 0,0 0 0,-1 0 0,0 1 0,-8-10 0,-4-21 0,11 21 0,0 0 0,1 0 0,0-1 0,0 1 0,1 0 0,0-1 0,1 1 0,2-15 0,-1 19 0,-1 1 0,1-1 0,-1 1 0,1 0 0,0 0 0,1-1 0,-1 1 0,1 0 0,0 1 0,0-1 0,0 1 0,0-1 0,1 1 0,-1 0 0,1 0 0,0 0 0,0 1 0,8-5 0,3 1-1365,-1 1-5461</inkml:trace>
  <inkml:trace contextRef="#ctx0" brushRef="#br0" timeOffset="2240.27">611 1126 24575,'0'1'0,"0"3"0,0 2 0,3 5 0,1 4 0,3 6 0,3 3 0,-1 0 0,0-2 0,-1-2 0,-2-5 0,0-3 0,-2-5 0,-2-5 0</inkml:trace>
  <inkml:trace contextRef="#ctx0" brushRef="#br0" timeOffset="2518.37">588 965 24575,'0'0'0,"0"1"0,0-1 0,0 0 0,0 0 0,0 0 0,1 0 0,-1 1 0,0-1 0,0 0 0,0 0 0,1 0 0,-1 0 0,0 0 0,0 0 0,0 0 0,1 0 0,-1 0 0,0 0 0,0 0 0,1 0 0,-1 1 0,0-2 0,0 1 0,1 0 0,-1 0 0,0 0 0,0 0 0,0 0 0,1 0 0,-1 0 0,0 0 0,0 0 0,0 0 0,1 0 0,-1 0 0,0-1 0,0 1 0,0 0 0,1 0 0,-1 0 0,0 0 0,0 0 0,0-1 0,0 1 0,0 0 0,1 0 0,-1 0 0,0-1 0,0 1 0,0 0 0,10-13 0,-10 12 0,0-1 0,0 1 0,0-1 0,0 1 0,-1 0 0,1-1 0,0 1 0,-1 0 0,1 0 0,-1-1 0,1 1 0,-1 0 0,0 0 0,1 0 0,-1-1 0,0 1 0,0 0 0,0 0 0,0 0 0,0 1 0,0-1 0,0 0 0,0 0 0,0 0 0,-2 0 0,2 0 0,0 1 0,0 0 0,0-1 0,0 1 0,1 0 0,-1-1 0,0 1 0,0 0 0,0 0 0,0 0 0,0 0 0,0 0 0,0 0 0,0 0 0,0 0 0,0 0 0,1 0 0,-1 1 0,0-1 0,0 0 0,0 1 0,0-1 0,0 0 0,1 1 0,-1-1 0,0 1 0,0 0 0,1-1 0,-1 1 0,0-1 0,1 1 0,-1 0 0,1 0 0,-1-1 0,1 1 0,-1 0 0,1 0 0,-1 1 0,0 2-54,0-1-1,0 1 0,0 0 1,0 0-1,1 0 1,0 0-1,0 1 0,0-1 1,0 0-1,1 0 1,-1 0-1,1 0 0,0-1 1,0 1-1,1 0 0,-1 0 1,1 0-1,0-1 1,0 1-1,0-1 0,0 1 1,0-1-1,1 0 1,3 3-1,6 7-6771</inkml:trace>
  <inkml:trace contextRef="#ctx0" brushRef="#br0" timeOffset="2830.56">780 1043 24575,'0'-1'0,"0"0"0,-1 0 0,1 0 0,0 0 0,0 1 0,-1-1 0,1 0 0,-1 0 0,1 0 0,-1 0 0,1 1 0,-1-1 0,0 0 0,1 0 0,-1 1 0,0-1 0,0 0 0,0 1 0,1 0 0,0 0 0,-1 0 0,1 0 0,0 0 0,-1 0 0,1 0 0,0 1 0,-1-1 0,1 0 0,0 0 0,-1 0 0,1 1 0,0-1 0,-1 0 0,1 0 0,0 1 0,0-1 0,-1 0 0,1 1 0,0-1 0,0 0 0,0 0 0,-1 1 0,1-1 0,0 0 0,0 1 0,0 0 0,-10 34 0,7-18 0,1 1 0,0 27 0,2-38 0,0 0 0,1 1 0,0-1 0,0 0 0,1 0 0,0 0 0,0-1 0,1 1 0,4 8 0,-7-14 4,1 1 1,0-1-1,0 1 0,0-1 0,0 1 0,1-1 0,-1 0 0,0 0 0,1 1 1,-1-1-1,0 0 0,1 0 0,-1-1 0,1 1 0,0 0 0,-1 0 0,1-1 1,0 1-1,-1-1 0,1 1 0,0-1 0,0 0 0,-1 0 0,1 1 0,0-1 1,0-1-1,-1 1 0,3 0 0,-1-1-97,0 0 0,0 0 1,-1 0-1,1 0 0,0 0 0,-1-1 0,1 1 0,-1-1 1,1 0-1,-1 0 0,0 0 0,0 0 0,0 0 1,0 0-1,3-5 0,3-7-6733</inkml:trace>
  <inkml:trace contextRef="#ctx0" brushRef="#br0" timeOffset="3140.93">863 1066 24575,'0'2'0,"0"-1"0,0 0 0,0 0 0,0 1 0,1-1 0,-1 0 0,1 0 0,-1 1 0,1-1 0,-1 0 0,1 0 0,-1 0 0,1 0 0,0 0 0,0 0 0,0 0 0,0 0 0,0 0 0,0 0 0,0 0 0,0 0 0,0-1 0,0 1 0,0 0 0,0-1 0,0 1 0,1-1 0,-1 1 0,0-1 0,2 0 0,-1 1 0,0-1 0,-1 0 0,1 1 0,0-1 0,0 0 0,-1 0 0,1 0 0,0-1 0,0 1 0,-1 0 0,1-1 0,0 1 0,-1-1 0,1 1 0,0-1 0,-1 0 0,1 0 0,-1 0 0,1 0 0,-1 0 0,3-2 0,-3 1 0,0 1 0,0-1 0,0 0 0,0 0 0,-1 0 0,1 0 0,0 0 0,-1 0 0,0 0 0,1 0 0,-1 0 0,0 0 0,0 0 0,0 0 0,-1-3 0,1 4 0,0 0 0,0 0 0,0 1 0,0-1 0,0 0 0,0 0 0,0 1 0,-1-1 0,1 0 0,0 0 0,-1 1 0,1-1 0,-1 0 0,1 1 0,0-1 0,-1 1 0,1-1 0,-1 0 0,0 1 0,1-1 0,-1 1 0,1 0 0,-1-1 0,0 1 0,1-1 0,-1 1 0,0 0 0,0 0 0,1-1 0,-1 1 0,0 0 0,0 0 0,1 0 0,-1 0 0,0 0 0,0 0 0,1 0 0,-1 0 0,0 0 0,0 0 0,1 0 0,-1 0 0,-1 1 0,1 0 0,0 0 0,0 0 0,-1-1 0,1 1 0,0 1 0,0-1 0,0 0 0,1 0 0,-1 0 0,0 0 0,0 1 0,1-1 0,-1 0 0,0 1 0,1-1 0,-1 0 0,1 1 0,0-1 0,0 1 0,-1-1 0,1 1 0,0-1 0,0 2 0,2 35 0,-1-33 6,0-1 0,0 0 0,1 0 0,-1 0 0,1 0 0,0 0 0,0 0 0,1 0 0,-1-1 0,1 1 0,0-1 0,0 1 0,0-1 0,0 0 0,1 0 0,-1-1 0,1 1 0,-1-1 0,7 3 0,-7-3-56,0-1 1,-1 0-1,1 0 1,0-1-1,0 1 1,0 0-1,0-1 1,0 0-1,0 0 1,0 0-1,0 0 1,-1 0-1,1 0 1,0-1-1,0 0 1,0 1-1,0-1 1,0 0-1,-1 0 1,1-1-1,-1 1 1,1 0-1,-1-1 1,1 0-1,-1 0 1,0 1-1,1-1 1,-1 0-1,3-4 1,3-5-6777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29.224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1 24575,'1'2'0,"0"5"0,3 4 0,6 8 0,6 8 0,6 7 0,7 5 0,3 3 0,2 0 0,-2-2 0,-2-3 0,-6-5 0,-7-8 0,-7-10 0</inkml:trace>
  <inkml:trace contextRef="#ctx0" brushRef="#br0" timeOffset="265.89">230 47 24575,'-1'1'0,"0"0"0,0 0 0,0 0 0,1 0 0,-1 0 0,0 0 0,1 0 0,-1 0 0,1 0 0,-1 1 0,1-1 0,-1 1 0,0 2 0,-83 182 0,17-40 0,62-136 0,3-7 0,0 1 0,0 0 0,1-1 0,-1 1 0,1 0 0,0 0 0,0 0 0,0-1 0,1 1 0,-1 0 0,1 0 0,0 7 0,0-11 1,0 0 0,1 1 0,-1-1 0,0 0-1,0 0 1,0 0 0,0 0 0,0 1 0,1-1-1,-1 0 1,0 0 0,0 0 0,0 0 0,1 0 0,-1 1-1,0-1 1,0 0 0,0 0 0,1 0 0,-1 0-1,0 0 1,0 0 0,1 0 0,-1 0 0,0 0 0,0 0-1,0 0 1,1 0 0,-1 0 0,0 0 0,0 0-1,1 0 1,-1 0 0,0 0 0,0 0 0,1 0 0,-1 0-1,0-1 1,0 1 0,0 0 0,0 0 0,1 0-1,-1 0 1,0 0 0,0-1 0,0 1 0,0 0 0,1 0-1,-1 0 1,0-1 0,0 1 0,0 0 0,0 0-1,0 0 1,0-1 0,0 1 0,0 0 0,0 0 0,1-1-1,7-13-1414,-1-2-5412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27.56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131 627 24575,'-2'10'0,"-2"15"0,8-20 0,7-10 0,-5 0 0,-1 0 0,0-1 0,0 0 0,-1 1 0,0-1 0,0-1 0,0 1 0,-1-1 0,0 1 0,4-14 0,-3 9 0,-1 1 0,-1-1 0,0 0 0,0 0 0,-1 0 0,-1-19 0,-1 20 0,0-1 0,-1 0 0,0 1 0,-1 0 0,-6-13 0,8 19 0,0 0 0,-1 1 0,0-1 0,0 1 0,0 0 0,0 0 0,0-1 0,-1 1 0,1 1 0,-1-1 0,0 0 0,0 1 0,0-1 0,0 1 0,0 0 0,-1 0 0,-6-3 0,8 5 0,-1-1 0,1 1 0,-1 0 0,1 0 0,-1 0 0,1 0 0,0 1 0,-1-1 0,1 1 0,-1-1 0,1 1 0,0 0 0,-1 0 0,1 0 0,0 0 0,0 1 0,0-1 0,0 0 0,0 1 0,0-1 0,0 1 0,0 0 0,1 0 0,-1 0 0,1 0 0,-2 2 0,-4 5 0,1 1 0,0 0 0,1 0 0,-6 14 0,2 3 0,0 1 0,3-1 0,0 1 0,2 1 0,0-1 0,3 0 0,0 1 0,1 0 0,2-1 0,1 0 0,2 1 0,0-1 0,12 33 0,-14-50 0,1-1 0,1 1 0,0-1 0,1 0 0,0 0 0,0 0 0,1-1 0,0 0 0,13 13 0,-17-20 0,0 1 0,0 0 0,0-1 0,1 0 0,-1 0 0,1 0 0,-1 0 0,1 0 0,-1-1 0,1 1 0,0-1 0,0 0 0,0 0 0,0-1 0,0 1 0,0-1 0,0 0 0,0 0 0,0 0 0,0 0 0,0-1 0,0 0 0,-1 1 0,1-2 0,0 1 0,0 0 0,0-1 0,-1 1 0,1-1 0,5-4 0,0-1 0,-1 0 0,1-1 0,-1 0 0,-1 0 0,0-1 0,0 0 0,0 0 0,-1-1 0,-1 1 0,1-1 0,5-17 0,0-3 0,-1-1 0,10-57 0,-14 48 0,-1-1 0,-3 0 0,-1 0 0,-7-63 0,-2 47 0,-2-1 0,-27-86 0,30 122 0,0 0 0,-2 0 0,0 0 0,-2 2 0,-18-29 0,27 45 0,-1 1 0,0-1 0,0 1 0,0-1 0,-1 1 0,1 0 0,-1 0 0,0 0 0,0 1 0,0-1 0,0 1 0,-7-2 0,8 3 0,1 0 0,-1 1 0,0 0 0,1-1 0,-1 1 0,0 0 0,1 1 0,-1-1 0,1 0 0,-1 1 0,0 0 0,1-1 0,-1 1 0,1 0 0,-1 0 0,1 0 0,0 1 0,-1-1 0,1 0 0,0 1 0,0 0 0,-3 2 0,-3 4 0,1 1 0,0 0 0,1 0 0,0 0 0,0 0 0,1 1 0,0 0 0,0 0 0,2 1 0,-1-1 0,1 1 0,1 0 0,-2 11 0,0 5 0,2-1 0,0 1 0,2-1 0,4 38 0,1-34 0,0-1 0,2 0 0,1-1 0,1 0 0,2 0 0,1-1 0,0 0 0,3-1 0,0 0 0,1-2 0,34 40 0,-38-50 0,7 8 0,28 42 0,-42-55 0,0-1 0,-1 1 0,0 0 0,-1 0 0,0 0 0,0 0 0,-1 0 0,0 1 0,1 11 0,-4-7-72,1-11-35,0 0-1,0 0 0,-1 1 0,2-1 0,-1 0 1,0 0-1,1 1 0,-1-1 0,1 0 1,0 0-1,2 4 0</inkml:trace>
  <inkml:trace contextRef="#ctx0" brushRef="#br0" timeOffset="395.06">475 672 24575,'-4'-13'0,"1"0"0,1 0 0,-2-16 0,4 24 0,0 0 0,0 0 0,0 0 0,1 1 0,0-1 0,0 0 0,0 0 0,0 1 0,1-1 0,0 0 0,4-7 0,-3 12 0,-1 7 0,-1 12 0,-5 91 0,-2 13 0,14 143 0,-8-262 0,6 24 0,-4-26-1365</inkml:trace>
  <inkml:trace contextRef="#ctx0" brushRef="#br0" timeOffset="566.03">402 888 24575,'0'-2'0,"3"-2"0,3-1 0,5-4 0,3-1 0,3-2 0,3 1 0,1 2 0,0 1 0,-3 3 0,-4 2-8191</inkml:trace>
  <inkml:trace contextRef="#ctx0" brushRef="#br0" timeOffset="1305.3">599 824 24575,'0'-106'0,"-1"130"0,1-5 0,0 0 0,4 33 0,-1-38 0,1 0 0,7 18 0,-10-29 0,0 0 0,0 0 0,0 0 0,1-1 0,-1 1 0,1 0 0,0-1 0,0 1 0,0-1 0,0 0 0,0 0 0,0 0 0,1 0 0,-1 0 0,1 0 0,-1 0 0,1-1 0,3 2 0,-4-3 0,-1 0 0,1 0 0,0 0 0,-1 0 0,1 0 0,-1-1 0,1 1 0,0 0 0,-1-1 0,1 1 0,-1-1 0,1 0 0,-1 1 0,1-1 0,-1 0 0,0 0 0,1 0 0,-1 0 0,0 0 0,0 0 0,0-1 0,0 1 0,0 0 0,0-1 0,0 1 0,0 0 0,0-1 0,0 1 0,0-3 0,4-7 0,0 0 0,5-21 0,-9 28 0,11-42 0,-23 86 0,-25 62 0,25-85 0,11-17 0,0 0 0,0 1 0,0-1 0,-1 0 0,1 0 0,0 0 0,0 1 0,0-1 0,0 0 0,-1 0 0,1 0 0,0 1 0,0-1 0,0 0 0,-1 0 0,1 0 0,0 0 0,0 0 0,-1 0 0,1 1 0,0-1 0,0 0 0,-1 0 0,1 0 0,0 0 0,-1 0 0,1 0 0,0 0 0,0 0 0,-1 0 0,1 0 0,0 0 0,0 0 0,-1-1 0,1 1 0,0 0 0,0 0 0,-1 0 0,1 0 0,0 0 0,0 0 0,-1-1 0,1 1 0,0 0 0,0 0 0,0 0 0,0-1 0,-1 1 0,1 0 0,0 0 0,0 0 0,0-1 0,0 1 0,0 0 0,0 0 0,-1-1 0,1 1 0,0 0 0,0 0 0,0-1 0,0 1 0,0 0 0,0-1 0,0-7 0,5 10 0,6 14 0,2 22 0,-2 1 0,6 47 0,-5-25 0,-5-22 0,-3-18 0,0-1 0,8 22 0,-10-41-1365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35.08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0 177 24575,'1'-2'0,"0"1"0,0 0 0,0-1 0,0 1 0,0 0 0,1 0 0,-1 0 0,0 0 0,0 0 0,1 0 0,-1 0 0,1 0 0,-1 0 0,1 1 0,-1-1 0,1 0 0,0 1 0,-1 0 0,1-1 0,-1 1 0,1 0 0,0 0 0,-1 0 0,1 0 0,0 0 0,-1 0 0,1 0 0,0 1 0,-1-1 0,1 0 0,0 1 0,-1 0 0,1-1 0,-1 1 0,1 0 0,-1 0 0,0 0 0,1 0 0,-1 0 0,0 0 0,0 0 0,1 0 0,-1 0 0,1 3 0,-1-1 0,0 1 0,-1-1 0,0 1 0,0-1 0,0 1 0,0-1 0,0 1 0,-1-1 0,0 1 0,1-1 0,-1 1 0,-1-1 0,1 0 0,0 0 0,-1 1 0,1-1 0,-5 5 0,-5 14 0,11-22 0,0 0 0,0 0 0,0 0 0,0 0 0,0 0 0,0 0 0,-1 1 0,1-1 0,0 0 0,0 0 0,0 0 0,0 0 0,0 0 0,0 1 0,0-1 0,0 0 0,0 0 0,0 0 0,0 0 0,0 1 0,0-1 0,0 0 0,0 0 0,0 0 0,0 0 0,0 1 0,0-1 0,0 0 0,0 0 0,0 0 0,0 0 0,0 1 0,0-1 0,0 0 0,0 0 0,0 0 0,0 0 0,0 1 0,1-1 0,-1 0 0,0 0 0,0 0 0,0 0 0,0 0 0,0 0 0,0 0 0,1 1 0,-1-1 0,0 0 0,0 0 0,11-5 0,10-13 0,9-17-1365,-16 19-5461</inkml:trace>
  <inkml:trace contextRef="#ctx0" brushRef="#br0" timeOffset="298.52">37 53 24575,'-5'-5'0,"-16"-16"0,20 20 0,0 0 0,0 0 0,1 0 0,-1 0 0,0 1 0,1-1 0,-1 0 0,1 0 0,-1 0 0,1 0 0,-1-1 0,1 1 0,0 0 0,-1 0 0,1 0 0,0 0 0,0 0 0,0-3 0,0 4 0,1-1 0,0 1 0,-1-1 0,1 1 0,0-1 0,0 1 0,0 0 0,-1-1 0,1 1 0,0 0 0,0 0 0,0-1 0,-1 1 0,1 0 0,0 0 0,0 0 0,0 0 0,0 0 0,0 0 0,-1 0 0,1 0 0,0 1 0,0-1 0,0 0 0,0 0 0,1 2 0,26 7 0,-26-8 0,23 10 0,-1 1 0,0 1 0,0 1 0,-1 1 0,-1 1 0,-1 1 0,0 1 0,-1 1 0,31 38 0,-42-44 0,0 0 0,-1 0 0,0 1 0,-1 0 0,0 1 0,-1-1 0,-1 1 0,4 17 0,-7-21 0,0 0 0,-1 0 0,-1 1 0,1-1 0,-2 0 0,0 1 0,0-1 0,-1 0 0,0 0 0,-1 0 0,0 0 0,-6 12 0,9-20-59,-1 0 0,-1 0-1,1 0 1,0-1-1,-1 1 1,1-1 0,-1 1-1,0-1 1,0 1 0,0-1-1,0 0 1,0 0 0,0 0-1,0 0 1,-1 0 0,1-1-1,-1 1 1,0-1-1,1 1 1,-1-1 0,0 0-1,-4 1 1,-5-2-6767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37.56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10 236 24575,'-1'0'0,"0"1"0,1-1 0,-1 1 0,1-1 0,-1 1 0,1-1 0,0 1 0,-1-1 0,1 1 0,-1 0 0,1-1 0,0 1 0,0 0 0,-1-1 0,1 1 0,0 0 0,0-1 0,0 1 0,0 0 0,-1-1 0,1 1 0,0 0 0,1 1 0,-3 21 0,2-21 0,0 9 0,-1-1 0,1 1 0,1 0 0,0-1 0,1 1 0,0-1 0,4 12 0,-6-22 0,0 1 0,0 0 0,0 0 0,1-1 0,-1 1 0,0 0 0,1-1 0,-1 1 0,0 0 0,1-1 0,-1 1 0,1-1 0,-1 1 0,1 0 0,0-1 0,-1 1 0,1-1 0,-1 0 0,1 1 0,0-1 0,-1 1 0,1-1 0,0 0 0,0 0 0,-1 1 0,1-1 0,0 0 0,0 0 0,-1 0 0,1 0 0,0 0 0,0 0 0,-1 0 0,1 0 0,0 0 0,0 0 0,-1 0 0,1 0 0,0-1 0,0 1 0,-1 0 0,1-1 0,0 1 0,-1 0 0,1-1 0,0 1 0,-1-1 0,1 1 0,-1-1 0,1 1 0,0-1 0,-1 0 0,1 0 0,4-4 0,-1 0 0,0 0 0,0 0 0,5-12 0,4-11 0,-2-1 0,-1-1 0,12-58 0,7-25 0,-28 110 0,0 1 0,0-1 0,0 0 0,0 1 0,0-1 0,1 1 0,-1 0 0,1-1 0,0 1 0,2-3 0,-4 5 0,0 0 0,1 0 0,-1 0 0,0 0 0,1-1 0,-1 1 0,0 0 0,0 0 0,1 0 0,-1 0 0,0 0 0,1 0 0,-1 0 0,0 0 0,1 0 0,-1 0 0,0 0 0,1 0 0,-1 0 0,0 0 0,1 0 0,-1 0 0,0 0 0,1 1 0,-1-1 0,0 0 0,1 0 0,-1 0 0,0 0 0,1 1 0,9 16 0,4 26 0,-2 1 0,10 77 0,1 2 0,-18-101 0,-1-3 0,11 32 0,-9-41 0,-3-17 0,-4-18 0,-5 1-1365,-1-1-5461</inkml:trace>
  <inkml:trace contextRef="#ctx0" brushRef="#br0" timeOffset="188.53">87 172 24575,'0'1'0,"2"1"0,3 0 0,6-3 0,5-4 0,2 0 0,3 0 0,-1 0 0,-2 0-8191</inkml:trace>
  <inkml:trace contextRef="#ctx0" brushRef="#br0" timeOffset="779.93">321 218 24575,'0'-5'0,"1"-6"0,0 11 0,-1 0 0,0-1 0,1 1 0,-1 0 0,1 0 0,-1 0 0,0 0 0,1 0 0,-1 0 0,1 0 0,-1 0 0,0 1 0,1-1 0,-1 0 0,1 0 0,-1 0 0,0 0 0,1 0 0,-1 1 0,0-1 0,1 0 0,-1 0 0,0 1 0,1-1 0,-1 0 0,0 1 0,1-1 0,-1 0 0,0 1 0,0-1 0,0 0 0,1 1 0,3 4 0,1 1 0,-1-1 0,0 1 0,-1 0 0,0 0 0,0 0 0,0 1 0,0-1 0,1 8 0,0-2 0,-2 0 0,1 0 0,0 16 0,-4-51 0,0 13 0,0-1 0,0 1 0,1 0 0,1-1 0,0 1 0,0 0 0,1 0 0,3-10 0,-5 19 0,0 0 0,0 0 0,1 1 0,-1-1 0,0 0 0,1 1 0,-1-1 0,0 0 0,1 1 0,-1-1 0,1 0 0,-1 1 0,1-1 0,-1 1 0,1-1 0,-1 1 0,1-1 0,0 1 0,-1-1 0,1 1 0,0 0 0,-1-1 0,1 1 0,0 0 0,0 0 0,-1-1 0,2 1 0,-1 0 0,1 1 0,-1-1 0,0 1 0,0-1 0,0 1 0,0-1 0,0 1 0,0 0 0,0 0 0,-1-1 0,1 1 0,0 0 0,0 0 0,-1 0 0,2 2 0,2 3 0,0 1 0,0-1 0,-1 1 0,3 10 0,-3-7 0,3 12 0,-2-21 0,0-12 0,-2-1 0,-1 6 0,0 0 0,1-1 0,-1 1 0,1 0 0,5-10 0,-7 16 0,0-1 0,0 1 0,0 0 0,1 0 0,-1 0 0,0 0 0,0-1 0,0 1 0,0 0 0,0 0 0,0 0 0,1 0 0,-1-1 0,0 1 0,0 0 0,0 0 0,1 0 0,-1 0 0,0 0 0,0 0 0,0 0 0,1 0 0,-1-1 0,0 1 0,0 0 0,0 0 0,1 0 0,-1 0 0,0 0 0,0 0 0,0 0 0,1 0 0,-1 0 0,0 0 0,0 0 0,0 1 0,1-1 0,-1 0 0,7 8 0,0 14 0,-4 8 0,1 9 0,-4-37 0,0 0 0,1 0 0,-1-1 0,1 1 0,-1 0 0,1-1 0,0 1 0,0 0 0,-1-1 0,1 1 0,1-1 0,-1 1 0,0-1 0,0 1 0,3 1 0,5 0-1365,-1-4-5461</inkml:trace>
  <inkml:trace contextRef="#ctx0" brushRef="#br0" timeOffset="1968.01">591 250 24575,'0'3'0,"0"2"0,0 0 0,0 0 0,1 1 0,-1-1 0,1 0 0,2 7 0,-2-10 0,0-1 0,-1 1 0,1 0 0,0-1 0,0 1 0,0 0 0,0-1 0,0 1 0,1-1 0,-1 0 0,0 1 0,1-1 0,-1 0 0,1 0 0,-1 0 0,1 0 0,-1 0 0,1 0 0,0 0 0,0 0 0,-1-1 0,1 1 0,0-1 0,0 1 0,0-1 0,0 0 0,-1 0 0,4 0 0,-3 0 0,0 1 0,0-1 0,-1-1 0,1 1 0,0 0 0,0 0 0,0-1 0,-1 1 0,1-1 0,0 1 0,0-1 0,-1 0 0,1 0 0,0 0 0,-1 1 0,1-2 0,-1 1 0,1 0 0,-1 0 0,0 0 0,1-1 0,-1 1 0,0-1 0,0 1 0,0-1 0,0 1 0,0-1 0,0 0 0,-1 1 0,1-1 0,-1 0 0,1 0 0,-1 1 0,1-1 0,-1 0 0,0 0 0,0 0 0,0 0 0,0 1 0,0-3 0,-1-2 0,1-1 0,-1 1 0,0 0 0,-1 0 0,0 0 0,0 0 0,0 0 0,0 1 0,-1-1 0,-6-8 0,8 12 0,0 0 0,0 0 0,0 1 0,0-1 0,-1 1 0,1-1 0,-1 1 0,1-1 0,-1 1 0,0 0 0,1-1 0,-1 1 0,0 0 0,0 0 0,0 1 0,0-1 0,0 0 0,0 1 0,0-1 0,0 1 0,-2-1 0,2 2 0,0-1 0,1 1 0,-1 0 0,0-1 0,1 1 0,-1 0 0,1 0 0,-1 0 0,1 0 0,0 1 0,0-1 0,-1 0 0,1 1 0,0-1 0,0 0 0,0 1 0,0-1 0,0 1 0,1 0 0,-1-1 0,0 1 0,1 0 0,-1-1 0,1 1 0,-1 2 0,0-1 0,0 1 0,0 0 0,0 0 0,1 0 0,-1 0 0,1 0 0,0 0 0,0 0 0,0 1 0,1-1 0,-1 0 0,3 7 0,-2-9 0,0-1 0,0 1 0,0 0 0,0 0 0,0-1 0,0 1 0,1-1 0,-1 1 0,1-1 0,-1 0 0,1 1 0,-1-1 0,1 0 0,0 0 0,-1 0 0,1 0 0,0 0 0,0-1 0,0 1 0,0 0 0,-1-1 0,1 0 0,0 1 0,0-1 0,0 0 0,0 0 0,4 0 0,-1 0 0,1 0 0,-1 0 0,0-1 0,0 0 0,0 0 0,0 0 0,0-1 0,0 1 0,0-1 0,0 0 0,0 0 0,-1-1 0,1 0 0,-1 0 0,0 0 0,0 0 0,0 0 0,0-1 0,0 0 0,-1 0 0,0 0 0,0 0 0,0 0 0,0-1 0,0 1 0,-1-1 0,0 0 0,0 0 0,0 0 0,-1 0 0,0 0 0,1-6 0,2 3 0,1 13 0,8 28 0,-3-6 0,-8-24 0,0 0 0,0 0 0,1 0 0,-1 0 0,1 0 0,-1 0 0,1-1 0,0 1 0,0-1 0,0 0 0,4 2 0,-6-3 0,0-1 0,0 1 0,0-1 0,0 0 0,1 1 0,-1-1 0,0 0 0,0 0 0,0 0 0,0 0 0,0 0 0,1 0 0,-1 0 0,0 0 0,0-1 0,0 1 0,0 0 0,0-1 0,0 1 0,0-1 0,0 1 0,0-1 0,0 1 0,0-1 0,0 0 0,0 1 0,0-1 0,0 0 0,-1 0 0,1 0 0,0 0 0,-1 0 0,1 0 0,0 0 0,-1 0 0,1 0 0,-1 0 0,0 0 0,1 0 0,-1-2 0,2-3 0,0 0 0,0-1 0,-1 1 0,0-1 0,0 1 0,-1-1 0,0 0 0,0 1 0,-3-14 0,17 63 0,-14-41 0,1 0 0,0 0 0,-1 0 0,1 0 0,0 0 0,0 0 0,1-1 0,-1 1 0,0 0 0,0-1 0,1 1 0,-1-1 0,1 1 0,0-1 0,-1 0 0,1 1 0,0-1 0,0 0 0,0 0 0,0-1 0,0 1 0,4 1 0,-6-2 0,1 0 0,0 0 0,-1-1 0,1 1 0,0 0 0,-1 0 0,1-1 0,0 1 0,-1-1 0,1 1 0,-1 0 0,1-1 0,-1 1 0,1-1 0,-1 1 0,1-1 0,-1 0 0,1 1 0,-1-1 0,1 1 0,-1-1 0,0 0 0,0 1 0,1-2 0,6-19 0,-6 16 0,1-4 0,8-24 0,-10 32 0,0 0 0,0 0 0,1 0 0,-1 0 0,1 0 0,-1 0 0,1 0 0,-1 0 0,1 0 0,0 0 0,0 0 0,-1 0 0,1 0 0,0 1 0,0-1 0,0 0 0,0 1 0,0-1 0,0 0 0,0 1 0,0-1 0,1 0 0,-1 2 0,0-1 0,1 0 0,-1 1 0,0-1 0,0 1 0,0-1 0,0 1 0,0-1 0,0 1 0,0 0 0,0 0 0,0-1 0,0 1 0,0 0 0,0 0 0,0 0 0,-1 0 0,1 0 0,0 0 0,-1 0 0,1 0 0,-1 1 0,1 0 0,11 29 0,-10-2 0,-2-24 0,-2-19 0,2 13 0,0-29 0,1 28 0,-1 1 0,0 0 0,0-1 0,0 1 0,1 0 0,-1 0 0,1-1 0,-1 1 0,1 0 0,-1 0 0,1 0 0,0-1 0,-1 1 0,1 0 0,0 0 0,0 0 0,0 0 0,0 0 0,2-1 0,-2 2 0,-1 0 0,1 0 0,0-1 0,-1 1 0,1 0 0,0 0 0,-1 0 0,1 1 0,-1-1 0,1 0 0,0 0 0,-1 0 0,1 0 0,0 1 0,-1-1 0,1 0 0,-1 0 0,1 1 0,-1-1 0,1 0 0,-1 1 0,1-1 0,-1 1 0,1-1 0,-1 1 0,1-1 0,-1 1 0,0-1 0,1 2 0,13 19 0,-12-16 0,6 9 0,10 19 0,-18-32 0,1 1 0,0-1 0,0 0 0,0 1 0,0-1 0,0 0 0,1 0 0,-1 0 0,0 0 0,0 0 0,1 0 0,-1 0 0,1 0 0,-1-1 0,0 1 0,1 0 0,1 0 0,-2-2 0,0 1 0,1 0 0,-1 0 0,0-1 0,0 1 0,0-1 0,0 1 0,0-1 0,0 1 0,0-1 0,-1 1 0,1-1 0,0 0 0,0 0 0,0 1 0,-1-1 0,1 0 0,0 0 0,-1 0 0,1 0 0,-1 0 0,1 0 0,-1 0 0,1 0 0,-1 0 0,1 0 0,-1 0 0,0 0 0,0 0 0,0-2 0,5-39 0,-5 39 0,1-159 0,6 217 0,10 73-1365,-16-119-5461</inkml:trace>
  <inkml:trace contextRef="#ctx0" brushRef="#br0" timeOffset="2138.31">1045 121 24575,'-2'0'0,"2"0"0,3-1 0,6-3 0,9-5 0,8-3 0,5-4 0,3-2 0,0 0 0,-2 1 0,-4 2 0,-8 4-8191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48:47.35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1911 2710 24575,'-1'0'0,"-1"0"0,3 0 0,2 0 0,2-1 0,2 0 0,2-2 0,1 0 0,2-1 0,1-1 0,0-2 0,0 1 0,-2 1 0,0 1 0,-4 3 0</inkml:trace>
  <inkml:trace contextRef="#ctx0" brushRef="#br0" timeOffset="235.42">1952 2800 24575,'-1'0'0,"-1"2"0,1 0 0,3 0 0,3-2 0,3 0 0,3-3 0,1-3 0,2-2 0,-1 1 0,-3-2 0,-1 2 0,-3 0 0</inkml:trace>
  <inkml:trace contextRef="#ctx0" brushRef="#br0" timeOffset="720.83">1930 2582 24575,'0'0'0,"0"0"0,1 0 0,-1 0 0,0 0 0,1 0 0,-1 0 0,0 0 0,1-1 0,-1 1 0,0 0 0,1 0 0,-1 0 0,0 0 0,1 0 0,-1 0 0,0 0 0,0 0 0,1-1 0,-1 1 0,0 0 0,0-1 0,1 1 0,-1 0 0,0-1 0,0 1 0,0 0 0,0-1 0,0 1 0,1 0 0,-1-1 0,0 1 0,0-1 0,0 1 0,0 0 0,0-1 0,0 1 0,0 0 0,0-1 0,0 1 0,-1-1 0,1 1 0,0 0 0,0-1 0,0 1 0,0 0 0,0-1 0,-1 1 0,1 0 0,0-1 0,0 1 0,-1 0 0,1 0 0,0-1 0,0 1 0,-1 0 0,1 0 0,0-1 0,-1 1 0,1 0 0,0 0 0,-1 0 0,1 0 0,0 0 0,-1-1 0,1 1 0,-1 0 0,8-1 0,-1 1 0,0 0 0,1 0 0,-1 0 0,1 1 0,-1 0 0,0 0 0,0 0 0,1 1 0,-1 0 0,0 0 0,0 1 0,-1-1 0,1 0 0,0 2 0,-1-1 0,0 1 0,0 0 0,7 7 0,-5-4 0,0 0 0,0 0 0,-1 1 0,0 0 0,0 0 0,-1-1 0,0 2 0,0 0 0,-1 0 0,0 0 0,4 19 0,-4-7 0,-2 2 0,0-1 0,-2 0 0,0 1 0,-2-1 0,0 1 0,-2-2 0,0 1 0,-2 0 0,0-1 0,-2 0 0,0 0 0,-1 0 0,-21 33 0,14-34 0,8-18 0,2-14 0,3 0-1365,2-1-5461</inkml:trace>
  <inkml:trace contextRef="#ctx0" brushRef="#br0" timeOffset="-17061.95">71 444 24575,'1'-4'0,"-1"0"0,1 1 0,0-1 0,0 0 0,1 0 0,-1 1 0,3-4 0,-2 5 0,-1 0 0,0-1 0,0 1 0,0-1 0,0 1 0,0 0 0,0-1 0,-1 0 0,1 1 0,-1-1 0,0 1 0,1-1 0,-1 0 0,0 1 0,-1-1 0,1 1 0,-1-5 0,0 6 0,1 1 0,0 0 0,0 0 0,0-1 0,0 1 0,0 0 0,-1 0 0,1-1 0,0 1 0,0 0 0,-1 0 0,1 0 0,0-1 0,0 1 0,-1 0 0,1 0 0,0 0 0,0 0 0,-1 0 0,1-1 0,0 1 0,-1 0 0,1 0 0,0 0 0,0 0 0,-1 0 0,1 0 0,0 0 0,-1 0 0,1 0 0,0 0 0,-1 0 0,1 1 0,-13 6 0,-7 15 0,20-21 0,-7 8 0,0 0 0,1-1 0,0 2 0,1 0 0,-6 14 0,10-21 0,0-1 0,0 0 0,0 1 0,0-1 0,1 1 0,-1-1 0,1 1 0,0-1 0,0 1 0,-1-1 0,2 0 0,-1 0 0,0 1 0,0 0 0,1-1 0,-1 1 0,1-1 0,0 0 0,0 1 0,0-1 0,0 0 0,0 1 0,1-1 0,-1 0 0,0 0 0,1 0 0,0 0 0,-1 0 0,1-1 0,3 3 0,7 3 0,1 0 0,0-1 0,1 0 0,17 3 0,-21-7 0,0 1 0,-1 0 0,0 1 0,1 0 0,-2 0 0,1 1 0,0 0 0,-1 1 0,0 0 0,0 0 0,10 11 0,-16-15 0,-1 0 0,1-1 0,-1 1 0,0 0 0,1 0 0,-1 1 0,0-1 0,0 0 0,-1 1 0,1-1 0,0 1 0,-1-1 0,0 1 0,1-1 0,-1 1 0,0-1 0,0 1 0,0-1 0,-1 4 0,0-1 0,-1-1 0,1 0 0,-1 0 0,0 0 0,0 0 0,0 0 0,-1-2 0,1 2 0,-1 0 0,-4 3 0,-4 3 0,0 0 0,0-1 0,-1-1 0,0 0 0,-23 11 0,35-19 0,-10 5 0,1-1 0,-1 0 0,0 0 0,-21 4 0,30-7 0,-1-1 0,1 0 0,-1 0 0,1 0 0,-1 0 0,1 0 0,-1 0 0,1 0 0,-1 0 0,1 0 0,-1-1 0,1 1 0,-1-1 0,1 1 0,0-1 0,-1 1 0,1-1 0,0 0 0,-1 0 0,1 0 0,0 0 0,0 0 0,0 0 0,0 0 0,0 0 0,0 0 0,0 0 0,0 0 0,0-1 0,1 1 0,-1 0 0,0-1 0,1 1 0,-1-1 0,1 1 0,0 0 0,-1-1 0,1 1 0,0 0 0,0 0 0,0-1 0,0 1 0,0-1 0,0-2 0,1-6-273,0 0 0,0-1 0,1 1 0,4-14 0,4-4-6553</inkml:trace>
  <inkml:trace contextRef="#ctx0" brushRef="#br0" timeOffset="-16480.25">465 544 24575,'0'-3'0,"0"0"0,0-1 0,-1 1 0,1 0 0,-1 0 0,0 0 0,0 0 0,0 0 0,0 0 0,-1 0 0,1 0 0,-1 0 0,1 1 0,-1-1 0,0 1 0,0-1 0,-1 1 0,1 0 0,0-1 0,-1 2 0,1-1 0,-1 1 0,0-1 0,1 0 0,-1 1 0,0 0 0,0-1 0,-6 0 0,8 2 0,0 0 0,0 0 0,0 0 0,0 0 0,0 0 0,0 0 0,0 0 0,0 0 0,0 1 0,0-1 0,0 0 0,0 1 0,0-1 0,0 1 0,1-1 0,-1 1 0,0 0 0,0-1 0,0 1 0,1 0 0,-2 1 0,0 0 0,1 0 0,-1 0 0,1 1 0,0-1 0,0 1 0,0-1 0,-1 6 0,0-1 0,1 1 0,0-1 0,1 0 0,0 1 0,0 8 0,1-12 0,0 1 0,0 0 0,1 0 0,0 0 0,-1-1 0,2 1 0,2 5 0,-5-9 0,1 0 0,0 0 0,-1 0 0,1 1 0,0-1 0,0 0 0,0 0 0,0 0 0,0-1 0,0 1 0,0 0 0,0 0 0,0 0 0,0-1 0,0 1 0,0-1 0,0 1 0,1-1 0,-1 1 0,0-1 0,0 0 0,1 1 0,-1-1 0,0 0 0,1 0 0,-1 0 0,0 0 0,1 0 0,-1 0 0,0 0 0,0-1 0,2 1 0,-1-1 0,-1 0 0,0 0 0,0 0 0,0 0 0,0 0 0,0 0 0,0 0 0,0 0 0,0-1 0,0 1 0,0 0 0,-1 0 0,1-1 0,0 1 0,-1 0 0,1-1 0,-1 1 0,0-1 0,1 1 0,-1-1 0,0-1 0,2-34 0,-2 29 0,-1 7 0,1 1 0,0-1 0,0 0 0,0 0 0,0 0 0,0 0 0,0 1 0,0-1 0,0 0 0,0 0 0,0 0 0,0 1 0,0-1 0,1 0 0,-1 0 0,0 0 0,1 1 0,-1-1 0,0 0 0,1 1 0,-1-1 0,1 0 0,0-1 0,12 13 0,6 8 0,-16-17 0,1-1 0,-1 1 0,1-1 0,-1-1 0,1 1 0,-1 0 0,1-1 0,0 1 0,-1-1 0,1 0 0,0 0 0,0 0 0,-1 0 0,1-1 0,0 0 0,-1 1 0,1-1 0,-1 0 0,1 0 0,-1 0 0,0-1 0,1 0 0,-1 0 0,0 0 0,0 0 0,0 0 0,4-5 0,-1 1 0,0 0 0,-1 0 0,0 0 0,0-1 0,0 0 0,-1 0 0,0 0 0,0 0 0,-1 0 0,0-1 0,3-13 0,-2-1 0,-1 0 0,-1 0 0,0-1 0,-2 1 0,-1 0 0,-4-25 0,-3 20 0,0 18 0,8 9 0,0 0 0,-1 0 0,1 0 0,-1 0 0,1 1 0,0-1 0,-1 0 0,1 0 0,0 0 0,-1 0 0,1 0 0,0 0 0,-1 1 0,1-1 0,0 0 0,-1 0 0,1 1 0,0-1 0,-1 0 0,1 0 0,0 1 0,0-1 0,0 0 0,-1 1 0,1-1 0,0 0 0,0 1 0,0-1 0,0 0 0,-1 1 0,-2 6 0,1 1 0,-1-1 0,1-1 0,0 2 0,1-1 0,-1 15 0,0 52 0,2-51 0,0 10 0,2 2 0,1-2 0,2 1 0,1-1 0,13 43 0,-18-73-86,0-1-5,-1 0 0,1 0-1,0 0 1,-1 0-1,1 0 1,0 0 0,0 0-1,1 0 1,-1 0-1,0-1 1,0 1 0,1 0-1,2 1 1,3-1-6735</inkml:trace>
  <inkml:trace contextRef="#ctx0" brushRef="#br0" timeOffset="-16153.06">767 512 24575,'2'1'0,"0"-1"0,-1 1 0,1-1 0,0 1 0,0-1 0,0 0 0,0 0 0,0 0 0,0 0 0,0 0 0,0 0 0,2-1 0,-1 0 0,-1 0 0,1 0 0,0 0 0,-1 0 0,1 0 0,-1-1 0,1 1 0,-1-1 0,0 0 0,0 0 0,0 0 0,0 0 0,0 0 0,0 0 0,-1 0 0,4-4 0,-5 5 0,1 0 0,-1 0 0,1 0 0,0 0 0,-1 0 0,1 0 0,-1 0 0,0 0 0,1 0 0,-1 0 0,0-1 0,0 1 0,0 0 0,0 0 0,0 0 0,0 0 0,0 0 0,0-1 0,0 1 0,-1 0 0,1 0 0,0 0 0,-1 0 0,1 0 0,-1 0 0,1 0 0,-1 0 0,1 0 0,-1 0 0,0 0 0,1 0 0,-1 0 0,0 0 0,0 0 0,0 1 0,0-1 0,0 0 0,0 1 0,0-1 0,0 1 0,0-1 0,-1 0 0,0 1 0,1 0 0,-1-1 0,1 1 0,-1 0 0,1 0 0,-1 0 0,1 0 0,-1 0 0,1 1 0,-1-1 0,1 0 0,-1 1 0,1-1 0,-1 1 0,1-1 0,0 1 0,-1 0 0,1 0 0,0-1 0,-1 1 0,1 0 0,0 0 0,0 0 0,0 0 0,0 1 0,0-1 0,0 0 0,0 0 0,0 1 0,-1 1 0,-2 4 0,0 0 0,1 0 0,-1-1 0,-2 13 0,4-12 0,-1 0 0,2 0 0,-1 0 0,1 0 0,1 0 0,-1 1 0,1-2 0,0 1 0,3 14 0,-3-18 0,1 0 0,0-1 0,0 1 0,0-1 0,0 0 0,1 1 0,-1-1 0,1 0 0,-1 0 0,1 1 0,0-1 0,0-1 0,0 1 0,0 0 0,0 0 0,0-1 0,0 1 0,1-1 0,-1 0 0,1 1 0,-1-1 0,1 0 0,-1-1 0,1 0 0,-1 1 0,1-1 0,0 0 0,-1 1 0,6-1 0,-1 0-85,1 0 0,0-1-1,-1 0 1,1 0 0,0 0-1,-1-1 1,0 0 0,1-1-1,-1 0 1,0 0 0,0-1-1,-1 0 1,1 0 0,-1 0-1,8-7 1,5-8-6741</inkml:trace>
  <inkml:trace contextRef="#ctx0" brushRef="#br0" timeOffset="-15022.75">1262 20 24575,'0'-1'0,"0"1"0,-1 0 0,1 0 0,0 0 0,0 0 0,0 0 0,0 0 0,0 0 0,0-1 0,0 1 0,0 0 0,0 0 0,0 0 0,0 0 0,0 0 0,0 0 0,0-1 0,0 1 0,0 0 0,0 0 0,0 0 0,0 0 0,0 0 0,1 0 0,-1-1 0,0 1 0,0 0 0,0 0 0,0 0 0,0 0 0,0 0 0,0 0 0,0 0 0,0 0 0,0 0 0,1-1 0,-1 1 0,0 0 0,0 0 0,0 0 0,0 0 0,0 0 0,0 0 0,1 0 0,-1 0 0,0 0 0,0 0 0,0 0 0,0 0 0,7 6 0,3 11 0,2 21 0,-2 1 0,-1 0 0,3 47 0,-8-58 0,38 459 0,-28-261 0,-13-214 0,-1-2 0,1 0 0,0 0 0,1 0 0,5 17 0,-7-26-42,0-1-1,0 0 0,0 1 1,0-1-1,0 0 0,0 0 1,0 1-1,0-1 0,1 0 1,-1 0-1,0 1 0,0-1 1,0 0-1,0 0 0,1 1 1,-1-1-1,0 0 0,0 0 1,0 0-1,1 1 0,-1-1 1,0 0-1,0 0 0,1 0 1,-1 0-1,0 0 0,0 1 1,1-1-1,-1 0 0,0 0 1,1 0-1,4-6-6783</inkml:trace>
  <inkml:trace contextRef="#ctx0" brushRef="#br0" timeOffset="-14724.13">1358 472 24575,'0'-10'0,"-1"1"0,1-1 0,1 1 0,0-1 0,3-14 0,-3 22 0,-1 0 0,1 0 0,-1 1 0,1-1 0,0 0 0,0 1 0,-1-1 0,1 0 0,0 1 0,1-1 0,-1 1 0,0 0 0,0-1 0,1 1 0,-1 0 0,0 0 0,1 0 0,-1 0 0,1 0 0,0 0 0,-1 0 0,1 0 0,0 1 0,-1-1 0,1 1 0,0-1 0,0 1 0,0 0 0,-1 0 0,1-1 0,2 2 0,-1-1 0,1 1 0,-1-1 0,0 1 0,0 0 0,0 0 0,0 1 0,0-1 0,-1 0 0,1 1 0,-1 0 0,0 0 0,1 0 0,-1 0 0,1 0 0,-1 0 0,0 0 0,0 1 0,0-1 0,0 1 0,-1 0 0,4 5 0,0 2 0,0 1 0,-1 0 0,0 0 0,4 18 0,-5-16 0,-1 2 0,0-1 0,-1 24 0,-1-33 0,0 2 0,-1-1 0,0 1 0,0-1 0,-1 1 0,1-1 0,-1 0 0,-1 0 0,1 0 0,-5 7 0,6-12-4,1-1 1,-1 1-1,1 0 0,-1-1 0,1 1 0,-1-1 0,1 1 0,-1 0 1,1-1-1,-1 1 0,1-1 0,-1 0 0,0 1 0,1-1 0,-1 1 1,-1-1-1,2 0 10,-1 0 0,1 0 0,0 0 1,-1 0-1,1 0 0,0 0 1,-1 0-1,1 0 0,0 0 0,-1-1 1,1 1-1,0 0 0,0 0 0,-1 0 1,1-1-1,0 1 0,0 0 1,-1 0-1,1 0 0,0-1 0,0 1 1,0 0-1,-1-1 0,1 1 0,0-1 1,-6-23-1470,6 3-5363</inkml:trace>
  <inkml:trace contextRef="#ctx0" brushRef="#br0" timeOffset="-14388.11">1595 421 24575,'-1'0'0,"1"-1"0,-1 1 0,0-1 0,1 1 0,-1-1 0,0 0 0,1 1 0,-1-1 0,1 0 0,-1 1 0,1-1 0,0 0 0,-1 0 0,1 0 0,0 1 0,-1 0 0,1-1 0,0 0 0,0 0 0,0 0 0,0 1 0,0-1 0,0 0 0,0 0 0,0 0 0,0 0 0,0 0 0,0 0 0,0 1 0,1-1 0,-1 0 0,0 0 0,1 0 0,-1 1 0,1-1 0,-1 0 0,1 0 0,-1 1 0,1-1 0,-1 0 0,1 1 0,0-1 0,-1 1 0,1-1 0,0 1 0,-1-1 0,1 1 0,0-1 0,0 1 0,-1 0 0,1-1 0,0 1 0,0 0 0,0 0 0,0 0 0,0 0 0,-1-1 0,1 1 0,0 0 0,0 1 0,0-1 0,0 0 0,0 0 0,0 0 0,3 2 0,0-1 0,0 1 0,-1-1 0,1 1 0,-1 0 0,0 0 0,1 1 0,-1-1 0,0 1 0,0-1 0,-1 1 0,1-1 0,-1 1 0,1 0 0,-1 1 0,0-1 0,0 0 0,0 1 0,0 0 0,1 4 0,1 3 0,0 0 0,-1 1 0,0-1 0,-1 0 0,2 18 0,-7 9 0,3-37 0,0 0 0,0 0 0,0 0 0,0 0 0,0 0 0,0 0 0,0 0 0,-1 0 0,1 0 0,0 0 0,-1 0 0,1 0 0,-1-1 0,1 1 0,-1 0 0,1 0 0,-1 0 0,1-1 0,-1 1 0,0 0 0,0-1 0,1 1 0,-1 0 0,0-1 0,0 1 0,0-1 0,1 1 0,-1-1 0,0 0 0,0 1 0,0-1 0,0 0 0,0 0 0,0 1 0,-1-1 0,1-1 0,0 1 0,0-1 0,-1 0 0,1 1 0,0-1 0,0 0 0,0 0 0,1 0 0,-1 1 0,0-1 0,0 0 0,0 0 0,1 0 0,-1-1 0,0 1 0,1 0 0,-1 0 0,1 0 0,-1 0 0,1-1 0,0 1 0,0 0 0,-1 0 0,1-2 0,-3-35 0,3 35 0,0-12-151,1-1-1,0 2 0,2-2 0,-1 1 1,2 0-1,0 0 0,0 1 1,10-21-1,1 7-6674</inkml:trace>
  <inkml:trace contextRef="#ctx0" brushRef="#br0" timeOffset="-14215.15">1842 295 24575,'0'-1'0,"0"2"0,0 5 0,0 8 0,0 5 0,0 4 0,0 5 0,0 0 0,0-1 0,0-4 0,2-7 0,2-8 0,0-8 0</inkml:trace>
  <inkml:trace contextRef="#ctx0" brushRef="#br0" timeOffset="-13920.19">1856 6 24575,'-2'5'0,"0"1"0,0-1 0,0 1 0,1 0 0,-1-1 0,1 0 0,1 1 0,-1 10 0,1-15 0,0 0 0,0 1 0,0-1 0,0 1 0,0-1 0,0 1 0,1-1 0,-1 0 0,0 1 0,1-1 0,-1 0 0,1 1 0,-1-1 0,1 0 0,0 1 0,0-1 0,-1 0 0,1 0 0,0 0 0,0 0 0,0 0 0,0 0 0,0 0 0,1 0 0,-1 0 0,0-1 0,0 1 0,1 0 0,-1-1 0,0 1 0,1-1 0,-1 1 0,0-1 0,1 0 0,-1 1 0,1-1 0,-1 0 0,0 0 0,3 0 0,-2-1 0,0 1 0,0 0 0,0-1 0,-1 0 0,1 1 0,0-1 0,0 0 0,-1 0 0,1 0 0,0 0 0,-1 0 0,1 0 0,-1 0 0,0-1 0,1 1 0,-1-1 0,0 1 0,0-1 0,0 1 0,0-1 0,0 0 0,0 1 0,0-1 0,0 0 0,-1 0 0,1 1 0,-1-1 0,1 0 0,-1 0 0,0-3 0,1 2 0,-1 0 0,0 0 0,0 0 0,0 1 0,0-1 0,0 0 0,0 0 0,-1 1 0,0 0 0,1-1 0,-1 0 0,0 1 0,0-1 0,-1 1 0,1-1 0,0 1 0,-1-1 0,0 1 0,1 0 0,-4-3 0,5 5 0,0-1 0,0 1 0,-1 0 0,1 0 0,0 0 0,0-1 0,-1 1 0,1 0 0,0 0 0,-1 0 0,1 0 0,0 0 0,0 0 0,-1-1 0,1 1 0,0 0 0,-1 0 0,1 0 0,0 0 0,-1 0 0,1 0 0,0 0 0,-1 0 0,1 0 0,0 1 0,-1-1 0,1 0 0,0 0 0,0 0 0,-1 0 0,1 0 0,0 0 0,-1 1 0,1-1 0,0 0 0,-5 13 0,5 16 0,3-19-273,0-1 0,0 0 0,1 1 0,5 8 0,7 8-6553</inkml:trace>
  <inkml:trace contextRef="#ctx0" brushRef="#br0" timeOffset="-13295.12">2177 228 24575,'0'-2'0,"0"1"0,0-1 0,0 1 0,0 0 0,0-1 0,-1 1 0,1-1 0,0 1 0,-1 0 0,1-1 0,-1 1 0,1 0 0,-1 0 0,1-1 0,-1 1 0,0 0 0,-1-1 0,1 1 0,1 1 0,-1-1 0,0 1 0,1 0 0,-1-1 0,0 1 0,0 0 0,1 0 0,-1-1 0,0 1 0,0 0 0,1 0 0,-1 0 0,0 0 0,0 0 0,0 0 0,1 0 0,-1 0 0,0 0 0,0 1 0,-1-1 0,-1 1 0,1 1 0,-1-1 0,1 0 0,-1 1 0,1 0 0,0-1 0,-1 1 0,1 0 0,0 0 0,0 0 0,0 1 0,0-1 0,1 0 0,-4 6 0,2 1 0,-1 0 0,1 1 0,1-2 0,0 2 0,0 0 0,1 0 0,0 0 0,0 0 0,1 0 0,1-1 0,0 1 0,0 0 0,1 0 0,4 14 0,-5-22 0,1 1 0,0-1 0,-1 1 0,1-1 0,0 1 0,1-1 0,-1 0 0,0-1 0,1 1 0,-1 0 0,1-1 0,-1 1 0,1-1 0,0 1 0,-1-1 0,1 0 0,0 0 0,0 0 0,0-1 0,0 1 0,0-1 0,0 1 0,0-1 0,0 0 0,5-1 0,-4 1 0,0 0 0,0 0 0,-1-1 0,1 0 0,0 1 0,-1-2 0,1 1 0,-1 0 0,1-1 0,-1 1 0,1-1 0,-1 0 0,0 0 0,0 1 0,0-2 0,0 1 0,-1-1 0,1 1 0,0-1 0,2-5 0,-2 2 0,0-1 0,-1 1 0,1-1 0,-1 0 0,-1 0 0,0 1 0,0-1 0,0 1 0,-1-2 0,0 1 0,0 0 0,-2-14 0,6 22 0,1-1 0,0 0 0,0 0 0,-1 0 0,1 0 0,8-3 0,-10 2 0,-1 0 0,1 0 0,-1-1 0,0 1 0,0-1 0,1 1 0,-1-1 0,0 0 0,-1 0 0,1 0 0,0 0 0,0 0 0,-1 0 0,2-2 0,-2 3 0,-1 0 0,1 0 0,-1 0 0,0 0 0,1 0 0,-1 0 0,0-1 0,0 1 0,0 0 0,0 0 0,1 0 0,-2 0 0,1 0 0,0 0 0,0 0 0,0 0 0,0 0 0,-1-1 0,1 1 0,0 0 0,-1 0 0,1 0 0,-1 0 0,1 0 0,-1 1 0,0-1 0,1 0 0,-1 0 0,0 0 0,0 0 0,1 1 0,-1-1 0,0 0 0,0 1 0,0-1 0,-2 0 0,3 0 0,-1 1 0,0 0 0,0-1 0,1 1 0,-1-1 0,0 1 0,0 0 0,0 0 0,1 0 0,-1-1 0,0 1 0,0 0 0,0 0 0,0 0 0,0 0 0,1 0 0,-1 1 0,0-1 0,0 0 0,0 0 0,0 0 0,1 1 0,-1-1 0,0 0 0,0 1 0,-1 0 0,1 1 0,-1-1 0,0 1 0,1 0 0,0-1 0,-1 1 0,1 0 0,0 0 0,0 0 0,0 0 0,-1 2 0,-1 3 0,1 0 0,0-2 0,1 2 0,0 0 0,-1 13 0,1-18 0,1 1 0,0-1 0,0 0 0,1 1 0,-1-1 0,0 0 0,1 1 0,0-1 0,-1 0 0,1 0 0,0 0 0,0 0 0,0 0 0,0 0 0,1 0 0,-1 0 0,1 0 0,-1-1 0,1 0 0,-1 1 0,1 0 0,0-1 0,0 1 0,0-1 0,0 0 0,0 0 0,0 0 0,0 0 0,0 0 0,0 0 0,4 0 0,-3 0 0,1-1 0,-1 0 0,1 0 0,-1 0 0,1 0 0,-1-1 0,1 0 0,-1 1 0,1-1 0,-1 0 0,0-1 0,1 1 0,-1-1 0,0 1 0,0-1 0,0 0 0,0 0 0,0 0 0,-1 1 0,4-5 0,3-6-1365,-3 1-5461</inkml:trace>
  <inkml:trace contextRef="#ctx0" brushRef="#br0" timeOffset="-4029.03">2072 1593 24575,'-1'1'0,"0"0"0,1 0 0,-1 0 0,1 1 0,0-1 0,-1 0 0,1 0 0,0 0 0,0 0 0,0 1 0,0-1 0,0 0 0,0 0 0,0 1 0,0 0 0,3 248 0,0 9 0,-3-258-5,0 1 0,0-1-1,0 0 1,0 0 0,0 0 0,0 0-1,0 0 1,0 0 0,0-1-1,1 1 1,-1 0 0,0 0 0,1 0-1,0 2 1,-1-3 11,1 1 0,-1-1 0,0 0 1,1 0-1,-1 0 0,0 0 0,1 0 0,-1 0 0,0 0 1,0 0-1,1 0 0,-1 0 0,0 0 0,1 0 0,-1 0 1,0 0-1,1-1 0,-1 1 0,0 0 0,0 0 0,1 0 1,-1 0-1,0 0 0,0-1 0,1 1 0,-1 0 1,0 0-1,0 0 0,0-1 0,1 1 0,-1-1 0,19-27-1489,-11 11-5343</inkml:trace>
  <inkml:trace contextRef="#ctx0" brushRef="#br0" timeOffset="-3621.69">2200 1891 24575,'0'3'0,"0"11"0,0 1 0,1 0 0,1 1 0,5 17 0,-5-29 0,-1 0 0,0 1 0,1-1 0,0 0 0,0 0 0,0-1 0,1 1 0,-1 0 0,1-1 0,4 5 0,-5-6 0,0-1 0,0 0 0,0 1 0,0-1 0,0 0 0,0 0 0,1 0 0,-1 0 0,0 0 0,1-1 0,-1 1 0,0-1 0,1 0 0,-1 1 0,1-1 0,-1 0 0,0 0 0,1-1 0,-1 1 0,5-1 0,-4 0 0,-1 0 0,0 0 0,1-1 0,-1 1 0,0 0 0,1-1 0,-1 1 0,0-1 0,0 0 0,0 0 0,-1 0 0,1 0 0,0 0 0,-1 0 0,1 0 0,-1 0 0,0-1 0,1 1 0,-1-1 0,0 1 0,-1-1 0,1 1 0,0-1 0,-1 1 0,1-5 0,0 1 0,0 1 0,-1-2 0,0 1 0,0 0 0,0 0 0,-1 0 0,0 0 0,0 0 0,-4-12 0,4 15 0,-1-1 0,0 1 0,1 1 0,-1-1 0,0 0 0,0 1 0,-1-1 0,1 0 0,-1 1 0,1-1 0,-1 1 0,0 0 0,0 0 0,0 0 0,0 0 0,0 1 0,0-1 0,0 1 0,0 0 0,-7-2 0,8 3 0,0 0 0,-1 0 0,1 0 0,0 0 0,-1 0 0,1 0 0,0 1 0,0-1 0,-1 1 0,1 0 0,0 0 0,0-1 0,0 1 0,0 1 0,0-1 0,0 0 0,0 0 0,0 1 0,0-1 0,1 1 0,-1 0 0,0-1 0,1 1 0,0 0 0,-1 0 0,1 0 0,0 0 0,0 0 0,0 0 0,0 0 0,0 1 0,0 0 0,1-2-105,-1 0 0,1 1 0,0-1 0,-1 0 0,1 0 0,0 0 0,0 0 0,0 1 0,0-1 0,0 0 0,0 0 0,1 2 0,1 4-6721</inkml:trace>
  <inkml:trace contextRef="#ctx0" brushRef="#br0" timeOffset="-3246.04">2616 1738 24575,'0'0'0,"1"4"0,1 4 0,3 4 0,3 5 0,3 8 0,2 4 0,3 6 0,2 2 0,1-2 0,-1-4 0,-3-5 0,-1-4 0,-1-5 0,-4-5 0,-2-6 0</inkml:trace>
  <inkml:trace contextRef="#ctx0" brushRef="#br0" timeOffset="-2962.02">2794 1733 24575,'-1'0'0,"-1"1"0,1-1 0,0 1 0,-1-1 0,1 1 0,0 0 0,-1 0 0,1-1 0,0 1 0,0 0 0,0 0 0,0 0 0,0 0 0,0 0 0,0 1 0,0-1 0,0 0 0,0 0 0,-1 3 0,-15 32 0,13-26 0,-4 8 0,-156 325 0,151-319 0,-13 28 0,37-68-1365,-4 3-5461</inkml:trace>
  <inkml:trace contextRef="#ctx0" brushRef="#br0" timeOffset="-1781.59">3143 1652 24575,'1'12'0,"1"1"0,0-1 0,6 17 0,2 12 0,4 54 0,3 112 0,-13-133 0,-4-62 0,0-7 0,1-1 0,-1 1 0,0-1 0,1 1 0,0-1 0,2 6 0,-3-10 1,0 0 0,1 0-1,-1 0 1,0 1-1,1-1 1,-1 0 0,0 0-1,0 0 1,1 0 0,-1 0-1,0 0 1,1 0 0,-1 0-1,0 0 1,0 0 0,1 0-1,-1 0 1,0-1 0,0 1-1,1 0 1,-1 0-1,0 0 1,1 0 0,-1 0-1,0 0 1,0-1 0,0 1-1,1 0 1,-1 0 0,0 0-1,0-1 1,0 1 0,1 0-1,-1 0 1,0-1-1,0 1 1,0 0 0,0 0-1,0-1 1,0 1 0,0 0-1,1 0 1,-1-1 0,0 1-1,8-15-1299,-8 15 1204,10-17-6731</inkml:trace>
  <inkml:trace contextRef="#ctx0" brushRef="#br0" timeOffset="-964.15">3412 1833 24575,'-1'0'0,"0"0"0,0 0 0,0 0 0,0 1 0,1-1 0,-1 1 0,0 0 0,0-1 0,0 1 0,1 0 0,-1-1 0,0 1 0,1 0 0,-1 0 0,1 0 0,-1-1 0,1 1 0,-1 0 0,1 0 0,-1 2 0,-9 24 0,9-22 0,-4 11 0,0-2 0,-3 32 0,7-42 0,1 1 0,-1-1 0,1 1 0,0 0 0,1-1 0,-1 0 0,1 0 0,0 1 0,0-1 0,0 1 0,1-1 0,-1 0 0,1 1 0,0-1 0,3 4 0,-5-7 0,1 0 0,0 0 0,0 0 0,-1 0 0,1 0 0,0 0 0,0 0 0,0 0 0,0-1 0,0 1 0,0 0 0,0 0 0,0-1 0,0 1 0,1-1 0,-1 1 0,0-1 0,0 1 0,0-1 0,1 0 0,-1 0 0,0 0 0,0 1 0,1-1 0,-1 0 0,0-1 0,1 1 0,-1 0 0,0 0 0,0 0 0,1-1 0,-1 1 0,0-1 0,0 1 0,0-1 0,0 1 0,0-1 0,1 0 0,-1 1 0,0-1 0,0 0 0,-1 0 0,1 0 0,0 0 0,0 0 0,1-2 0,2-1 0,-1-1 0,0 0 0,0 0 0,0 0 0,-1 0 0,0 0 0,0-1 0,0 1 0,1-7 0,-2 3 0,0 0 0,-1 0 0,-1 0 0,1 0 0,-1 0 0,-3-12 0,3 17 0,0 0 0,0 1 0,0-1 0,-1 0 0,1 0 0,-1 0 0,0 1 0,0-1 0,0 1 0,-1-1 0,1 1 0,-1 0 0,0 0 0,1 0 0,-1 1 0,-5-4 0,-10 2 0,17 4 0,0 0 0,1 0 0,-1 0 0,1 0 0,-1 0 0,0 0 0,1 0 0,-1 0 0,1 0 0,-1 1 0,0-1 0,1 0 0,-1 0 0,1 1 0,-1-1 0,1 0 0,-1 1 0,1-1 0,-1 1 0,1-1 0,0 0 0,-1 1 0,1-1 0,-1 1 0,1-1 0,0 1 0,-1 0 0,1 0 0,1-1 0,-1 1 0,0-1 0,0 1 0,1-1 0,-1 1 0,0-1 0,1 1 0,-1-1 0,1 0 0,-1 1 0,0-1 0,1 1 0,-1-1 0,1 0 0,-1 0 0,1 1 0,-1-1 0,1 0 0,-1 0 0,1 1 0,-1-1 0,1 0 0,0 0 0,-1 0 0,1 0 0,-1 0 0,1 0 0,-1 0 0,1 0 0,0 0 0,-1 0 0,1 0 0,-1 0 0,2-1 0,22-1 0,-11-1 0,-1 0 0,0-1 0,14-5 0,6-4 0,-31 13 0,0 0 0,-1-1 0,1 1 0,0 0 0,0 0 0,-1 0 0,1 0 0,0 0 0,0 0 0,-1 0 0,1 0 0,0 0 0,0 0 0,-1 0 0,1 0 0,0 1 0,0-1 0,-1 0 0,1 0 0,0 1 0,-1-1 0,1 0 0,-1 1 0,1-1 0,0 1 0,-1-1 0,1 1 0,-1-1 0,1 1 0,-1 0 0,1-1 0,-1 1 0,1-1 0,-1 1 0,0 0 0,1-1 0,-1 1 0,0 0 0,0 0 0,0-1 0,1 1 0,-1 0 0,0 1 0,1 3 0,0 2 0,-1 0 0,0-1 0,-1 8 0,1-3 0,0-4 0,1 1 0,0 0 0,0-2 0,1 2 0,-1-1 0,2 0 0,-1 0 0,1 1 0,5 8 0,-7-14 0,0 0 0,0 0 0,0 0 0,1-1 0,-1 1 0,1 0 0,-1-1 0,1 1 0,-1-1 0,1 1 0,0-2 0,0 1 0,0 0 0,0 0 0,0 0 0,0 0 0,0 0 0,0-1 0,0 1 0,0 0 0,0-1 0,0 0 0,0 1 0,1-1 0,-1 0 0,0 0 0,0 0 0,0-1 0,1 1 0,-1-1 0,0 1 0,0-1 0,0 1 0,0-1 0,0 0 0,3-2 0,0 1 0,-1-1 0,-1 0 0,1 0 0,0 0 0,-1-1 0,0 1 0,1-1 0,-1 0 0,-1 0 0,1 0 0,-1-1 0,1 1 0,-1-1 0,-1 1 0,1-1 0,-1 0 0,1 1 0,-1-1 0,0-6 0,0 5 0,0 0 0,-1-1 0,1 1 0,-2 0 0,1-1 0,-1 1 0,1 0 0,-2-1 0,1 1 0,-1 1 0,0-1 0,0 0 0,-1 0 0,-4-8 0,5 12 4,1 0 1,0 1-1,-1-1 0,1 1 0,-1-1 0,1 1 0,-1 0 0,0-1 0,1 1 1,-1 0-1,0 0 0,0 0 0,0 1 0,0-1 0,0 0 0,0 1 0,0-1 1,0 1-1,0 0 0,0-1 0,0 1 0,0 0 0,0 0 0,0 1 0,0-1 1,0 0-1,0 1 0,-4 0 0,0 2-190,0-1 1,0 1-1,0 0 0,0 1 1,0-1-1,1 1 1,-9 7-1,4-1-6640</inkml:trace>
  <inkml:trace contextRef="#ctx0" brushRef="#br0" timeOffset="2011.51">2140 1530 24575,'0'8'0,"1"1"0,0 0 0,4 16 0,-5-22 0,1-1 0,0 0 0,-1 1 0,1-1 0,0 1 0,0-1 0,1 0 0,-1 0 0,0 0 0,1 1 0,-1-1 0,1-1 0,0 0 0,-1 1 0,1 0 0,0 0 0,0-1 0,2 2 0,-3-3 0,-1 0 0,1 0 0,-1 0 0,1 0 0,0 0 0,-1 0 0,1 0 0,-1 0 0,1 0 0,-1 0 0,1 0 0,-1 0 0,1-1 0,-1 1 0,1 0 0,-1 0 0,1 0 0,-1-1 0,0 1 0,1 0 0,-1-1 0,1 1 0,-1 0 0,0-1 0,1 1 0,-1-1 0,0 1 0,1 0 0,-1-2 0,9-13 0,-8 13 0,59-167 0,-25 63 0,-30 96-1365,-1 5-5461</inkml:trace>
  <inkml:trace contextRef="#ctx0" brushRef="#br0" timeOffset="2619.91">2369 946 24575,'-1'0'0,"0"-1"0,0 1 0,0-1 0,0 1 0,0-1 0,0 1 0,0-1 0,0 0 0,0 1 0,0-1 0,0 0 0,-1-1 0,-11-7 0,13 9 0,-1-1 0,1 1 0,-1 0 0,1 0 0,-1 0 0,1 0 0,-1 0 0,1 0 0,-1 0 0,1 0 0,-1 0 0,1 0 0,-1 0 0,1 0 0,-1 0 0,1 0 0,0 1 0,-1-1 0,1 0 0,-1 0 0,1 0 0,-1 1 0,1-1 0,0 0 0,-1 1 0,1-1 0,0 0 0,-1 1 0,0 0 0,-1 2 0,-1 0 0,1 0 0,0 1 0,0 0 0,0 0 0,1 0 0,-1 0 0,-1 8 0,-5 36 0,7-37 0,-4 26 0,0 50 0,5-76 0,0 0 0,1 1 0,1-1 0,0 1 0,0-1 0,1-1 0,1 1 0,8 19 0,-11-27 0,0-1 0,0 1 0,1-1 0,-1 0 0,1 0 0,-1 1 0,1-1 0,0 0 0,0 0 0,0-1 0,0 1 0,0 0 0,1-1 0,-1 1 0,0-1 0,1 0 0,-1 0 0,1 0 0,-1-1 0,1 1 0,0 0 0,-1-1 0,1 1 0,0-1 0,0 0 0,3 0 0,-2 0 0,1-1 0,-1-1 0,1 1 0,-2 0 0,2 0 0,-1-1 0,0-1 0,1 1 0,-1 0 0,-1-1 0,1 0 0,0 0 0,-1 0 0,5-5 0,1-2 0,0-1 0,-1 0 0,0-1 0,-1 1 0,0-1 0,-1 0 0,0-1 0,-1 0 0,-1 0 0,0 0 0,0 0 0,-1-1 0,-1 0 0,-1 1 0,1-23 0,-3 23 0,1 0 0,-2 0 0,0 1 0,0-1 0,-1 1 0,-1-1 0,0 1 0,-1 0 0,0 1 0,0 0 0,-2-1 0,1 1 0,-2 0 0,1 1 0,-1 0 0,-1 1 0,-9-10 0,15 17 0,0-1 0,0 1 0,0 0 0,0 0 0,0 0 0,0 0 0,-1 1 0,-5-3 0,8 4 0,0 0 0,0-1 0,0 1 0,0 0 0,0 0 0,-1 0 0,1 0 0,0 1 0,0-1 0,0 0 0,0 0 0,0 1 0,-1-1 0,1 0 0,0 1 0,0-1 0,0 1 0,0 0 0,0-1 0,0 1 0,0 0 0,0-1 0,1 1 0,-1 0 0,0 0 0,0 0 0,1 0 0,-1 0 0,0 0 0,0 2 0,-2 4 0,-1 0 0,2 1 0,-1-2 0,1 2 0,0 0 0,1 0 0,-1 9 0,-1 58 0,3-65 0,0 6 0,1-1 0,0 1 0,2 0 0,-1-1 0,9 25 0,-10-36 0,0 0 0,1 0 0,0 0 0,0 0 0,0 0 0,0 0 0,0 0 0,1-1 0,-1 1 0,1-1 0,0 0 0,0 0 0,1 0 0,-2-1 0,1 0 0,1 1 0,0-1 0,0 0 0,-1 0 0,1 0 0,0 0 0,1-1 0,-1 0 0,0 0 0,7 1 0,-7-2-72,-1 0 1,1-1-1,-1 1 0,1-1 0,-1 0 0,0 0 0,1 0 0,-1-1 1,0 1-1,0-1 0,0 0 0,0 0 0,0 0 0,0 0 0,0 0 1,-1 1-1,1-2 0,3-5 0,8-7-6754</inkml:trace>
  <inkml:trace contextRef="#ctx0" brushRef="#br0" timeOffset="2888.21">2602 752 24575,'-1'31'0,"1"50"0,3-60 0,0-1 0,2 1 0,0-2 0,1 1 0,1-1 0,15 30 0,-27-50 14,-3-5-1393,-2-3-5447</inkml:trace>
  <inkml:trace contextRef="#ctx0" brushRef="#br0" timeOffset="3356.33">2556 955 24575,'2'-2'0,"0"0"0,0 0 0,0 0 0,1 1 0,-1-1 0,0 1 0,1-1 0,2 0 0,1-2 0,17-9 0,-14 8 0,1 0 0,-1-1 0,-1-1 0,1 1 0,-1-1 0,0-1 0,11-12 0,-26 47 0,7-26 0,0 0 0,0 1 0,0-1 0,0 0 0,0 1 0,1-1 0,-1 0 0,0 1 0,1-1 0,-1 0 0,1 1 0,-1-1 0,1 0 0,-1 0 0,1 0 0,0 0 0,0 0 0,-1 1 0,1-1 0,0-1 0,0 1 0,0 0 0,0 0 0,0 0 0,0 0 0,1-1 0,-1 1 0,0 0 0,0-1 0,0 1 0,1-1 0,-1 0 0,2 1 0,-2 0 0,1-1 0,-1 0 0,0 1 0,1-1 0,-1 0 0,0 1 0,0-1 0,1 0 0,-1 0 0,0 0 0,1 0 0,-1 0 0,0-1 0,1 1 0,-1 0 0,0-1 0,0 1 0,1 0 0,-1-1 0,0 0 0,0 1 0,0-1 0,0 0 0,0 1 0,0-1 0,0 0 0,0 0 0,0 0 0,0 0 0,0 0 0,0 0 0,0 0 0,-1 0 0,1 0 0,-1-1 0,1 1 0,-1 0 0,1 0 0,-1-1 0,1 1 0,-1 0 0,0 0 0,0-1 0,0 1 0,0 0 0,0-1 0,0 1 0,0 0 0,0-1 0,0 1 0,-1 0 0,1 0 0,-1-1 0,0 0 0,3 56 0,3-25 0,-2-13 0,0-1 0,-1 1 0,-1 0 0,-1 0 0,0 0 0,-4 29 0,3-44-65,1 0 0,0 0 0,0 0 0,-1 0 0,1 0 0,0 0 0,-1 0 0,1 0 0,-1 0 0,1 0 0,-1 0 0,0 0 0,1 0 0,-1-1 0,0 1 0,0 0 0,1 0 0,-1-1 0,0 1 0,-1 0 0,-4 1-6761</inkml:trace>
  <inkml:trace contextRef="#ctx0" brushRef="#br0" timeOffset="4252.96">3554 1421 24575,'-14'-13'0,"8"5"0,0 4 0,-1-1 0,1 1 0,-1 1 0,0 0 0,-1 0 0,1 0 0,0 1 0,-1 0 0,1 0 0,-1 0 0,0 1 0,-12 0 0,3 0 0,-1 1 0,1 2 0,-1-1 0,-24 7 0,34-6 0,1 1 0,-1 0 0,1-1 0,0 2 0,0 0 0,0 0 0,0 1 0,1 0 0,-1 0 0,1 0 0,1 1 0,-1 0 0,1 0 0,0 0 0,0 1 0,1-1 0,0 0 0,-5 11 0,-3 11 0,1 0 0,1-1 0,-9 46 0,7-23 0,2 2 0,3 0 0,2 0 0,3 62 0,3-87 0,1 0 0,1 0 0,2-1 0,0 1 0,2 0 0,1-1 0,1 0 0,2-1 0,24 44 0,-29-59 0,1 0 0,0-2 0,0 1 0,1 0 0,0-1 0,1 1 0,0-2 0,0 0 0,11 7 0,-13-10 0,-1-2 0,1 1 0,-1 0 0,1-1 0,0 0 0,0 0 0,0 0 0,0-1 0,0 0 0,-1-1 0,1 1 0,1-1 0,-1-1 0,0 1 0,0-1 0,8-2 0,6-4 0,0 0 0,0-2 0,-1 0 0,0-2 0,-1 0 0,0-1 0,-1-1 0,0 0 0,-1-1 0,0-1 0,-2-1 0,23-28 0,-25 24 0,0 0 0,-2 0 0,0-2 0,-2 0 0,0 0 0,-1 0 0,-2-1 0,0-1 0,-2 2 0,3-33 0,-4 18 0,-2-1 0,-2 1 0,-1-1 0,-2 1 0,-16-65 0,15 84 0,-1-1 0,0 0 0,-2 0 0,0 1 0,-1 1 0,-15-22 0,17 29 0,0 1 0,-1 1 0,0-1 0,-1 0 0,0 2 0,0-1 0,0 1 0,-1 0 0,0 1 0,-1 0 0,-20-7 0,6 5-162,-1 1 1,0 2-1,0 1 0,-50-2 0,61 5-394,4 0-6270</inkml:trace>
  <inkml:trace contextRef="#ctx0" brushRef="#br0" timeOffset="4795.7">3430 1367 24575,'0'-1'0,"0"-4"0,0-3 0,3-4 0,3-2 0,3-4 0,4-2 0,1-4 0,0 0 0,-2 4 0,-2 3 0,-2 4 0,-3 3 0,-2 2 0,-1 1 0</inkml:trace>
  <inkml:trace contextRef="#ctx0" brushRef="#br0" timeOffset="5348.95">3536 1050 24575,'-1'0'0,"1"-1"0,0 1 0,0-1 0,-1 1 0,1-1 0,0 1 0,0-1 0,-1 1 0,1 0 0,-1-1 0,1 1 0,0-1 0,-1 1 0,1 0 0,-1-1 0,1 1 0,-1 0 0,1 0 0,-1-1 0,1 1 0,-1 0 0,1 0 0,-1 0 0,1 0 0,-1 0 0,1 0 0,-1 0 0,0 0 0,1 0 0,-1 0 0,1 0 0,-1 0 0,1 0 0,-1 0 0,1 0 0,-1 1 0,-25 3 0,23-3 0,-10 1 0,-16 6 0,41-7 0,9-5 0,39-27 0,-59 31 0,0 0 0,-1-1 0,1 2 0,0-1 0,0 0 0,-1 0 0,1 0 0,0 0 0,-1 0 0,1 0 0,0 1 0,-1-1 0,1 0 0,0 1 0,-1-1 0,1 0 0,0 1 0,-1-1 0,1 1 0,-1-1 0,1 1 0,-1-1 0,1 1 0,-1-1 0,1 1 0,-1 0 0,0-1 0,1 1 0,-1 0 0,0-1 0,0 1 0,1 0 0,-1-1 0,0 1 0,0 0 0,0 1 0,6 32 0,-6-27 0,2 10 0,0 2 0,8 34 0,-9-49 0,0 0 0,1 1 0,-1-1 0,1 0 0,0 0 0,0 0 0,0-1 0,1 1 0,-1 0 0,1-1 0,0 1 0,0-1 0,6 5 0,-8-7-54,0 0-1,0-1 0,0 1 1,0-1-1,0 1 1,0-1-1,-1 1 0,1-1 1,0 0-1,1 1 1,-1-1-1,0 0 0,0 0 1,0 0-1,0 0 0,0 0 1,0 0-1,0 0 1,0 0-1,0 0 0,0 0 1,0-1-1,0 1 1,2-1-1</inkml:trace>
  <inkml:trace contextRef="#ctx0" brushRef="#br0" timeOffset="7883.03">3687 670 24575,'-1'1'0,"1"-1"0,0 1 0,0-1 0,-1 1 0,1-1 0,0 1 0,0-1 0,-1 1 0,1-1 0,0 1 0,0-1 0,0 1 0,0-1 0,0 1 0,0-1 0,0 1 0,0 0 0,0-1 0,0 1 0,0-1 0,0 1 0,0-1 0,1 1 0,-1-1 0,0 1 0,0-1 0,1 1 0,-1-1 0,0 1 0,1-1 0,-1 1 0,11 23 0,-10-23 0,68 135 0,21 44 0,-85-163 0,-5-17 0,-1 0 0,1 0 0,0 0 0,0 1 0,0-1 0,0 0 0,0 0 0,0 0 0,-1 0 0,1 0 0,0 0 0,0 0 0,0 1 0,0-1 0,-1 0 0,1 0 0,0 0 0,0 0 0,0 0 0,-1 0 0,1 0 0,0 0 0,0 0 0,0 0 0,-1 0 0,1 0 0,0 0 0,0 0 0,0 0 0,0 0 0,-1-1 0,1 1 0,0 0 0,0 0 0,0 0 0,0 0 0,-1 0 0,1 0 0,0 0 0,0-1 0,-24-20 0,4-3 0,1-2 0,1-1 0,2 0 0,-16-34 0,10 9 0,-24-80 0,44 125 0,-5-15 0,1 0 0,0-1 0,2 0 0,-2-41 0,6 61 0,0 1 0,0-1 0,0 1 0,1-1 0,-1 1 0,1 0 0,-1-1 0,1 1 0,0 0 0,0-1 0,0 2 0,0-1 0,0 0 0,0 0 0,3-3 0,-2 3 0,-1 1 0,1 0 0,-1 0 0,1 0 0,-1 0 0,1 0 0,0 0 0,-1 1 0,1-1 0,0 0 0,0 1 0,0 0 0,0-1 0,-1 1 0,1 0 0,2 0 0,2 0 0,0 1 0,-1 0 0,1 0 0,0 0 0,-1 1 0,1 0 0,-1 0 0,0 0 0,1 1 0,-1-1 0,8 6 0,-7-3 0,1 1 0,-1 0 0,0 0 0,-1 1 0,1 0 0,-1-1 0,-1 2 0,1-1 0,-1 1 0,0-1 0,-1 0 0,0 1 0,0 0 0,-1 1 0,0-1 0,0 0 0,-1 1 0,0-1 0,-1 1 0,0-2 0,-2 18 0,2-17 0,-1 0 0,-1 0 0,1 0 0,-2-1 0,1 0 0,-1 0 0,0 0 0,0 0 0,-1 0 0,0 0 0,0 0 0,0-1 0,-1 0 0,0 0 0,-1 0 0,1 0 0,-1-2 0,0 1 0,0 0 0,-1-1 0,1 0 0,-1 0 0,0 0 0,-8 2 0,10-4 0,-1-1 0,1 0 0,0 0 0,0 0 0,-7 0 0,11-1 0,0 0 0,0 0 0,0 0 0,0 0 0,0 0 0,0 0 0,0 0 0,0 0 0,0 0 0,0-1 0,0 1 0,0 0 0,0-1 0,0 1 0,0-1 0,0 1 0,0-1 0,0 1 0,1-1 0,-1 1 0,0-1 0,0 0 0,1 0 0,-1 1 0,0-1 0,1 0 0,-1 0 0,1 0 0,-1 0 0,1 1 0,-1-1 0,1 0 0,0 0 0,-1-1 0,1 1 0,1 0 0,-1-1 0,0 1 0,1 0 0,-1 0 0,0 0 0,1 0 0,-1 0 0,1 1 0,0-1 0,-1 0 0,1 0 0,0 0 0,-1 0 0,1 1 0,0-1 0,0 0 0,0 0 0,0 1 0,0-1 0,0 1 0,0-1 0,0 1 0,0 0 0,0-1 0,0 1 0,0 0 0,2-1 0,32-4 0,-23 4 0,0 1 0,0 0 0,0 1 0,0 0 0,0 1 0,24 6 0,66 32 0,-24-9 0,-75-30 0,0 0 0,0 0 0,0 0 0,0 0 0,0-1 0,0 1 0,0-1 0,1 0 0,-1 0 0,0 0 0,0 0 0,0 0 0,0-1 0,0 0 0,1 1 0,-1-1 0,0 0 0,-1 0 0,5-3 0,-4 2 0,0 0 0,0 0 0,0-1 0,0 0 0,-1 0 0,1-1 0,-1 1 0,0 0 0,0-1 0,0 0 0,0 1 0,0-1 0,-1 0 0,2-6 0,0-3 0,0 2 0,-1-2 0,0 0 0,-1 0 0,0 0 0,-1 1 0,0 0 0,-1-1 0,-1 0 0,0 0 0,-6-18 0,8 29 0,-1 0 0,0 0 0,0 0 0,0 0 0,0 0 0,0 0 0,0 0 0,0 0 0,-1 1 0,1-1 0,-1 0 0,0 1 0,1-1 0,-1 1 0,0-1 0,0 1 0,-2-1 0,2 1 0,1 1 0,-1-1 0,1 1 0,-1 0 0,0 0 0,1 0 0,-1 0 0,0 0 0,1 0 0,-1 0 0,1 1 0,-1-1 0,1 1 0,-1-1 0,1 1 0,-1-1 0,1 1 0,-3 1 0,-1 2 0,0 0 0,0 0 0,0 0 0,1 0 0,-1 1 0,1-1 0,0 1 0,1 0 0,-1 1 0,-3 8 0,1-1 0,1 0 0,-5 16 0,9-25 0,0 0 0,0 0 0,0 0 0,1-1 0,-1 1 0,1 0 0,0 0 0,1 0 0,-1 0 0,0 0 0,1 0 0,2 7 0,-2-10 0,-1 0 0,0 0 0,1 0 0,-1-1 0,1 1 0,-1 0 0,1-1 0,-1 1 0,1 0 0,-1 0 0,1-1 0,0 1 0,0 0 0,-1-1 0,1 1 0,0-1 0,0 1 0,0-1 0,0 1 0,-1-1 0,1 0 0,0 1 0,0-1 0,0 0 0,2 1 0,-2-2 0,0 1 0,1 0 0,-1-1 0,1 1 0,-1-1 0,0 1 0,0-1 0,1 0 0,-1 1 0,0-1 0,0 0 0,0 0 0,1 0 0,-1 0 0,1-1 0,1-1 0,1-1 0,-1-1 0,0 1 0,0-1 0,0 1 0,-1-1 0,0 0 0,2-6 0,3-40 0,-5 50 0,-1 0 0,0 1 0,1-1 0,-1 1 0,1-1 0,-1 1 0,1 0 0,-1 0 0,1 0 0,-1-1 0,1 1 0,-1 1 0,1-1 0,-1 0 0,1 0 0,-1 1 0,2-1 0,9 1 0,-10-1 0,0 0 0,0 0 0,0 0 0,0 0 0,0-1 0,0 1 0,0-1 0,0 0 0,0 1 0,0-1 0,0 0 0,-1 0 0,1 0 0,0-1 0,0 1 0,-1 0 0,1-1 0,-1 1 0,1 0 0,-1-1 0,0 0 0,0 1 0,1-1 0,-1 0 0,0 0 0,-1 0 0,1 0 0,0 1 0,0-1 0,-1 0 0,1 0 0,-1 0 0,0-1 0,1 1 0,-1-3 0,-1-2 0,1-1 0,-2 0 0,1 1 0,-1-1 0,0 0 0,0 0 0,-1 1 0,-4-8 0,-77-147 0,78 154 0,4 9 0,9 15 0,13 18 0,2-1 0,2-1 0,1 0 0,36 33 0,-57-60 0,1-1 0,0 1 0,1-1 0,8 6 0,-13-9 0,-1-1 0,1 0 0,0 1 0,0-1 0,-1 0 0,1 1 0,0-1 0,-1 0 0,1 0 0,0 0 0,0 0 0,0 0 0,-1 0 0,1 0 0,0 0 0,0 0 0,-1 0 0,1 0 0,0 0 0,0 0 0,-1 0 0,1 0 0,0 0 0,0-1 0,-1 1 0,1 0 0,0-1 0,-1 1 0,1-1 0,0 1 0,-1-1 0,1 1 0,-1-1 0,1 1 0,-1-1 0,1 0 0,-1 1 0,1-1 0,-1 0 0,0 1 0,1-1 0,-1 0 0,0 1 0,1-1 0,-1 0 0,0 0 0,0 0 0,0 1 0,0-1 0,0-1 0,3-20 0,-3 18 0,0 0 0,0 0 0,0 1 0,1-1 0,0 0 0,2-5 0,-3 8 0,1 0 0,0 0 0,-1 1 0,1-1 0,0 0 0,-1 0 0,1 0 0,0 1 0,0-1 0,0 0 0,0 0 0,0 1 0,0-1 0,0 1 0,0-1 0,0 1 0,0-1 0,0 1 0,0 0 0,1-1 0,-1 1 0,0 0 0,0 0 0,0 0 0,0 0 0,2 0 0,1 0 0,0 0 0,0 0 0,0 0 0,0-1 0,0 1 0,0-1 0,4-2 0,-7 3 0,0-1 0,0 1 0,-1-1 0,1 1 0,0-1 0,-1 1 0,1-1 0,-1 1 0,1-1 0,-1 0 0,1 1 0,-1-1 0,1 0 0,-1 0 0,0 1 0,1-1 0,-1 0 0,0 0 0,1 1 0,-1-1 0,0 0 0,0 0 0,0 0 0,0 0 0,0 1 0,0-1 0,0 0 0,0 0 0,0 0 0,0 0 0,-1 1 0,1-1 0,0 0 0,-1 0 0,1 1 0,0-1 0,-1 0 0,1 0 0,-1 1 0,1-1 0,-1 0 0,0 0 0,0 0 0,1 0 0,-1-1 0,0 1 0,1 0 0,-1 0 0,0 0 0,0 0 0,0 0 0,0 0 0,0 0 0,0 0 0,0 1 0,-1-1 0,0-1 0,1 2 0,1 0 0,-1 0 0,1 0 0,-1 0 0,1 0 0,-1 0 0,1 0 0,-1 0 0,1 0 0,0 0 0,-1 0 0,1 0 0,-1 0 0,1 0 0,-1 0 0,1 1 0,-1-1 0,1 0 0,-1 0 0,1 0 0,0 1 0,-1-1 0,1 0 0,0 1 0,-1-1 0,0 1 0,1 0 0,-1 0 0,1 0 0,-1 0 0,0 1 0,1-1 0,0 0 0,-1 1 0,1-1 0,0 0 0,0 0 0,0 1 0,0-1 0,0 0 0,0 1 0,0-1 0,0 0 0,0 1 0,1-1 0,-1 0 0,1 0 0,-1 1 0,1-1 0,-1 0 0,1 0 0,-1 0 0,1 0 0,1 2 0,0-1 9,1 1 1,-1-1-1,1 0 0,0 0 0,-1 0 1,1 0-1,0-1 0,0 1 0,0-1 0,0 0 1,0 0-1,5 1 0,-7-2-44,0 0 1,0 1-1,0-1 1,0 0-1,0 0 1,0 1-1,0-1 1,0 0-1,1 0 1,-1 0-1,0 0 1,0 0-1,0-1 0,0 1 1,0 0-1,0 0 1,0-1-1,0 1 1,0 0-1,0 0 1,0-1-1,0 1 1,-1-1-1,1 1 1,0-1-1,0 0 1,0 1-1,-1-1 0,1 0 1,0 0-1,-1 0 1,1 0-1,-1 1 1,1-1-1,-1 0 1,1 0-1,-1 0 1,1 0-1,-1 0 1,0 0-1,0 0 0,1-2 1,-2-6-6792</inkml:trace>
  <inkml:trace contextRef="#ctx0" brushRef="#br0" timeOffset="8121.58">3907 626 24575,'0'-1'0,"1"-4"0,5-7 0,5-6 0,6-6 0,4-3 0,2-1 0,0 4 0,-2 4 0,-4 5 0,-2 6 0,-3 2 0,-2 3 0,-1 1 0,-1 2-8191</inkml:trace>
  <inkml:trace contextRef="#ctx0" brushRef="#br0" timeOffset="8804.44">4278 101 24575,'-1'1'0,"1"-1"0,-1 1 0,1-1 0,-1 1 0,1 0 0,0-1 0,-1 1 0,1 0 0,0-1 0,0 1 0,0 0 0,-1-1 0,1 1 0,0 0 0,0-1 0,0 1 0,0-1 0,0 1 0,0-1 0,0 1 0,0 0 0,1-1 0,-1 1 0,0 0 0,0 0 0,0-1 0,1 2 0,6 23 0,7 11 0,1-1 0,1 0 0,35 51 0,77 87 0,-109-150 0,-1 1 0,1-1 0,1-1 0,42 35 0,-69-69 0,-12-11 0,-7-4-1365,0-1-5461</inkml:trace>
  <inkml:trace contextRef="#ctx0" brushRef="#br0" timeOffset="9063.84">4382 344 24575,'-1'-3'0,"-1"0"0,1 1 0,0-1 0,1-1 0,-1 1 0,0-1 0,1 1 0,0 0 0,0-1 0,0 1 0,0-1 0,0 1 0,1-1 0,0 1 0,-1 0 0,1-1 0,1 1 0,-1 0 0,0 0 0,1 0 0,-1 0 0,1 0 0,3-4 0,-4 6 0,1-1 0,0 0 0,0 0 0,-1 1 0,1-1 0,0 0 0,1 1 0,-1-1 0,0 1 0,0 0 0,1 0 0,-1 0 0,0 0 0,1 0 0,-1 0 0,1 1 0,-1-1 0,1 1 0,-1-1 0,1 1 0,0 0 0,-1 0 0,1 0 0,-1 1 0,1-1 0,-1 1 0,1-1 0,-1 1 0,1 0 0,-1 0 0,4 2 0,-4-2 0,0 1 0,0-1 0,0 1 0,0 0 0,0 0 0,0 0 0,-1 0 0,1-1 0,-1 1 0,1 0 0,-1 0 0,0 1 0,0-1 0,0 1 0,0-1 0,0 1 0,0-1 0,-1 1 0,0-1 0,1 1 0,-1 0 0,0-1 0,0 1 0,0 0 0,-1 2 0,1-2 0,0 0 0,-1 0 0,1 0 0,-1 0 0,0-1 0,1 1 0,-1 0 0,-1 0 0,1-1 0,0 0 0,-1 1 0,1-1 0,-1 1 0,0-1 0,0 0 0,0 0 0,0 0 0,0 0 0,0 0 0,-1 0 0,1 0 0,-4 1 0,6-3-25,-1 0 0,1 0 0,0 0 0,-1 0 0,1 0 0,-1 0 0,1 0 0,0 0 0,-1 0 0,1-1 0,-1 1 0,1 0 0,0 0 0,-1 0 0,1-1 0,0 1 0,-1 0 0,1 0 0,0-1 0,0 1 0,-1 0 0,1-1 0,0 1 0,0 0 0,-1-1 0,1 1 0,0 0 0,0-1 0,0 1 0,0-1 0,-1 1 0,1 0 0,0-1 0,0 1 0,0-1 0,0 1 0,0 0 0,0-1 0,0 1 0,0-1 0,0 1 0,1-1 0,-2 0-265,1-9-6536</inkml:trace>
  <inkml:trace contextRef="#ctx0" brushRef="#br0" timeOffset="9715.93">4524 250 24575,'3'0'0,"0"1"0,-1-2 0,1 1 0,-1 0 0,1-1 0,0 1 0,-1-1 0,1 0 0,-1 0 0,1 0 0,-1 0 0,5-2 0,-7 2 0,1 0 0,0 0 0,0 0 0,0 0 0,-1 0 0,1 0 0,-1 0 0,1 0 0,-1 0 0,1 0 0,-1-1 0,0 1 0,1 0 0,-1 0 0,0 0 0,0-1 0,0 1 0,0 0 0,0 0 0,0 0 0,0-1 0,0 1 0,-1 0 0,1 0 0,0 0 0,-1 0 0,1-1 0,-1 1 0,1 0 0,-1 0 0,0-1 0,0 1 0,0-1 0,1 1 0,-1 0 0,0-1 0,0 1 0,1 0 0,-1 0 0,0 0 0,-1 0 0,1 0 0,0 0 0,0 0 0,-1-1 0,1 2 0,1 0 0,-1 0 0,1 0 0,-1 0 0,1 0 0,-1 0 0,0 0 0,1 0 0,-1 0 0,1 0 0,-1 0 0,1 0 0,-1 0 0,1 0 0,-1 0 0,1 0 0,-1 0 0,1 0 0,-1 0 0,1 0 0,-1 0 0,1 0 0,-1 1 0,0-1 0,0 2 0,0-1 0,-1 1 0,1 0 0,0-1 0,0 1 0,0 0 0,0-1 0,0 1 0,1 0 0,-1 0 0,1 0 0,-1 0 0,1 0 0,-1 0 0,1 0 0,0 0 0,0 0 0,0 2 0,1-2 0,-1 1 0,1 0 0,0-1 0,0 1 0,0-1 0,0 1 0,1-1 0,-1 0 0,1 1 0,-1-1 0,1 0 0,0 0 0,0 0 0,-1 0 0,2-1 0,-1 0 0,0 1 0,0-1 0,0 1 0,1-1 0,-1 0 0,6 2 0,-7-2 0,1-1 0,-1 1 0,1 0 0,0-1 0,-1 1 0,1-1 0,0 1 0,0-1 0,-1 0 0,1 0 0,0 0 0,0 0 0,-1 0 0,1 0 0,0-1 0,0 1 0,-1 0 0,1-1 0,0 1 0,-1-1 0,1 0 0,0 0 0,-1 0 0,1 1 0,-1-1 0,0-1 0,1 1 0,-1 0 0,0 0 0,1 0 0,-1-1 0,0 2 0,0-2 0,2-2 0,-2-1 0,1-1 0,-1 1 0,0-1 0,-1 1 0,1-1 0,-1 1 0,0-1 0,-1 0 0,1 1 0,-3-10 0,2 9 0,0 0 0,0 1 0,0-1 0,1 0 0,0 0 0,0 0 0,1 0 0,0 0 0,2-9 0,-3 13 0,1 1 0,-1 0 0,1 0 0,-1 0 0,1 1 0,-1-1 0,1 0 0,0 0 0,-1 0 0,1 0 0,0 1 0,0-1 0,0 0 0,0 0 0,-1 1 0,1-1 0,0 0 0,0 1 0,1-1 0,-1 1 0,0 0 0,0-1 0,1 0 0,0 1 0,1 0 0,-1 0 0,0 0 0,0 1 0,0-1 0,0 0 0,0 1 0,0 0 0,0-1 0,0 1 0,4 2 0,2 2 0,0-1 0,0 1 0,0 1 0,9 9 0,23 28 0,-37-40 0,0 0 0,0 1 0,0 0 0,-1 0 0,0 1 0,0-1 0,0 0 0,0 1 0,-1-1 0,2 7 0,-3-10 0,0-1 0,0 1 0,1 0 0,-1 0 0,0 0 0,0 0 0,0-1 0,0 1 0,-1 0 0,1 0 0,0 0 0,0-1 0,0 1 0,-1 0 0,1 0 0,0-1 0,-1 1 0,1 0 0,0 0 0,-1-1 0,1 1 0,-1 0 0,1-1 0,-1 1 0,0-1 0,1 1 0,-1-1 0,1 1 0,-1-1 0,0 1 0,0-1 0,1 0 0,-1 1 0,0-1 0,0 0 0,1 1 0,-3-1 0,2 0 0,-1 0 0,1 0 0,-1 0 0,1 0 0,-1-1 0,1 1 0,-1 0 0,1-1 0,-1 1 0,1-1 0,0 0 0,-1 1 0,1-1 0,0 0 0,0 0 0,-1 0 0,1 0 0,0 0 0,0 0 0,-1-1 0,-3-6 0,1 0 0,0 0 0,1-1 0,0 1 0,0-1 0,1 1 0,0 0 0,0-1 0,1 0 0,0 0 0,1 0 0,0 0 0,0 0 0,1 0 0,0 1 0,4-17 0,-4 22 10,0 1 0,0 0 0,0-1 0,0 1 0,0 0 0,1 0 0,-1 0 0,1 0 0,0 0 0,-1 0 0,4-3 0,-4 4-61,0 1 0,0-1-1,0 1 1,0-1 0,0 1 0,0-1 0,0 1-1,0 0 1,0 0 0,0-1 0,0 1 0,0 0-1,1 0 1,-1 0 0,0 0 0,0 0-1,0 0 1,0 0 0,0 1 0,0-1 0,0 0-1,0 0 1,0 1 0,0-1 0,0 1 0,0-1-1,0 1 1,2 1 0,5 5-6775</inkml:trace>
  <inkml:trace contextRef="#ctx0" brushRef="#br0" timeOffset="10474.66">4072 1575 24575,'-6'-10'0,"11"13"0,16 15 0,108 128 0,-103-113 0,-1 3 0,29 57 0,-48-77 0,-6-16 0,0 0 0,0 0 0,1 0 0,-1 1 0,0-1 0,0 0 0,0 0 0,0 0 0,0 0 0,0 0 0,0 0 0,0 0 0,0 1 0,0-1 0,-1 0 0,1 0 0,0 0 0,0 0 0,0 0 0,0 0 0,0 0 0,0 1 0,0-1 0,0 0 0,0 0 0,0 0 0,0 0 0,0 0 0,0 0 0,0 0 0,-1 0 0,1 0 0,0 0 0,0 0 0,0 0 0,0 1 0,0-1 0,0 0 0,0 0 0,-1 0 0,1 0 0,0 0 0,0 0 0,0 0 0,0 0 0,0 0 0,0 0 0,0 0 0,-1 0 0,1 0 0,0 0 0,0 0 0,0 0 0,0-1 0,0 1 0,-3-1 0,0-1 0,0 0 0,0 1 0,0-2 0,2 1 0,-6-5 0,-23-24 0,2-1 0,1-1 0,1-2 0,2 0 0,2-2 0,-28-61 0,47 92 0,1 0 0,0 0 0,0 0 0,1 0 0,0 0 0,-1-7 0,2 12 0,0 0 0,0 0 0,0-1 0,1 1 0,-1 0 0,0 0 0,0 0 0,1-1 0,-1 2 0,1-1 0,-1 0 0,1 0 0,-1 0 0,1 0 0,0 0 0,-1 0 0,1 0 0,0 0 0,0 0 0,0 0 0,0 0 0,0 1 0,0-1 0,0 0 0,0 1 0,0-1 0,0 1 0,0-1 0,0 1 0,0-1 0,1 1 0,-1 0 0,0-1 0,0 1 0,1 0 0,1 0 0,5 0 0,0 0 0,-1 1 0,1-1 0,0 1 0,-1 1 0,1 0 0,-1 0 0,1 0 0,-1 1 0,0 0 0,8 4 0,-13-6 0,0 0 0,0 0 0,0 1 0,0-1 0,0 0 0,0 1 0,0 0 0,0-1 0,-1 1 0,1 0 0,0 0 0,-1 0 0,0 0 0,1 0 0,-1 0 0,0 1 0,0-1 0,0 0 0,-1 0 0,1 1 0,0-1 0,-1 1 0,0-1 0,1 1 0,-1-1 0,0 0 0,0 1 0,0-1 0,-1 1 0,1-1 0,-1 1 0,1-1 0,-1 0 0,0 0 0,0 0 0,0 0 0,0 1 0,-2 1 0,1 0 0,-1-1 0,1 0 0,-1 0 0,0 0 0,0 0 0,0-1 0,0 1 0,-7 3 0,9-6 0,0 1 0,0-1 0,1 0 0,-1 1 0,0-1 0,0 0 0,1 0 0,-1 1 0,0-1 0,0 0 0,0 0 0,1 0 0,-1 0 0,0 0 0,0 0 0,0 0 0,1 0 0,-1-1 0,0 1 0,0 0 0,0-1 0,0 0 0,1 1 0,-1-1 0,1 0 0,-1 1 0,1-1 0,-1 0 0,1 0 0,-1 0 0,1 0 0,0 1 0,-1-1 0,1 0 0,0 0 0,0 0 0,0 0 0,0 0 0,0 0 0,0 0 0,0 0 0,0 0 0,0-1 0,1-6-227,1 1-1,0-1 1,0 2-1,0-2 1,6-10-1,6-13-6598</inkml:trace>
  <inkml:trace contextRef="#ctx0" brushRef="#br0" timeOffset="11207.03">4387 1349 24575,'0'-1'0,"-1"0"0,1 1 0,0-1 0,-1 1 0,1-1 0,-1 1 0,1-1 0,-1 1 0,1-1 0,-1 1 0,1-1 0,-1 1 0,1 0 0,-1-1 0,1 1 0,-1 0 0,0 0 0,1-1 0,-1 1 0,1 0 0,-1 0 0,0 0 0,1 0 0,-1 0 0,0 0 0,1 0 0,-1 0 0,0 0 0,1 0 0,-1 0 0,0 0 0,1 0 0,-1 0 0,-1 1 0,-23 5 0,22-4 0,0-1 0,0 1 0,0 1 0,0-1 0,1 0 0,-1 1 0,0-1 0,1 1 0,0 0 0,1 0 0,-1 0 0,0 0 0,0 0 0,0-1 0,1 2 0,-1-1 0,1 0 0,0 1 0,0 0 0,1-1 0,-1 6 0,0-7 0,1 0 0,0 0 0,0 0 0,0 0 0,1 0 0,-1 0 0,0 0 0,1-1 0,-1 1 0,1 0 0,0 0 0,-1 0 0,1-1 0,0 1 0,0 0 0,0-1 0,0 1 0,1-1 0,-1 1 0,0-1 0,1 0 0,-1 0 0,-1 1 0,2-1 0,0 0 0,-1 0 0,1 0 0,0-1 0,-1 0 0,1 1 0,0 0 0,0-1 0,0 0 0,-1 1 0,1-1 0,0 0 0,0 0 0,0 0 0,0 0 0,0 0 0,3-1 0,-3 1 0,-1 0 0,1 0 0,-1 0 0,1 0 0,-1 0 0,0 0 0,1-1 0,-1 1 0,1-1 0,-1 1 0,0 0 0,1-1 0,-1 1 0,0-1 0,0 0 0,1 0 0,-1 0 0,0 0 0,0 0 0,0 0 0,0 0 0,0 0 0,-1 0 0,1-1 0,0 1 0,0 0 0,-1-1 0,1 1 0,0-2 0,0-2 0,-1 1 0,1-1 0,-1 0 0,0 0 0,0 1 0,0-1 0,-2-7 0,2 12 0,0 0 0,0-1 0,1 1 0,-1 0 0,0 0 0,0-1 0,1 1 0,-1 0 0,0-1 0,0 1 0,1 0 0,-1 0 0,0 0 0,1-1 0,-1 1 0,0 0 0,1 0 0,-1 0 0,0 0 0,1 0 0,-1-1 0,0 1 0,1 0 0,-1 0 0,1 0 0,-1 0 0,0 0 0,1 0 0,-1 0 0,0 0 0,1 0 0,-1 1 0,0-1 0,1 0 0,0 0 0,21 3 0,-11-1 0,-9-2 0,0 0 0,1-1 0,-1 1 0,0 0 0,1-1 0,-1 1 0,0-1 0,1 0 0,-1 0 0,0 0 0,0 0 0,0 0 0,0 0 0,0 0 0,0 0 0,0-1 0,0 1 0,-1-1 0,1 0 0,0 1 0,-1-1 0,0 0 0,1 0 0,-1 0 0,2-4 0,-2 3 0,0 0 0,0-1 0,0 1 0,0 0 0,-1 0 0,1-1 0,-1 1 0,0-1 0,0 1 0,0 0 0,0-1 0,-1 1 0,1-1 0,-1 1 0,0 1 0,0-1 0,-3-6 0,4 8 0,0 0 0,0 1 0,-1-1 0,1 0 0,0 1 0,0-1 0,-1 1 0,1-1 0,-1 0 0,1 1 0,0-1 0,-1 1 0,1-1 0,-1 1 0,0-1 0,1 1 0,-1-1 0,1 1 0,-1 0 0,0-1 0,1 1 0,-1 0 0,0 0 0,0-1 0,0 1 0,1 1 0,-1-1 0,1 0 0,-1 1 0,1-1 0,-1 1 0,1-1 0,-1 0 0,1 1 0,0-1 0,-1 1 0,1-1 0,0 1 0,-1-1 0,1 1 0,0 0 0,0-1 0,-1 1 0,1-1 0,0 1 0,0 0 0,-1 2 0,0 0 0,1 0 0,-1 0 0,1-1 0,0 2 0,-1-1 0,2 0 0,-1 0 0,0 0 0,2 5 0,-2-6 0,1 0 0,0-1 0,0 1 0,0-1 0,0 1 0,0-1 0,0 1 0,0-1 0,1 0 0,-1 0 0,0 0 0,1 1 0,-1-1 0,1-1 0,-1 1 0,1 0 0,-1 0 0,1 0 0,0-1 0,-1 1 0,1-1 0,0 1 0,0-1 0,-1 0 0,1 0 0,0 0 0,0 0 0,-1 0 0,1 0 0,0 0 0,0-1 0,-1 1 0,3-1 0,-1 0 0,-1 0 0,0 0 0,0 0 0,1 0 0,-1 0 0,0 0 0,0-1 0,0 1 0,0-1 0,0 0 0,-1 1 0,1-1 0,0 0 0,-1 0 0,1 0 0,-1 0 0,0 0 0,0-1 0,0 1 0,0 0 0,0-1 0,0 1 0,1-4 0,-2-6 0,0-1 0,-1 1 0,0-1 0,-1 0 0,0 1 0,-1 1 0,0-2 0,-1 1 0,-8-17 0,4 11 0,2-2 0,-6-22 0,14 36 0,4 11 0,6 10 0,11 15-84,-11-15-172,0-1 0,-1 2 0,-1 0-1,10 22 1,-18-31-6570</inkml:trace>
  <inkml:trace contextRef="#ctx0" brushRef="#br0" timeOffset="11342.75">4520 1155 24575,'0'-2'0,"0"-2"0,0-1 0,3-2 0,4-2 0,3-1 0,3 2 0,2-2 0,-2 2-8191</inkml:trace>
  <inkml:trace contextRef="#ctx0" brushRef="#br0" timeOffset="11517.3">4753 1150 24575,'0'-1'0,"2"-2"0</inkml:trace>
  <inkml:trace contextRef="#ctx0" brushRef="#br0" timeOffset="12922.53">2561 2656 24575,'-12'-21'0,"12"21"0,0 0 0,0 0 0,0-1 0,0 1 0,0 0 0,0 0 0,0 0 0,0 0 0,0 0 0,0 0 0,0 0 0,0-1 0,0 1 0,0 0 0,0 0 0,0 0 0,0 0 0,0 0 0,0 0 0,0 0 0,0 0 0,0 0 0,0-1 0,-1 1 0,1 0 0,0 0 0,0 0 0,0 0 0,0 0 0,0 0 0,0 0 0,0 0 0,0 0 0,-1 0 0,1 0 0,0 0 0,0 0 0,0 0 0,0 0 0,0 0 0,0 0 0,0 0 0,0 0 0,-1 0 0,1 0 0,0 0 0,0 0 0,0 0 0,0 0 0,0 0 0,0 0 0,0 0 0,-1 0 0,1 0 0,0 0 0,0 0 0,0 0 0,0 0 0,0 0 0,0 1 0,0-1 0,3 31 0,0-12 0,18 138 0,16 96 0,-35-243 0,-1-3 0,1 1 0,-1 0 0,2 0 0,-1 0 0,1 0 0,0-1 0,0 1 0,8 10 0,-11-17 2,1-1 0,-1 1 0,0-1 0,1 1 0,-1-1 0,1 1 0,-1-1 0,0 0 0,1 1 0,-1-1 0,1 1-1,-1-1 1,1 0 0,0 1 0,-1-1 0,1 0 0,-1 0 0,1 0 0,0 1 0,-1-1 0,1 0 0,-1 0 0,1 0 0,0 0 0,-1 0 0,1 0-1,-1 0 1,1 0 0,0 0 0,-1-1 0,1 1 0,-1 0 0,1 0 0,0 0 0,-1-1 0,1 1 0,-1 0 0,1-1 0,-1 1 0,1 0 0,-1-1-1,1 1 1,-1-1 0,1 1 0,-1-1 0,1 0 0,15-26-1002,-15 24 544,9-19-6370</inkml:trace>
  <inkml:trace contextRef="#ctx0" brushRef="#br0" timeOffset="13965.48">2822 2755 24575,'-6'45'0,"2"-26"0,1 2 0,1-1 0,0 0 0,4 40 0,-2-59 0,0 0 0,0 0 0,0 1 0,0-1 0,0 0 0,1 0 0,-1 0 0,0 0 0,1 0 0,-1 0 0,0 0 0,1 0 0,0 0 0,-1-1 0,1 1 0,-1 0 0,1 0 0,0 0 0,0-1 0,0 1 0,-1 0 0,1 0 0,0-1 0,0 1 0,0-1 0,0 1 0,0-1 0,0 1 0,0-1 0,0 1 0,0-1 0,1 0 0,-1 0 0,0 0 0,0 1 0,0-1 0,0 0 0,0 0 0,0 0 0,0-1 0,1 1 0,-1 0 0,0 0 0,2-1 0,0-1 0,1 0 0,-1 1 0,0-1 0,0 0 0,0 1 0,0-2 0,0 1 0,-1 0 0,1-1 0,-1 0 0,1 0 0,2-5 0,-2 5 0,-1-1 0,-1 0 0,1 0 0,0 0 0,-1 1 0,0-1 0,0-1 0,0 1 0,-1 0 0,1 0 0,-1 0 0,0 0 0,0 1 0,0-1 0,-1-1 0,1 1 0,-1 0 0,0 0 0,0 0 0,-1 0 0,1 0 0,-1 1 0,0-1 0,0 0 0,0 1 0,0-1 0,-1 1 0,1 0 0,-1 0 0,0 0 0,0 0 0,0 0 0,0 1 0,-1 0 0,1 0 0,-1 0 0,1 0 0,-1 0 0,0 0 0,0 1 0,0-1 0,0 1 0,0 0 0,0 0 0,-8 0 0,-12 5 0,24-4 0,-1 0 0,1 0 0,-1 0 0,1 0 0,-1 0 0,1 0 0,-1 1 0,0-1 0,1 0 0,-1 0 0,1 0 0,-1 1 0,1-1 0,0 0 0,-1 1 0,1-1 0,-1 0 0,1 1 0,0-1 0,-1 1 0,1-1 0,0 1 0,-1-1 0,1 1 0,0-1 0,-1 1 0,1-1 0,0 1 0,0-1 0,0 1 0,0-1 0,0 1 0,0-1 0,-1 1 0,1-1 0,0 1 0,1 0 0,-1 0 0,0-1 0,1 0 0,-1 0 0,1 0 0,-1 0 0,1 0 0,-1 0 0,1 1 0,-1-1 0,1 0 0,-1 0 0,1 0 0,-1 0 0,1 0 0,-1 0 0,1 0 0,0 0 0,-1 0 0,1 0 0,-1 0 0,1 0 0,-1-1 0,1 1 0,-1 0 0,1 0 0,-1 0 0,1 0 0,18-8 0,-16 6 0,6-2 0,85-35 0,-84 36 0,1 0 0,-1 0 0,1 1 0,-1 1 0,1 0 0,0 0 0,14 1 0,-23 1 0,0-1 0,1 1 0,-1 0 0,0-1 0,0 1 0,0 0 0,-1 0 0,1 0 0,0 0 0,0 1 0,0-1 0,-1 0 0,1 1 0,-1 0 0,1-1 0,-1 1 0,1 0 0,-1-1 0,0 1 0,0 0 0,0 0 0,0 0 0,0 0 0,-1 0 0,1 0 0,0 0 0,-1 0 0,0 1 0,1 1 0,1 10 0,-1-1 0,0 1 0,-2 20 0,0-17 0,1-11 0,0 2 0,0-1 0,1 1 0,0-1 0,0 0 0,3 8 0,-4-14 0,1 0 0,-1 0 0,0 0 0,1 0 0,-1 0 0,1 0 0,0 0 0,-1-1 0,1 1 0,0 0 0,-1 0 0,1-1 0,0 1 0,0 0 0,0-1 0,0 1 0,-1-1 0,1 1 0,0-1 0,2 1 0,-2-1 0,1 0 0,0 0 0,-1 0 0,1 0 0,0 0 0,0-1 0,-1 1 0,1 0 0,-1-1 0,1 0 0,0 1 0,-1-1 0,1 0 0,-1 0 0,1 0 0,2-2 0,-1 1 0,-1 0 0,1 0 0,0 0 0,-1 0 0,1-1 0,-1 1 0,0-1 0,0 0 0,0 0 0,0 0 0,0 0 0,-1 0 0,1 0 0,-1 0 0,0 0 0,0-1 0,0 1 0,0 0 0,0-1 0,-1 1 0,0 0 0,0 0 0,0-1 0,0-3 0,-1 3 0,0-1 0,0 1 0,-1 0 0,1 0 0,-1-1 0,0 1 0,0 0 0,-1 0 0,1 1 0,-1-1 0,0 0 0,0 1 0,0 0 0,0 0 0,-1 1 0,1-1 0,-8-4 0,1 1 0,-1 1 0,0 0 0,-1 1 0,1 0 0,-1 0 0,0 2 0,0-1 0,-13 0 0,24 3 0,1 0 0,-1 0 0,0 0 0,1 0 0,-1 0 0,1 0 0,-1 0 0,0 0 0,1 0 0,-1 0 0,1 0 0,-1-1 0,0 1 0,1 0 0,-1 0 0,1-1 0,-1 1 0,1 0 0,-1-1 0,1 1 0,-1-1 0,1 1 0,-1-1 0,1 1 0,0 0 0,-1-1 0,1 0 0,0 1 0,-1-1 0,1 0 0,0 0 0,0 0 0,1 0 0,-1 0 0,1 0 0,-1 0 0,1 0 0,-1 0 0,1 0 0,-1 0 0,1 0 0,0 1 0,0-1 0,-1 0 0,1 0 0,1 0 0,5-4 0,0 1 0,1-1 0,10-4 0,-8 4 0,1 1 0,0 0 0,0 1 0,1 0 0,-1 1 0,1 0 0,-1 1 0,1 1 0,15 0 0,-22 0 0,0 1 0,0 0 0,0 0 0,0 0 0,-1 1 0,1-1 0,0 1 0,-1 0 0,0 1 0,1-1 0,-1 1 0,0 0 0,0 0 0,0 0 0,-1 0 0,1 1 0,-1-1 0,0 1 0,0-1 0,0 1 0,0 0 0,-1 1 0,1-1 0,1 7 0,0-1 0,-1 1 0,-1 0 0,0 0 0,1 19 0,-3-21 0,1 1 0,1-1 0,-1 0 0,1 0 0,1 0 0,6 17 0,-8-25 0,-1 0 0,1 1 0,0-1 0,-1 0 0,1 0 0,0 1 0,0-1 0,0 0 0,0 0 0,0 0 0,0 0 0,0 0 0,0-1 0,1 1 0,-1 0 0,0 0 0,1-1 0,-1 1 0,0-1 0,1 1 0,-1-1 0,3 1 0,-1-1 0,-1 0 0,0-1 0,0 1 0,1-1 0,-1 1 0,0-1 0,0 0 0,0 0 0,0 1 0,0-2 0,0 1 0,0 0 0,2-2 0,2-2 0,0 1 0,-1-2 0,0 1 0,-1 0 0,0-1 0,1 0 0,6-12 0,-8 11 0,-1 0 0,0 0 0,-1 0 0,1 0 0,-2 0 0,1 0 0,-1 0 0,0 0 0,0 0 0,-1 0 0,0 0 0,0 0 0,0 0 0,-1 0 0,0 0 0,-1 0 0,0 1 0,0-1 0,0 1 0,-1 0 0,0 0 0,1 0 0,-1 1 0,-1-1 0,0 1 0,0 0 0,0 0 0,-1 0 0,1 1 0,-1 0 0,0 0 0,-1 0 0,-9-3 0,13 6 5,1 0 0,-1 0 0,0 0-1,0 1 1,1 0 0,-1 0 0,0-1 0,0 1-1,1 0 1,-1 1 0,0-1 0,0 0 0,0 0-1,1 0 1,-1 1 0,0 0 0,1 0-1,-1 0 1,0 0 0,1 1 0,0-1 0,-1 1-1,1-1 1,-3 3 0,2-1-92,1 0-1,-1 0 1,1 0 0,0 1-1,0-1 1,0 1 0,0-1-1,0 1 1,1 0-1,-1-1 1,1 1 0,0 0-1,1 0 1,-1 0 0,0 0-1,1 4 1,0 6-6739</inkml:trace>
  <inkml:trace contextRef="#ctx0" brushRef="#br0" timeOffset="14425.92">3005 3180 24575,'33'-2'0,"-24"1"0,0 1 0,-1-1 0,14 2 0,-19 0 0,0-1 0,0 1 0,0 0 0,0-1 0,0 1 0,0 0 0,-1 1 0,1-1 0,0 1 0,-1-1 0,1 1 0,-1 0 0,0 0 0,3 3 0,-4-4 0,0 0 0,0 1 0,0-1 0,1 0 0,-1 0 0,1 1 0,-1-1 0,0 0 0,1-1 0,0 1 0,-1 0 0,1 0 0,0-1 0,-1 1 0,1-1 0,0 1 0,2 0 0,-1-2 0,-1 1 0,0-1 0,0 0 0,0 1 0,0-1 0,1 0 0,-1 0 0,-1 0 0,1 0 0,0-1 0,0 1 0,0-1 0,-1 1 0,3-3 0,104-107 0,8-9 0,-23 47 0,-38 31 0,-54 42-34,-1 0 0,0-1 0,1 1 0,-1 0 0,0 0-1,0 0 1,1 0 0,-1-1 0,0 1 0,0 0 0,1 0 0,-1 0 0,0-1-1,0 1 1,0 0 0,1-1 0,-1 1 0,0 0 0,0 0 0,0-1-1,0 1 1,0 0 0,0-1 0,0 1 0,1 0 0,-1-1 0,0 1 0,0 0-1,0-1 1,0 1 0,0 0 0,0-1 0,-1 1 0,1 0 0,0 0 0,0-1-1,0 1 1,0 0 0,0-1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04.20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221 97 24575,'-1'-5'0,"1"0"0,-1 0 0,0 0 0,0 0 0,-1 0 0,1 0 0,-1 0 0,0 1 0,0-1 0,-1 1 0,0-1 0,1 1 0,-1 0 0,-5-5 0,7 8 0,0-1 0,-1 0 0,0 1 0,1-1 0,-1 1 0,0 0 0,0 0 0,0 0 0,1-1 0,-1 2 0,0-1 0,-1 0 0,1 0 0,0 1 0,0-1 0,0 1 0,0-1 0,0 1 0,-1 0 0,1 0 0,0 0 0,0 0 0,0 1 0,0-1 0,-1 0 0,1 1 0,0 0 0,0-1 0,0 1 0,0 0 0,0 0 0,0 0 0,0 0 0,-3 3 0,-3 3 0,1 0 0,0 0 0,0 1 0,1 0 0,0 0 0,0 1 0,-5 10 0,7-12 0,0 0 0,1 1 0,0 0 0,0-1 0,1 1 0,0 0 0,0 0 0,1 1 0,-1 11 0,2-18 0,0 0 0,1 0 0,-1 1 0,1-1 0,-1 0 0,1 0 0,0 0 0,0 0 0,0 0 0,0 0 0,0 0 0,0 0 0,0 0 0,1 0 0,-1 0 0,1-1 0,-1 1 0,1-1 0,0 1 0,0-1 0,-1 1 0,5 1 0,3 1 0,0 0 0,0-1 0,1 1 0,10 1 0,18 6 0,-32-8 0,0 1 0,0-1 0,0 1 0,0 0 0,-1 0 0,0 1 0,0-1 0,0 1 0,0 1 0,0-1 0,-1 1 0,0-1 0,3 8 0,-5-11 0,-1 1 0,0 0 0,1 0 0,-1 0 0,-1 0 0,1 1 0,0-1 0,-1 0 0,1 0 0,-1 0 0,0 1 0,0-1 0,0 0 0,-1 0 0,1 0 0,-1 1 0,0-1 0,1 0 0,-1 0 0,-1 0 0,1 0 0,0 0 0,-1 0 0,0-1 0,1 1 0,-1 0 0,0-1 0,0 1 0,-1-1 0,-2 3 0,0-1 0,0-1 0,0 0 0,0 0 0,0-1 0,0 0 0,-1 1 0,1-2 0,-1 1 0,1-1 0,-1 1 0,0-1 0,0-1 0,1 1 0,-1-1 0,0 0 0,0-1 0,-7-1 0,6 1 0,0 0 0,0 0 0,0-1 0,0 0 0,1 0 0,-1-1 0,1 0 0,-1 0 0,1-1 0,0 0 0,1 0 0,-1 0 0,-9-10 0,14 14-38,0-1 0,0 0 0,1 0 1,-1 0-1,0 0 0,1 0 0,-1 0 0,0 0 0,1 0 0,0 0 0,-1 0 0,1 0 0,-1-1 0,1 1 0,0 0 0,0 0 1,0 0-1,0 0 0,0-1 0,0 1 0,0 0 0,0 0 0,0 0 0,1 0 0,-1-1 0,0 1 0,1 0 0,-1 0 0,1 0 1,-1 0-1,1 0 0,0 0 0,-1 0 0,1 0 0,1-1 0,5-5-6788</inkml:trace>
  <inkml:trace contextRef="#ctx0" brushRef="#br0" timeOffset="1168.58">358 285 24575,'3'-15'0,"-2"15"0,-1-1 0,1 0 0,-1 1 0,0-1 0,1 0 0,-1 0 0,0 1 0,0-1 0,0 0 0,1 0 0,-1 1 0,0-1 0,0 0 0,0 0 0,0 1 0,0-1 0,-1 0 0,1 0 0,0 1 0,0-1 0,0 0 0,-1 0 0,1 1 0,0-1 0,-1 0 0,1 1 0,0-1 0,-1 0 0,1 1 0,-1-1 0,1 1 0,-1-1 0,0 1 0,1-1 0,-1 1 0,1-1 0,-1 1 0,0-1 0,1 1 0,-1 0 0,0 0 0,0-1 0,-1 1 0,1-1 0,0 1 0,0-1 0,0 1 0,0 0 0,0 0 0,-1-1 0,1 1 0,0 0 0,0 0 0,0 0 0,0 1 0,-1-1 0,1 0 0,0 0 0,0 0 0,0 1 0,0-1 0,0 1 0,0-1 0,-1 1 0,1-1 0,0 1 0,-1 1 0,0 0 0,0 0 0,0 0 0,0 0 0,1 0 0,-1 1 0,1-1 0,-1 0 0,1 1 0,0-1 0,-2 5 0,2-4 0,0 0 0,0 0 0,0 1 0,1-1 0,-1 0 0,1 0 0,-1 0 0,1 1 0,0-1 0,0 0 0,1 1 0,-1-1 0,1 0 0,-1 0 0,1 0 0,0 0 0,0 1 0,1-1 0,1 3 0,-2-5 0,-1 0 0,1 0 0,0 0 0,0 0 0,0 0 0,-1 0 0,1-1 0,0 1 0,0 0 0,0-1 0,0 1 0,0-1 0,0 1 0,0-1 0,0 1 0,1-1 0,-1 0 0,0 0 0,0 1 0,0-1 0,0 0 0,0 0 0,1 0 0,-1 0 0,0 0 0,0-1 0,0 1 0,0 0 0,0 0 0,1-1 0,-1 1 0,0-1 0,0 1 0,0-1 0,0 1 0,0-1 0,0 0 0,0 1 0,-1-1 0,1 0 0,0 0 0,0 1 0,0-1 0,-1 0 0,2-2 0,1-1 0,-1 0 0,1 0 0,-1-1 0,0 1 0,-1 0 0,1-1 0,0 0 0,-1 1 0,1-9 0,-2-5 0,0 18 0,0 0 0,0 0 0,0 0 0,0 0 0,0 0 0,0 0 0,0 0 0,0 0 0,0 0 0,0 0 0,0 0 0,0 0 0,0 0 0,0 0 0,0 0 0,1 0 0,-1 0 0,0 0 0,0 0 0,0 0 0,0 0 0,0 0 0,0 0 0,8 11 0,-7-8 0,1-1 0,0 0 0,0-1 0,-1 1 0,2 0 0,-1 0 0,0-1 0,0 1 0,0-1 0,1 0 0,-1 0 0,1 1 0,-1-2 0,1 1 0,-1 0 0,1 0 0,-1-1 0,1 0 0,0 1 0,-1-1 0,1 0 0,0 0 0,0 0 0,-1-1 0,1 1 0,-1-1 0,5-1 0,-4 1 0,0 0 0,0 0 0,0-1 0,1 0 0,-1 1 0,-1-1 0,1 0 0,0-1 0,0 1 0,-1 0 0,1-1 0,-1 0 0,0 1 0,0-1 0,0 0 0,0 0 0,0 0 0,-1 0 0,1 0 0,0-6 0,2-7 0,-2-1 0,0 0 0,-1 0 0,-1 0 0,0 0 0,-2 1 0,0-1 0,-6-26 0,8 42 0,0 0 0,0 0 0,0 0 0,-1 0 0,1 0 0,0 1 0,-1-1 0,1 0 0,0 0 0,-1 0 0,1 1 0,-1-1 0,1 0 0,-1 1 0,1-1 0,-2 0 0,2 1 0,0 0 0,-1 0 0,1 0 0,0 0 0,0 0 0,-1 0 0,1 0 0,0 0 0,-1 0 0,1 0 0,0 0 0,0 1 0,-1-1 0,1 0 0,0 0 0,0 0 0,0 0 0,-1 1 0,1-1 0,0 0 0,0 0 0,0 1 0,-1-1 0,1 0 0,0 0 0,0 1 0,0-1 0,0 0 0,0 0 0,0 1 0,-9 30 0,8-15 0,0 0 0,1 0 0,1 0 0,1 0 0,0 0 0,1 0 0,1-1 0,0 1 0,1-1 0,0 0 0,2 0 0,0 0 0,9 13 0,-15-26 0,0 0 0,0-1 0,1 1 0,-1 0 0,1-1 0,-1 1 0,1-1 0,0 0 0,0 1 0,2 0 0,-3-1 0,0-1 0,0 0 0,-1 1 0,1-1 0,0 0 0,0 0 0,-1 0 0,1 0 0,0 0 0,0 0 0,0 0 0,-1 0 0,1 0 0,0 0 0,0 0 0,-1-1 0,1 1 0,0 0 0,0-1 0,0 1 0,1-2 0,0 0 0,0 0 0,0 0 0,-1 0 0,1 0 0,0 0 0,-1 0 0,0 0 0,1-1 0,-1 1 0,0-1 0,0 1 0,-1-1 0,1 1 0,0-3 0,0-1 0,6-19 0,-1 19 0,3 14 0,-9-8 0,0 1 0,1 0 0,-1 0 0,1-1 0,-1 1 0,0-1 0,1 1 0,0 0 0,-1-1 0,1 1 0,-1-1 0,1 1 0,0-1 0,-1 1 0,1-1 0,0 0 0,-1 1 0,1-1 0,0 0 0,0 0 0,-1 1 0,1-1 0,0 0 0,0 0 0,0 0 0,-1 0 0,1 0 0,0 0 0,0 0 0,-1 0 0,1 0 0,0 0 0,0-1 0,0 1 0,-1 0 0,1 0 0,0-1 0,-1 1 0,1-1 0,0 1 0,-1 0 0,1-1 0,0 1 0,-1-1 0,1 1 0,-1-1 0,1 0 0,-1 1 0,1-1 0,-1 0 0,1 1 0,-1-1 0,0 0 0,1 1 0,-1-1 0,0-1 0,1 1 0,0-1 0,0 1 0,0-1 0,-1 1 0,1-1 0,0 1 0,-1-1 0,0 0 0,1 1 0,-1-1 0,0 0 0,0 1 0,0-1 0,0 0 0,0 1 0,0-1 0,0 0 0,0 1 0,-1-1 0,1 0 0,-1 1 0,1-1 0,-1 1 0,0-1 0,0 1 0,0-1 0,-1-1 0,2 3 0,-1 0 0,1 0 0,-1-1 0,1 1 0,-1 0 0,1 0 0,-1 0 0,1 0 0,-1 0 0,1 0 0,-1 0 0,1 0 0,-1 0 0,0 0 0,1 0 0,-1 0 0,1 0 0,-1 0 0,1 1 0,-1-1 0,1 0 0,-1 0 0,1 1 0,-1-1 0,1 0 0,0 0 0,-1 1 0,1-1 0,-1 1 0,1-1 0,0 0 0,-1 1 0,1-1 0,0 1 0,-1-1 0,1 1 0,0 0 0,-12 20 0,9-12 0,0 0 0,1 0 0,-3 13 0,5-18 0,0-1 0,-1 0 0,1 0 0,0 0 0,0 0 0,0 0 0,1 0 0,-1 0 0,1 0 0,0 0 0,0 0 0,0 0 0,0 0 0,2 4 0,-2-7 4,-1 1-1,1 0 1,0-1-1,-1 1 0,1 0 1,0-1-1,-1 1 1,1-1-1,0 1 0,0-1 1,-1 0-1,1 1 1,0-1-1,0 0 1,0 1-1,0-1 0,-1 0 1,1 0-1,0 0 1,0 0-1,0 0 1,0 0-1,0 0 0,0 0 1,0 0-1,-1 0 1,1 0-1,0-1 0,0 1 1,0 0-1,0-1 1,-1 1-1,1-1 1,1 0-1,24-19-1488,-17 11-5341</inkml:trace>
  <inkml:trace contextRef="#ctx0" brushRef="#br0" timeOffset="1591.93">880 138 24575,'-1'1'0,"0"-1"0,-1 0 0,1 1 0,-1 0 0,1-1 0,0 1 0,-1 0 0,1-1 0,0 1 0,0 0 0,0 0 0,0 0 0,0 0 0,0 0 0,0 1 0,0-1 0,0 0 0,0 0 0,0 1 0,1-1 0,-1 0 0,0 3 0,-12 35 0,13-38 0,-5 18 0,1 0 0,1 1 0,1-1 0,1 35 0,1-46 0,1 0 0,-1 0 0,1-1 0,1 1 0,0 0 0,0 0 0,0-1 0,1 1 0,0-1 0,1 1 0,0-1 0,0 0 0,0-1 0,7 9 0,-9-13-42,0 0-1,0 0 0,1 0 1,-1 0-1,0 0 0,1-1 1,-1 1-1,1-1 0,-1 1 1,1-1-1,0 0 0,-1 0 1,1-1-1,0 1 0,0 0 1,0-1-1,0 0 0,-1 1 1,1-1-1,0 0 0,0-1 1,0 1-1,0 0 0,0-1 1,-1 0-1,1 0 0,0 1 1,0-2-1,-1 1 0,1 0 1,3-2-1,5-7-6783</inkml:trace>
  <inkml:trace contextRef="#ctx0" brushRef="#br0" timeOffset="1980.58">981 239 24575,'2'5'0,"0"-1"0,-1 1 0,1 0 0,-1 0 0,0 0 0,0 0 0,-1 0 0,0 0 0,0 0 0,-1 7 0,1 3 0,1 51 0,-2-109 0,1-55 0,1 85 0,0-1 0,1 1 0,1 0 0,0 0 0,6-14 0,-9 26 0,0 0 0,1 0 0,-1 0 0,1 0 0,-1 0 0,1-1 0,-1 1 0,1 0 0,0 1 0,0-1 0,-1 0 0,1 0 0,0 0 0,0 0 0,0 1 0,2-2 0,-3 2 0,1 0 0,-1 0 0,1 0 0,-1 0 0,1 0 0,0 0 0,-1 0 0,1 0 0,-1 0 0,1 0 0,-1 0 0,1 0 0,-1 0 0,1 1 0,-1-1 0,1 0 0,-1 0 0,1 1 0,-1-1 0,1 0 0,-1 1 0,1-1 0,-1 0 0,1 1 0,2 3 0,-1-1 0,1 1 0,-1-1 0,0 1 0,0 0 0,0 0 0,2 5 0,5 21 0,-1 0 0,-2 1 0,-1-1 0,-1 1 0,0 31 0,-4-52-1365</inkml:trace>
  <inkml:trace contextRef="#ctx0" brushRef="#br0" timeOffset="2140.57">1018 312 24575,'1'0'0,"2"-1"0,4-4 0,1 0 0,1-3 0,0 1-8191</inkml:trace>
  <inkml:trace contextRef="#ctx0" brushRef="#br0" timeOffset="2729.91">1137 257 24575,'2'0'0,"0"-1"0,-1 1 0,1-1 0,0 1 0,0 0 0,0 0 0,0 0 0,0 0 0,-1 0 0,1 0 0,0 0 0,0 1 0,3 0 0,-3 0 0,0 0 0,0 1 0,0-1 0,0 1 0,-1-1 0,1 1 0,0 0 0,-1 0 0,1 0 0,-1 0 0,1 0 0,-1 0 0,0 0 0,0 0 0,0 0 0,0 0 0,0 1 0,-1-1 0,1 0 0,0 5 0,0 0 0,0 0 0,0 1 0,-1-1 0,0 1 0,-2 9 0,2-25 0,0 0 0,0-1 0,0 1 0,1 0 0,1-9 0,-1 13 0,1 1 0,-1 0 0,0-1 0,1 1 0,0 0 0,0 0 0,0 0 0,0 0 0,0 0 0,4-3 0,-5 5 0,-1 1 0,1-1 0,0 1 0,-1-1 0,1 1 0,0 0 0,0-1 0,-1 1 0,1 0 0,0-1 0,0 1 0,0 0 0,0 0 0,-1 0 0,1-1 0,0 1 0,0 0 0,0 0 0,0 1 0,0-1 0,-1 0 0,1 0 0,0 0 0,0 0 0,0 1 0,-1-1 0,1 0 0,0 1 0,0-1 0,-1 1 0,1-1 0,0 1 0,0-1 0,-1 1 0,1-1 0,-1 1 0,1 0 0,-1-1 0,1 1 0,-1 0 0,1-1 0,-1 1 0,1 0 0,-1 0 0,0 0 0,1 1 0,1 5 0,1 0 0,-1-1 0,-1 1 0,0 0 0,1 8 0,-2-14 0,0-6 0,0 0 0,0-1 0,1 1 0,0 0 0,0 0 0,0 0 0,0 0 0,3-6 0,-3 10 0,-1 1 0,1-1 0,-1 0 0,1 0 0,-1 0 0,1 0 0,-1 1 0,1-1 0,0 0 0,0 1 0,-1-1 0,1 0 0,0 1 0,0-1 0,0 1 0,-1-1 0,1 1 0,0 0 0,0-1 0,1 1 0,-1 0 0,1 0 0,-1 0 0,0 0 0,1 1 0,-1-1 0,0 0 0,1 1 0,-1-1 0,0 1 0,1-1 0,-1 1 0,0 0 0,0 0 0,0-1 0,0 1 0,0 0 0,0 0 0,2 2 0,3 3-97,-1 1-1,0-1 1,0 1-1,0 0 1,-1 1-1,0-1 1,0 1-1,-1 0 1,0-1-1,0 1 1,-1 1-1,0-1 0,1 11 1</inkml:trace>
  <inkml:trace contextRef="#ctx0" brushRef="#br0" timeOffset="3043.14">1439 298 24575,'0'1'0,"-1"-1"0,0 0 0,0 0 0,0 0 0,1 1 0,-1-1 0,0 0 0,0 1 0,1-1 0,-1 0 0,0 1 0,1-1 0,-1 1 0,0-1 0,1 1 0,-1 0 0,1-1 0,-1 1 0,1-1 0,-1 1 0,1 0 0,0 0 0,-1-1 0,1 1 0,0 0 0,-1 0 0,1-1 0,0 1 0,0 0 0,0 0 0,0 0 0,0-1 0,0 1 0,0 0 0,0 0 0,0 0 0,0 1 0,0-1 0,0 1 0,0 0 0,1 0 0,-1 0 0,0 0 0,1 0 0,-1-1 0,1 1 0,0 0 0,0-1 0,0 1 0,-1 0 0,1-1 0,1 1 0,1 2 0,-2-3 0,0 0 0,0-1 0,-1 1 0,1 0 0,0 0 0,0-1 0,0 1 0,0-1 0,0 1 0,1-1 0,-1 1 0,0-1 0,0 0 0,0 1 0,0-1 0,0 0 0,1 0 0,-1 0 0,0 0 0,0 0 0,0 0 0,0 0 0,1 0 0,-1-1 0,0 1 0,0 0 0,0-1 0,0 1 0,0-1 0,0 1 0,0-1 0,0 1 0,0-1 0,0 0 0,0 1 0,0-1 0,1-1 0,-1 0 0,0 0 0,0 0 0,0 0 0,0 0 0,-1 0 0,1 0 0,-1 0 0,1 0 0,-1 0 0,0 0 0,0 0 0,0 0 0,0 0 0,0 0 0,0 0 0,-1 0 0,1 0 0,-1-1 0,1 1 0,-2-2 0,0-1 20,0 1 0,-1 0 0,0-1 0,1 1 0,-5-4 0,6 7-49,1 1 0,0-1 0,-1 0 0,1 1-1,0-1 1,-1 1 0,1-1 0,-1 1 0,1 0 0,-1-1 0,1 1 0,-1-1-1,1 1 1,-1 0 0,1-1 0,-1 1 0,0 0 0,1 0 0,-1-1 0,1 1 0,-1 0-1,0 0 1,1 0 0,-1 0 0,0 0 0,1 0 0,-1 0 0,0 0 0,1 0-1,-1 0 1,1 0 0,-1 0 0,0 1 0,1-1 0,-1 0 0,1 0 0,-1 1-1,0-1 1,1 0 0,-1 1 0,1-1 0,-1 0 0,1 1 0,-1-1 0,1 1 0,0-1-1,-1 1 1,1-1 0,-1 1 0,1 0 0,-3 6-6797</inkml:trace>
  <inkml:trace contextRef="#ctx0" brushRef="#br0" timeOffset="3386.42">1536 271 24575,'-1'0'0,"0"0"0,0 0 0,0 0 0,0 1 0,1-1 0,-1 0 0,0 1 0,0-1 0,0 0 0,1 1 0,-1-1 0,0 1 0,0-1 0,1 1 0,-1-1 0,1 1 0,-1 0 0,0-1 0,1 1 0,-1 0 0,1-1 0,-1 1 0,1 0 0,0 0 0,-1 0 0,1-1 0,0 1 0,-1 0 0,1 0 0,0 0 0,0 0 0,0 0 0,0-1 0,0 1 0,0 0 0,0 0 0,0 0 0,1 1 0,-1 2 0,0 0 0,1-1 0,-1 1 0,1-1 0,0 1 0,0-1 0,1 0 0,1 5 0,-1-5 0,1 0 0,-1 0 0,0 0 0,1 0 0,-1-1 0,1 1 0,0-1 0,-1 0 0,1 0 0,1 0 0,-1 0 0,0-1 0,0 1 0,1-1 0,-1 1 0,0-1 0,1 0 0,6 0 0,-8-1 0,0 0 0,0 0 0,0 0 0,-1 0 0,1-1 0,0 1 0,0 0 0,0-1 0,0 0 0,-1 1 0,1-1 0,0 0 0,-1 0 0,1 0 0,0 0 0,-1 0 0,1-1 0,-1 1 0,0 0 0,1-1 0,-1 1 0,0-1 0,0 1 0,0-1 0,0 1 0,0-1 0,0 0 0,-1 0 0,1 1 0,0-1 0,-1 0 0,1 0 0,-1 0 0,0 0 0,0 1 0,0-5 0,1 0-273,-1-1 0,0 0 0,-1 0 0,-1-11 0,0 9-6553</inkml:trace>
  <inkml:trace contextRef="#ctx0" brushRef="#br0" timeOffset="3824.77">1664 271 24575,'0'-1'0,"0"1"0,0 0 0,0-1 0,0 1 0,0 0 0,0-1 0,0 1 0,0-1 0,0 1 0,0 0 0,1-1 0,-1 1 0,0 0 0,0-1 0,0 1 0,0 0 0,1-1 0,-1 1 0,0 0 0,0-1 0,1 1 0,-1 0 0,0 0 0,1-1 0,-1 1 0,0 0 0,1 0 0,-1-1 0,0 1 0,1 0 0,-1 0 0,0 0 0,1 0 0,-1 0 0,1 0 0,-1 0 0,0 0 0,1 0 0,-1 0 0,1 0 0,-1 0 0,0 0 0,1 0 0,-1 0 0,1 0 0,-1 0 0,0 0 0,1 0 0,-1 1 0,1-1 0,0 1 0,1-1 0,-1 1 0,1-1 0,-1 1 0,0 0 0,1 0 0,-1 0 0,0 0 0,0 0 0,0 0 0,2 2 0,0 2 0,-1 0 0,-1 0 0,1 0 0,-1 0 0,0 0 0,0 0 0,0 0 0,-1 0 0,1 1 0,-1-1 0,-1 0 0,1 0 0,-3 10 0,1-35 0,5-22 0,-3 40 0,1-1 0,-1 1 0,1 0 0,0-1 0,-1 1 0,1 0 0,0 0 0,0 0 0,1 0 0,-1 0 0,0 0 0,1 0 0,-1 0 0,1 0 0,2-2 0,-4 4 0,1 0 0,0 0 0,-1-1 0,1 1 0,-1 0 0,1 0 0,-1 0 0,1 0 0,-1 0 0,1 1 0,-1-1 0,1 0 0,-1 0 0,1 0 0,-1 0 0,1 0 0,-1 1 0,1-1 0,-1 0 0,1 1 0,-1-1 0,1 0 0,-1 1 0,1-1 0,-1 0 0,0 1 0,1-1 0,-1 1 0,0-1 0,1 1 0,-1-1 0,0 0 0,0 1 0,0-1 0,1 1 0,-1-1 0,0 1 0,0 0 0,0 0 0,7 23 0,10 70-1365,-16-87-5461</inkml:trace>
  <inkml:trace contextRef="#ctx0" brushRef="#br0" timeOffset="4042.28">1838 129 24575,'0'1'0,"0"1"0,0 5 0,0 2 0,0 4 0,0 4 0,0 5 0,0 2 0,2 3 0,2 1 0,0-2 0,0-4 0,0-4 0,0-6 0,0-5 0,-2-8 0</inkml:trace>
  <inkml:trace contextRef="#ctx0" brushRef="#br0" timeOffset="4230.8">1783 207 24575,'0'1'0,"4"1"0,3 0 0,4 0 0,2-3 0,2-1 0,1-3 0,-2-1 0,-2 0 0,-1 0 0,-2 2-8191</inkml:trace>
  <inkml:trace contextRef="#ctx0" brushRef="#br0" timeOffset="4519.95">1888 1 24575,'4'3'0,"2"2"0,0 0 0,-1 1 0,8 9 0,6 14 0,-2 0 0,-1 1 0,-2 0 0,15 46 0,-22-55 0,-1 1 0,0 0 0,-2 0 0,-1 0 0,-1 1 0,-1-1 0,-3 37 0,1-48 15,-1-1 0,0 1 0,-1-1 0,0 1 0,-1-1 0,0 0 0,-6 10 0,7-15-129,0 1 0,-1 0-1,0-1 1,0 0 0,-1 0 0,1 0-1,-1 0 1,0-1 0,0 0 0,-1 0-1,1 0 1,-10 4 0,2-3-6712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11.68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41 24575,'0'2'0,"0"2"0,2 3 0,3 3 0,2 2 0,1 2 0,2 1 0,1 1 0,2 0 0,-1 0 0,-2-2 0,-1 0 0,-2-6 0</inkml:trace>
  <inkml:trace contextRef="#ctx0" brushRef="#br0" timeOffset="234.96">111 0 24575,'-1'0'0,"0"2"0,-1 3 0,-1 4 0,-3 5 0,-2 3 0,-1 3 0,-2 2 0,-1 1 0,1-1 0,1-1 0,1-2 0,1-4 0,2-5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09.87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5 237 24575,'-2'0'0,"0"-2"0,1-2 0,2-1 0,3-3 0,3 0 0,1 2 0,2 1 0,1 3 0,-1 3 0,-1 1-8191</inkml:trace>
  <inkml:trace contextRef="#ctx0" brushRef="#br0" timeOffset="172.7">37 287 24575,'0'2'-4259,"-2"1"4259,1 0 2006,2 0-2006,2-3 722,2-1-722,4-4 372,2-4-372,2 0 1159,0 0-9350</inkml:trace>
  <inkml:trace contextRef="#ctx0" brushRef="#br0" timeOffset="706.78">491 58 24575,'0'-1'0,"0"0"0,0 0 0,-1 0 0,1 0 0,0 0 0,0 1 0,0-1 0,-1 0 0,1 0 0,0 0 0,-1 0 0,1 0 0,-1 1 0,1-1 0,-1 0 0,1 0 0,-1 1 0,0-1 0,1 0 0,-1 1 0,0-1 0,1 1 0,-1-1 0,0 1 0,0-1 0,1 1 0,-1-1 0,0 1 0,0 0 0,0-1 0,0 1 0,0 0 0,0 0 0,0 0 0,1 0 0,-1 0 0,0 0 0,0 0 0,-1 0 0,0 0 0,-1 0 0,1 1 0,0-1 0,0 0 0,0 1 0,0 0 0,1-1 0,-1 1 0,0 0 0,0 0 0,0 0 0,0 0 0,1 0 0,-1 1 0,1-1 0,-1 0 0,-1 3 0,-2 4 0,1-1 0,1 1 0,-1 0 0,1 0 0,1 0 0,-1 1 0,-1 15 0,1 1 0,0 36 0,3-51 0,1-1 0,-1 0 0,2 1 0,-1-1 0,1 0 0,1 0 0,0 0 0,0 0 0,6 12 0,-7-18 0,-1-1 0,1 1 0,0 0 0,0-1 0,0 0 0,0 1 0,0-1 0,0 0 0,1 0 0,-1 0 0,1-1 0,-1 1 0,1 0 0,0-1 0,0 0 0,0 1 0,-1-1 0,1-1 0,0 1 0,0 0 0,0-1 0,1 1 0,-1-1 0,0 0 0,0 0 0,0 0 0,0 0 0,0-1 0,0 1 0,0-1 0,0 0 0,4-1 0,-4 1 0,1-1 0,0 1 0,-1-1 0,1 1 0,-1-1 0,1 0 0,-1 0 0,0-1 0,0 1 0,0-1 0,0 0 0,0 1 0,-1-1 0,1-1 0,-1 1 0,4-6 0,-4 3 0,0 1 0,0 0 0,-1-1 0,1 1 0,-1-1 0,0 0 0,-1 1 0,1-1 0,-1 1 0,-1-11 0,-1 3 0,-1 1 0,1-1 0,-2 0 0,0 1 0,-1-1 0,0 1 0,0 1 0,-1-1 0,-10-14 0,12 22 0,1 0 0,-1-1 0,0 1 0,0 1 0,0-1 0,0 1 0,-1-1 0,-7-3 0,11 6 0,0 0 0,-1 1 0,1-1 0,0 1 0,0 0 0,0-1 0,-1 1 0,1 0 0,0 0 0,0 0 0,-1 0 0,1 0 0,0 0 0,0 0 0,-1 0 0,1 0 0,0 0 0,0 1 0,0-1 0,-1 0 0,1 1 0,0-1 0,0 1 0,0 0 0,0-1 0,0 1 0,0 0 0,0 0 0,0-1 0,0 1 0,0 0 0,0 0 0,1 0 0,-1 0 0,0 0 0,1 0 0,-1 1 0,1-1 0,-1 0 0,1 0 0,-1 0 0,1 0 0,-1 2 0,0 2 0,0 0 0,0 0 0,0 0 0,1-1 0,-1 1 0,1 0 0,0 0 0,1 0 0,-1 0 0,1 0 0,0 0 0,0 0 0,1 0 0,1 4 0,6 10 0,0 0 0,13 21 0,-12-24 0,15 32 0,-14-23-1365,-6-17-5461</inkml:trace>
  <inkml:trace contextRef="#ctx0" brushRef="#br0" timeOffset="1005.27">655 3 24575,'0'-2'0,"0"2"0,0 2 0,0 6 0,2 5 0,0 7 0,2 9 0,1 5 0,2 3 0,-1-2 0,-1-3 0,0-5 0,-1-5 0,-1-6-8191</inkml:trace>
  <inkml:trace contextRef="#ctx0" brushRef="#br0" timeOffset="1163.21">632 186 24575,'3'0'0,"3"-1"0,4-1 0,4-3 0,1 0 0,1-2 0,-1 0 0,-1-1 0,-4 2-8191</inkml:trace>
  <inkml:trace contextRef="#ctx0" brushRef="#br0" timeOffset="1538.62">765 136 24575,'-2'24'0,"1"-16"0,0-1 0,0 1 0,1-1 0,0 0 0,2 14 0,-2-20 0,1 1 0,-1-1 0,0 0 0,1 1 0,0-1 0,-1 0 0,1 0 0,0 0 0,-1 0 0,1 0 0,0 0 0,0 0 0,0 0 0,0 0 0,0 0 0,0 0 0,0 0 0,0-1 0,0 1 0,0 0 0,1-1 0,-1 1 0,0-1 0,0 1 0,1-1 0,-1 0 0,0 1 0,1-1 0,-1 0 0,0 0 0,1 0 0,-1 0 0,0 0 0,1 0 0,-1-1 0,0 1 0,1 0 0,0-1 0,1 0 0,-1 0 0,1 0 0,-1-1 0,0 1 0,1-1 0,-1 1 0,0-1 0,0 0 0,0 0 0,0 1 0,0-2 0,0 1 0,-1 0 0,1 0 0,-1 0 0,0-1 0,1 1 0,-1-1 0,0 1 0,0-1 0,-1 1 0,1-1 0,0-3 0,-1 23 0,0-1 0,1 0 0,1 0 0,0 0 0,1-1 0,1 1 0,7 20 0,2 10 0,-8-29 0,-1 0 0,0-1 0,0 1 0,-2 1 0,1 26 0,-3-44 0,0 1 0,0 0 0,1 0 0,-1 0 0,0-1 0,-1 1 0,1 0 0,0 0 0,0-1 0,0 1 0,0 0 0,0 0 0,-1-1 0,1 1 0,0 0 0,-1 0 0,1-1 0,-1 1 0,1 0 0,-1-1 0,1 1 0,-1-1 0,1 1 0,-1-1 0,1 1 0,-1-1 0,0 1 0,1-1 0,-1 1 0,0-1 0,1 0 0,-1 1 0,0-1 0,0 0 0,1 0 0,-1 0 0,-1 1 0,0-2 0,1 1 0,-1 0 0,1-1 0,0 0 0,-1 1 0,1-1 0,0 0 0,0 1 0,-1-1 0,1 0 0,0 0 0,0 0 0,0 0 0,0 0 0,0 0 0,0 0 0,0-1 0,1 1 0,-2-2 0,-6-15-1365,3 0-5461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12.74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62 210 24575,'1'-1'0,"-1"1"0,1-1 0,-1 1 0,0-1 0,1 1 0,-1-1 0,1 1 0,-1-1 0,0 0 0,1 1 0,-1-1 0,0 0 0,0 1 0,1-1 0,-1 0 0,0 1 0,0-1 0,0 0 0,0 1 0,0-1 0,0 0 0,0 1 0,0-1 0,0 0 0,0 1 0,0-1 0,-1 0 0,1 1 0,0-1 0,0 1 0,-1-1 0,1 0 0,0 1 0,-1-1 0,1 1 0,-1-1 0,1 1 0,-1-1 0,1 1 0,-1-1 0,1 1 0,-1-1 0,1 1 0,-2-1 0,1 1 0,-1-1 0,1 1 0,-1 0 0,1 0 0,-1 0 0,1 0 0,-1 0 0,1 0 0,-1 0 0,1 0 0,-1 0 0,1 1 0,0-1 0,-1 1 0,1-1 0,0 1 0,-1 0 0,1-1 0,0 1 0,-2 1 0,0 1 0,1-1 0,-1 1 0,1-1 0,0 1 0,0 0 0,0 0 0,0 0 0,1 0 0,-1 0 0,1 0 0,0 1 0,0-1 0,0 0 0,0 1 0,0-1 0,1 4 0,-1-5 0,1 0 0,0 0 0,0-1 0,0 1 0,1 0 0,-1 0 0,0 0 0,1-1 0,-1 1 0,1 0 0,-1 0 0,1-1 0,0 1 0,0-1 0,-1 1 0,1-1 0,0 1 0,1-1 0,-1 1 0,0-1 0,0 0 0,1 1 0,-1-1 0,0 0 0,1 0 0,-1 0 0,1 0 0,0 0 0,-1-1 0,1 1 0,2 0 0,4 1 0,2 1 0,-1-1 0,0 1 0,0 0 0,0 1 0,10 5 0,-18-8 0,0 0 0,0 0 0,0 0 0,0-1 0,0 1 0,0 0 0,0 0 0,0 1 0,0-1 0,0 0 0,-1 0 0,1 0 0,0 0 0,-1 1 0,1-1 0,-1 0 0,1 3 0,-1-2 0,0 0 0,0 0 0,0-1 0,-1 1 0,1 0 0,-1-1 0,1 1 0,-1 0 0,0-1 0,0 1 0,1-1 0,-1 1 0,0-1 0,0 1 0,-1-1 0,1 0 0,0 0 0,-2 2 0,-2 2 0,-1-1 0,0 1 0,1-1 0,-1-1 0,-1 1 0,-6 2 0,11-5 0,1 0 0,-1-1 0,1 1 0,-1-1 0,0 0 0,1 1 0,-1-1 0,0 0 0,1 0 0,-1 0 0,0 0 0,1 0 0,-4-1 0,5 1 0,-1-1 0,0 1 0,0-1 0,1 1 0,-1-1 0,0 0 0,0 1 0,1-1 0,-1 0 0,1 1 0,-1-1 0,1 0 0,-1 1 0,1-1 0,-1 0 0,1 0 0,0 0 0,-1 0 0,1 1 0,0-1 0,0 0 0,0 0 0,-1 0 0,1 0 0,0 0 0,0 0 0,1-1 0,0-14-1365,2 0-5461</inkml:trace>
  <inkml:trace contextRef="#ctx0" brushRef="#br0" timeOffset="171.43">245 260 24575,'0'0'-8191</inkml:trace>
  <inkml:trace contextRef="#ctx0" brushRef="#br0" timeOffset="658.52">373 173 24575,'0'2'0,"0"64"0,15 127 0,-23-243 0,2-1 0,2 1 0,4-89 0,1 134 0,0-1 0,1 0 0,-1 1 0,1 0 0,0-1 0,1 1 0,2-5 0,-4 9 0,-1 0 0,0 0 0,1 1 0,-1-1 0,1 0 0,-1 0 0,1 1 0,-1-1 0,1 0 0,0 1 0,-1-1 0,1 0 0,0 1 0,-1-1 0,1 1 0,0-1 0,0 1 0,0 0 0,0-1 0,-1 1 0,1 0 0,0-1 0,0 1 0,0 0 0,0 0 0,0 0 0,0 0 0,0 0 0,-1 0 0,1 0 0,0 0 0,0 0 0,0 1 0,0-1 0,0 0 0,0 0 0,-1 1 0,1-1 0,0 1 0,0-1 0,0 1 0,-1-1 0,1 1 0,0-1 0,-1 1 0,1 0 0,0-1 0,-1 1 0,1 0 0,-1-1 0,2 3 0,1 1 0,-1 1 0,1 0 0,-1 0 0,0 0 0,0 0 0,0 0 0,-1 0 0,0 1 0,0-1 0,0 0 0,0 1 0,-1-1 0,-1 10 0,1-12 0,0 0 0,0 1 0,0-1 0,-1 0 0,1 0 0,-1 1 0,0-1 0,0 0 0,0 0 0,-1 0 0,1 0 0,-1 0 0,1 0 0,-1 0 0,0-1 0,0 1 0,0 0 0,-1-1 0,1 0 0,-1 0 0,1 1 0,-1-1 0,-4 2 0,5-3-136,0-1-1,0 1 1,0-1-1,1 0 1,-1 1-1,0-1 1,0 0-1,0 0 0,-3-1 1,-7 0-6690</inkml:trace>
  <inkml:trace contextRef="#ctx0" brushRef="#br0" timeOffset="2858.12">94 512 24575,'0'-2'0,"0"0"0,-1 1 0,1-1 0,1 0 0,-1 0 0,0 1 0,0-1 0,1 0 0,-1 0 0,0 1 0,1-1 0,0 0 0,-1 1 0,1-1 0,0 1 0,0-1 0,0 1 0,0-1 0,0 1 0,0 0 0,1 0 0,-1-1 0,0 1 0,1 0 0,-1 0 0,1 0 0,-1 0 0,1 0 0,-1 1 0,1-1 0,-1 0 0,1 1 0,0-1 0,2 0 0,0 1 0,0 0 0,-1 0 0,1 1 0,0-1 0,0 1 0,0 0 0,-1 0 0,1 0 0,0 0 0,-1 0 0,1 1 0,-1 0 0,0 0 0,6 3 0,-1 2 0,-6-6 0,0 1 0,0 0 0,0-1 0,1 1 0,-1-1 0,1 0 0,4 2 0,-6-3 0,0 0 0,0 0 0,0 0 0,0 0 0,0 0 0,0 0 0,0 0 0,0 0 0,0-1 0,0 1 0,-1 0 0,1-1 0,0 1 0,0-1 0,0 1 0,0-1 0,0 1 0,-1-1 0,1 0 0,0 1 0,-1-1 0,1 0 0,0 0 0,-1 1 0,1-1 0,0-2 0,1 0 0,0 0 0,0 0 0,1 0 0,-1 0 0,1 1 0,0-1 0,0 1 0,0-1 0,0 1 0,0 0 0,5-2 0,-6 3 0,1 0 0,-1 1 0,0 0 0,1-1 0,-1 1 0,1 0 0,-1 0 0,1 0 0,-1 0 0,0 1 0,1-1 0,-1 1 0,0-1 0,1 1 0,-1 0 0,0 0 0,0 0 0,5 3 0,-3-2 20,1 1 0,0-1 0,0 0 0,0 0 0,7 2 0,-11-4-62,0 0-1,0 0 1,0 1-1,1-1 1,-1 0-1,0 0 1,0 0 0,0 0-1,0 0 1,0-1-1,0 1 1,0 0-1,0 0 1,0-1 0,0 1-1,0-1 1,0 1-1,0-1 1,-1 1-1,1-1 1,0 1 0,0-1-1,0 0 1,-1 1-1,1-1 1,0 0-1,-1 0 1,1 0 0,0 1-1,-1-1 1,1 0-1,-1 0 1,1 0-1,-1-2 1,2-4-6784</inkml:trace>
  <inkml:trace contextRef="#ctx0" brushRef="#br0" timeOffset="3468.94">740 81 24575,'-1'0'0,"1"0"0,-1-1 0,1 1 0,-1 0 0,1-1 0,0 1 0,-1 0 0,1-1 0,-1 1 0,1-1 0,0 1 0,-1-1 0,1 1 0,0-1 0,-1 1 0,1-1 0,0 1 0,0-1 0,-1 0 0,-5-8 0,6 9 0,-1 0 0,1 0 0,0 0 0,-1 0 0,1 0 0,-1 0 0,1 0 0,0 0 0,-1 0 0,1 0 0,-1 0 0,1 0 0,0 1 0,-1-1 0,1 0 0,0 0 0,-1 0 0,1 1 0,0-1 0,-1 0 0,1 0 0,0 1 0,0-1 0,-1 0 0,1 1 0,0-1 0,0 0 0,0 1 0,-1-1 0,1 0 0,0 1 0,0 0 0,-3 5 0,0 0 0,0 0 0,0 1 0,1-1 0,0 1 0,0 0 0,-1 11 0,-1 52 0,3-48 0,0-6 0,1-1 0,1 1 0,4 27 0,-4-39 0,0 1 0,0-1 0,1 0 0,0 0 0,-1 1 0,1-1 0,1-1 0,2 5 0,-4-6 0,1 0 0,-1-1 0,1 1 0,-1-1 0,1 0 0,0 1 0,-1-1 0,1 0 0,0 0 0,0 0 0,0 0 0,0 0 0,0-1 0,0 1 0,0-1 0,0 1 0,4 0 0,-3-1-114,0-1 1,-1 1-1,1 0 0,0-1 0,-1 0 1,1 1-1,0-1 0,-1 0 0,1 0 1,-1 0-1,4-3 0,10-6-6712</inkml:trace>
  <inkml:trace contextRef="#ctx0" brushRef="#br0" timeOffset="4096.46">891 86 24575,'5'64'0,"-3"-48"0,-1-1 0,0 1 0,-1 0 0,-2 18 0,-9-114 0,10 66 0,0 0 0,1-1 0,4-27 0,-3 38 0,0 0 0,0 0 0,0 0 0,1 0 0,-1 0 0,1 0 0,0 0 0,3-3 0,-4 5 0,0 1 0,0-1 0,1 1 0,-1-1 0,1 1 0,-1 0 0,1 0 0,0-1 0,-1 1 0,1 0 0,0 1 0,0-1 0,0 0 0,-1 0 0,1 1 0,0-1 0,0 1 0,2 0 0,-2-1 0,-1 1 0,0 0 0,1 0 0,-1 1 0,1-1 0,-1 0 0,0 0 0,1 1 0,-1-1 0,0 0 0,0 1 0,1 0 0,-1-1 0,0 1 0,0 0 0,0-1 0,0 1 0,0 0 0,0 0 0,0 0 0,2 1 0,-1 1 0,-1 0 0,1 0 0,0 0 0,-1 0 0,0 0 0,1 0 0,-1 0 0,1 6 0,-1-1 0,0-1 0,0 1 0,-1 0 0,0-1 0,0 1 0,-1 0 0,-1 8 0,1-14 0,0 0 0,0 1 0,0-1 0,0 0 0,0 0 0,0 0 0,-1 0 0,1 0 0,-1 0 0,0-1 0,1 1 0,-1 0 0,0-1 0,0 1 0,0-1 0,0 0 0,0 1 0,0-1 0,0 0 0,-1 0 0,-3 1 0,5-2 0,0 0 0,0 0 0,0 0 0,0 0 0,0 0 0,0 0 0,0 0 0,0 0 0,0 0 0,0 0 0,0 0 0,0 0 0,0-1 0,0 1 0,0-1 0,0 1 0,0 0 0,0-1 0,1 1 0,-3-2 0,2 1 0,1 0 0,-1-1 0,0 1 0,1 0 0,-1 0 0,0-1 0,1 1 0,0 0 0,-1-1 0,1 1 0,0-1 0,-1 1 0,1 0 0,0-1 0,0 1 0,0-1 0,0 1 0,1 0 0,-1-2 0,0 2 0,0 0 0,0 1 0,0-1 0,0 0 0,1 0 0,-1 1 0,0-1 0,0 0 0,0 1 0,1-1 0,-1 1 0,0-1 0,1 0 0,-1 1 0,0-1 0,1 1 0,-1-1 0,1 1 0,-1-1 0,1 1 0,-1-1 0,1 1 0,-1-1 0,1 1 0,-1 0 0,1-1 0,0 1 0,-1 0 0,1 0 0,0-1 0,-1 1 0,1 0 0,0 0 0,-1 0 0,1 0 0,0 0 0,-1 0 0,1 0 0,0 0 0,0 0 0,-1 0 0,1 0 0,0 0 0,-1 1 0,1-1 0,0 0 0,-1 0 0,1 1 0,-1-1 0,1 0 0,0 1 0,-1-1 0,1 1 0,0 0 0,3 1 0,0 1 0,0 0 0,0 0 0,0 1 0,-1-1 0,4 5 0,0 2 0,0 1 0,-2-1 0,9 22 0,6 10 0,-20-41-85,1-1 0,-1 1-1,1 0 1,-1 0 0,1-1-1,-1 1 1,1 0 0,0 0-1,-1-1 1,1 1 0,0-1-1,0 1 1,-1-1 0,1 1-1,2 0 1</inkml:trace>
  <inkml:trace contextRef="#ctx0" brushRef="#br0" timeOffset="4740.26">1111 187 24575,'-3'-28'0,"-1"22"0,-4 17 0,6-4 0,0 0 0,0 0 0,1 0 0,0 0 0,0 0 0,1 0 0,0 1 0,0-1 0,2 9 0,-2-16 0,0 0 0,0 1 0,0-1 0,0 1 0,0-1 0,0 1 0,0-1 0,0 0 0,0 1 0,0-1 0,0 0 0,0 1 0,1-1 0,-1 1 0,0-1 0,0 0 0,1 1 0,-1-1 0,0 0 0,0 1 0,1-1 0,-1 0 0,0 0 0,1 1 0,-1-1 0,0 0 0,1 0 0,-1 0 0,1 1 0,6-10 0,1-21 0,-7 28 0,0 3 0,0 0 0,1 1 0,-1-1 0,0 0 0,1 0 0,-1 1 0,0-1 0,0 0 0,0 1 0,0-1 0,-1 1 0,1-1 0,0 1 0,0 3 0,1-2 0,-1 0 0,30 49 0,-28-48 0,-1-1 0,1 1 0,0-1 0,0 1 0,0-1 0,0 0 0,1 0 0,-1-1 0,1 1 0,0-1 0,5 3 0,-8-5 0,0 0 0,0 1 0,0-1 0,0 0 0,0 0 0,0-1 0,0 1 0,0 0 0,0 0 0,0 0 0,0-1 0,0 1 0,0 0 0,0-1 0,0 1 0,0-1 0,-1 1 0,1-1 0,0 1 0,0-1 0,-1 0 0,1 1 0,0-1 0,0 0 0,-1 0 0,1 0 0,-1 1 0,1-1 0,-1 0 0,1 0 0,-1 0 0,0 0 0,1 0 0,-1 0 0,0 0 0,0-1 0,9-38 0,-6-6 0,-2 0 0,-8-81 0,7 155 0,5 25 0,1-21 0,1 0 0,1-1 0,17 40 0,-25-70-93,0-1 49,0 1 0,0-1 1,0 0-1,0 1 0,0-1 0,1 0 0,-1 1 0,0-1 0,0 0 0,0 1 1,0-1-1,1 0 0,-1 1 0,0-1 0,0 0 0,1 0 0,-1 1 0,0-1 1,1 0-1,-1 0 0,0 0 0,0 1 0,1-1 0,-1 0 0,0 0 1,1 0-1,-1 0 0,1 0 0</inkml:trace>
  <inkml:trace contextRef="#ctx0" brushRef="#br0" timeOffset="5085.88">1349 223 24575,'0'1'0,"0"0"0,0-1 0,0 1 0,0 0 0,1-1 0,-1 1 0,0 0 0,0-1 0,0 1 0,0 0 0,1-1 0,-1 1 0,0-1 0,1 1 0,-1-1 0,1 1 0,-1 0 0,0-1 0,1 1 0,-1-1 0,1 0 0,-1 1 0,1-1 0,-1 1 0,1-1 0,0 0 0,-1 1 0,1-1 0,-1 0 0,1 0 0,0 0 0,-1 1 0,1-1 0,0 0 0,-1 0 0,1 0 0,0 0 0,-1 0 0,1 0 0,0 0 0,-1 0 0,1 0 0,0-1 0,-1 1 0,1 0 0,0 0 0,-1 0 0,2-1 0,0 0 0,0 0 0,0 1 0,0-1 0,0 0 0,0 0 0,-1 0 0,1-1 0,0 1 0,-1 0 0,1-1 0,0 1 0,-1-1 0,0 1 0,1-1 0,1-2 0,-3 2 0,1 1 0,-1-1 0,1 0 0,-1 1 0,0-1 0,0 0 0,0 0 0,0 1 0,0-1 0,0 0 0,0 0 0,0 1 0,-1-1 0,0-2 0,1 3 0,0 1 0,-1 0 0,1-1 0,0 1 0,0 0 0,0 0 0,0-1 0,-1 1 0,1 0 0,0 0 0,0 0 0,0-1 0,-1 1 0,1 0 0,0 0 0,0 0 0,-1 0 0,1-1 0,0 1 0,0 0 0,-1 0 0,1 0 0,0 0 0,-1 0 0,1 0 0,0 0 0,0 0 0,-1 0 0,0 0 0,1 0 0,-1 0 0,0 1 0,0-1 0,0 1 0,1-1 0,-1 1 0,0 0 0,0-1 0,1 1 0,-1 0 0,1-1 0,-1 1 0,0 0 0,1 0 0,-1 1 0,-1 2 0,-1 1 0,1-1 0,1 1 0,-1 0 0,1 0 0,-1 0 0,1 0 0,1 0 0,-1 0 0,1 5 0,0-7 0,0-1 0,0 1 0,0 0 0,0-1 0,0 1 0,1-1 0,-1 1 0,1-1 0,0 1 0,0-1 0,0 1 0,0-1 0,0 0 0,0 1 0,1-1 0,-1 0 0,1 0 0,0 0 0,-1 0 0,1 0 0,2 1 0,-3-2-35,0-1 0,0 0 0,-1 1 0,1-1 0,0 0 0,0 0 0,0 1 0,-1-1 0,1 0 0,0 0 0,0 0 0,0 0 0,0 0 0,0 0 0,-1 0 0,1 0 0,0-1 0,0 1 0,0 0 0,-1 0 0,1-1 0,0 1 0,0-1 0,-1 1 0,1 0 0,0-1 0,0 1 0,-1-1 0,1 0 0,-1 1 0,1-1 0,0 1 0,-1-1 0,0 0 0,1 0 0,-1 1 0,1-1 0,-1-1 0,4-5-6791</inkml:trace>
  <inkml:trace contextRef="#ctx0" brushRef="#br0" timeOffset="5339.95">1143 154 24575,'-1'0'0,"2"0"0,4 0 0,5-1 0,5 0 0,2 0 0,0 0 0,1 0 0,-2-2 0,-1 1 0,-1 1 0,-3-2 0,-2 0-8191</inkml:trace>
  <inkml:trace contextRef="#ctx0" brushRef="#br0" timeOffset="5635.62">1409 3 24575,'0'0'0,"0"0"0,0 0 0,0-1 0,0 1 0,1 0 0,-1 0 0,0 0 0,0 0 0,0-1 0,1 1 0,-1 0 0,0 0 0,0 0 0,0 0 0,1 0 0,-1-1 0,0 1 0,0 0 0,1 0 0,-1 0 0,0 0 0,0 0 0,1 0 0,-1 0 0,0 0 0,0 0 0,1 0 0,-1 0 0,0 0 0,0 0 0,1 0 0,-1 0 0,0 0 0,0 1 0,0-1 0,1 0 0,-1 0 0,0 0 0,0 0 0,1 0 0,-1 0 0,0 1 0,0-1 0,0 0 0,0 0 0,1 0 0,-1 1 0,17 10 0,-1 0 0,0 2 0,0 0 0,-1 0 0,-1 1 0,0 1 0,-1 1 0,-1 0 0,17 28 0,-25-37 0,-1-1 0,1 1 0,-1 0 0,0 0 0,-1 0 0,0 0 0,0 0 0,0 1 0,-1-1 0,0 0 0,-1 1 0,0-1 0,0 1 0,0-1 0,-1 1 0,0-1 0,0 1 0,-1-1 0,0 0 0,0 0 0,-1 0 0,0 0 0,0 0 0,-1-1 0,0 1 0,0-1 0,0 0 0,-9 9 0,6-6-124,0-1 0,-1 0 0,1-1 0,-2 0 0,1 0 0,-1-1-1,0 0 1,-1 0 0,1-1 0,-15 6 0,4-5-6702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24.62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138 29 24575,'0'-1'0,"1"0"0,-1 0 0,0 1 0,0-1 0,0 0 0,0 1 0,0-1 0,0 0 0,0 1 0,0-1 0,0 0 0,0 0 0,-1 1 0,1-1 0,0 0 0,0 1 0,-1-1 0,1 1 0,0-1 0,-1 0 0,1 1 0,-1-1 0,1 1 0,-1-1 0,1 1 0,-1-1 0,1 1 0,-1-1 0,1 1 0,-1 0 0,0-1 0,-1 1 0,1 0 0,0 0 0,0 1 0,-1-1 0,1 1 0,0-1 0,0 1 0,-1-1 0,1 1 0,0 0 0,0-1 0,0 1 0,0 0 0,0 0 0,-1 1 0,-6 5 0,1 1 0,0 0 0,-7 10 0,10-12 0,0 0 0,1 1 0,-1-1 0,1 1 0,-3 12 0,5-17 0,1-1 0,-1 1 0,1-1 0,0 1 0,0 0 0,0-1 0,0 1 0,0-1 0,0 1 0,0-1 0,0 1 0,1-1 0,-1 1 0,1-1 0,-1 1 0,1-1 0,-1 1 0,1-1 0,0 0 0,0 1 0,0-1 0,-1 0 0,1 0 0,1 1 0,-1-1 0,0 0 0,0 0 0,0 0 0,1 0 0,-1-1 0,0 1 0,1 0 0,1 0 0,15 7 0,-9-5 0,0 0 0,-1 1 0,1 0 0,-1 1 0,14 10 0,-21-14 0,0 0 0,0 0 0,0 0 0,0 0 0,0 0 0,0 0 0,-1 1 0,1-1 0,0 0 0,-1 1 0,1-1 0,0 0 0,-1 1 0,0-1 0,1 1 0,-1-1 0,0 3 0,0-2 0,0 0 0,-1 0 0,0 0 0,1 1 0,-1-1 0,0 0 0,0 0 0,0-1 0,0 1 0,0 0 0,0 0 0,0 0 0,-1-1 0,1 1 0,-4 2 0,2 0 0,-2-1 0,1 1 0,0-1 0,-1 0 0,1 0 0,-1 0 0,0 0 0,0-1 0,0 0 0,0 0 0,0 0 0,-1-1 0,1 0 0,-1 0 0,1 0 0,-8 0 0,11-2-34,1 1 0,0-1 0,0 0 0,0 1 0,0-1-1,-1 0 1,1 1 0,0-1 0,0 0 0,1 0 0,-1 0 0,0 0 0,0 0-1,0 0 1,1 0 0,-1 0 0,0-1 0,1 1 0,-1 0 0,1 0-1,-1 0 1,1-1 0,0 1 0,0 0 0,-1-1 0,1 1 0,0 0 0,0 0-1,0-1 1,0 1 0,1 0 0,-1-1 0,0 1 0,0 0 0,1 0 0,-1-1-1,1 1 1,-1 0 0,2-2 0,3-5-6792</inkml:trace>
  <inkml:trace contextRef="#ctx0" brushRef="#br0" timeOffset="692.23">340 125 24575,'-1'-2'0,"-1"-1"0,1 1 0,-1 0 0,0 0 0,1 0 0,-1 0 0,0 0 0,0 1 0,0-1 0,0 0 0,-1 1 0,1 0 0,0-1 0,-1 1 0,1 0 0,-1 0 0,-3-1 0,5 2 0,-1 0 0,1-1 0,0 1 0,0 0 0,-1 0 0,1 0 0,0 0 0,-1 0 0,1 0 0,0 0 0,0 1 0,-1-1 0,1 0 0,0 1 0,0-1 0,0 1 0,-1-1 0,1 1 0,0 0 0,0 0 0,0-1 0,0 1 0,0 0 0,0 0 0,0 0 0,1 0 0,-1 0 0,0 0 0,0 0 0,1 0 0,-1 0 0,0 0 0,1 1 0,0-1 0,-1 0 0,0 2 0,-1 6 0,1-1 0,-1 1 0,1-1 0,1 1 0,0 0 0,1 11 0,-1-18 0,0 0 0,0 0 0,0 0 0,0-1 0,1 1 0,-1 0 0,1 0 0,-1 0 0,1 0 0,0 0 0,-1-1 0,1 1 0,0 0 0,0-1 0,1 1 0,-1-1 0,0 1 0,0-1 0,1 1 0,-1-1 0,1 0 0,-1 0 0,1 0 0,0 0 0,-1 0 0,1 0 0,0 0 0,0 0 0,0-1 0,-1 1 0,1-1 0,0 1 0,4-1 0,-4 0 0,0 0 0,0-1 0,0 1 0,-1-1 0,1 0 0,0 0 0,0 1 0,0-1 0,-1-1 0,1 1 0,0 0 0,-1 0 0,1 0 0,-1-1 0,1 1 0,-1-1 0,0 1 0,0-1 0,0 0 0,0 1 0,0-1 0,0 0 0,0 0 0,0 0 0,-1 0 0,1 0 0,0-3 0,1-3 0,0 0 0,-1 0 0,0 1 0,0-1 0,-1-14 0,1 28 0,0 0 0,1-1 0,0 1 0,0-1 0,0 1 0,0-1 0,1 0 0,0 0 0,0 0 0,0 0 0,1-1 0,6 8 0,-8-10 0,1 1 0,0-1 0,0 1 0,-1-1 0,1 0 0,1 0 0,-1 0 0,0-1 0,0 1 0,1-1 0,-1 0 0,1 1 0,-1-2 0,1 1 0,-1 0 0,1-1 0,-1 1 0,1-1 0,0 0 0,-1-1 0,1 1 0,0 0 0,-1-1 0,1 0 0,6-2 0,-7 2 0,1-1 0,-1 0 0,0 1 0,0-1 0,0 0 0,0-1 0,0 1 0,-1 0 0,1-1 0,-1 0 0,1 1 0,-1-1 0,3-6 0,-1 3 0,-2 0 0,1 0 0,-1 0 0,0 0 0,0-1 0,2-12 0,-3-1 0,0 0 0,-1 1 0,-5-39 0,-1 37 0,6 21 0,0 0 0,-1 0 0,1 0 0,0 0 0,0 0 0,0 0 0,0 0 0,-1 0 0,1 0 0,0 0 0,0 0 0,0 0 0,-1 0 0,1 0 0,0 0 0,0 0 0,0 0 0,-1 0 0,1 0 0,0 0 0,0 0 0,0 1 0,0-1 0,0 0 0,-1 0 0,1 0 0,0 0 0,0 0 0,0 1 0,0-1 0,0 0 0,0 0 0,0 0 0,0 0 0,-1 1 0,1-1 0,0 0 0,0 0 0,0 0 0,0 1 0,0-1 0,0 0 0,0 0 0,0 0 0,0 0 0,0 1 0,-7 41 0,8 76 0,1-100 0,0-1 0,1 1 0,1-1 0,10 29 0,-14-44-65,1 1 0,-1-1 0,1 0 0,0 0 0,0 0 0,0 0 0,0 0 0,1 0 0,-1-1 0,0 1 0,1 0 0,-1 0 0,1-1 0,0 1 0,-1-1 0,1 0 0,0 1 0,0-1 0,0 0 0,2 1 0,5-2-6761</inkml:trace>
  <inkml:trace contextRef="#ctx0" brushRef="#br0" timeOffset="1054.35">661 198 24575,'0'1'0,"-1"-1"0,1 1 0,0 0 0,0-1 0,0 1 0,0-1 0,0 1 0,0 0 0,1-1 0,-1 1 0,0-1 0,0 1 0,0 0 0,1-1 0,-1 1 0,0-1 0,0 1 0,1-1 0,-1 1 0,1-1 0,-1 1 0,0-1 0,1 1 0,-1-1 0,1 0 0,-1 1 0,1-1 0,0 1 0,0-1 0,0 0 0,0 0 0,0 0 0,0 0 0,0 0 0,0 0 0,0 0 0,0-1 0,0 1 0,0 0 0,0 0 0,0-1 0,-1 1 0,1-1 0,2 0 0,0-1 0,0 0 0,0 0 0,0-1 0,0 1 0,-1-1 0,1 1 0,-1-1 0,1 0 0,1-3 0,-4 5 0,1 1 0,-1-1 0,0 0 0,1 1 0,-1-1 0,0 0 0,0 0 0,0 1 0,1-1 0,-1 0 0,0 0 0,0 1 0,0-1 0,0 0 0,0 0 0,0 0 0,-1 1 0,1-1 0,0 0 0,0 1 0,-1-1 0,1 0 0,-1-1 0,1 2 0,-1 0 0,1-1 0,-1 1 0,1 0 0,-1 0 0,1 0 0,-1 0 0,1 0 0,-1 0 0,1 0 0,-1 0 0,1 0 0,-1 0 0,1 0 0,-1 0 0,1 0 0,0 0 0,-1 0 0,1 0 0,-1 0 0,1 1 0,-1-1 0,1 0 0,-1 0 0,1 1 0,0-1 0,-1 0 0,1 1 0,-1-1 0,1 0 0,0 1 0,-1-1 0,1 0 0,0 1 0,0-1 0,-1 2 0,-2 2 0,-1 0 0,1 1 0,0-1 0,1 1 0,-1 0 0,1 0 0,0 0 0,0 0 0,1 0 0,-1 0 0,0 8 0,2-12 0,0 1 0,-1 0 0,1-1 0,0 1 0,0 0 0,0 0 0,1-1 0,-1 1 0,0 0 0,1-1 0,-1 1 0,1 0 0,-1-1 0,1 1 0,0-1 0,0 1 0,0-1 0,0 1 0,0-1 0,0 0 0,0 1 0,0-1 0,0 0 0,1 0 0,-1 0 0,0 0 0,1 0 0,-1 0 0,1 0 0,-1 0 0,1-1 0,-1 1 0,1 0 0,0-1 0,-1 0 0,1 1 0,0-1 0,2 0 0,25 0 120,-28 0-191,0 0 1,1 0-1,-1 0 0,0 0 0,0-1 1,1 1-1,-1 0 0,0-1 1,0 1-1,0-1 0,0 1 0,1-1 1,-1 1-1,0-1 0,0 0 1,0 1-1,0-1 0,0 0 0,-1 0 1,2-1-1</inkml:trace>
  <inkml:trace contextRef="#ctx0" brushRef="#br0" timeOffset="1379.62">1 446 24575,'86'-9'0,"63"7"0,152-8 0,-196 4 0,-105 6-22,9 1 167,-9-1-168,0 0 0,0 0 0,0 0 0,0 0 0,0 0 0,0 0 1,-1 0-1,1 0 0,0 0 0,0 0 0,0 0 0,0 0 0,0 0 0,0 0 0,0 0 1,0 0-1,0 1 0,0-1 0,0 0 0,0 0 0,0 0 0,0 0 0,0 0 0,0 0 1,0 0-1,0 0 0,0 0 0,0 0 0,0 0 0,0 0 0,0 0 0,0 1 0,0-1 1,0 0-1,0 0 0,0 0 0,0 0 0,0 0 0,0 0 0,0 0 0,0 0 0,1 0 1,-1 0-1,0 0 0,0 0 0,0 0 0,0 0 0,0 0 0,0 0 0,0 0 0,0 0 1,0 1-1,0-1 0,0 0 0,0 0 0,0 0 0,0 0 0,1 0 0,-1 0 0,0 0 1,0 0-1,0 0 0,0 0 0,0 0 0,-6 3-6803</inkml:trace>
  <inkml:trace contextRef="#ctx0" brushRef="#br0" timeOffset="2094.48">262 812 24575,'1'-22'0,"-1"18"0,1 1 0,-1-1 0,1 0 0,-1 0 0,-1 1 0,1-1 0,0 0 0,-1 0 0,0 1 0,0-1 0,0 1 0,0-1 0,0 1 0,-1-1 0,0 1 0,1-1 0,-1 1 0,-1 0 0,1 0 0,0 0 0,-6-5 0,6 6 0,-1 0 0,1 0 0,-1-1 0,0 2 0,0-1 0,1 0 0,-1 1 0,0-1 0,-1 1 0,1 0 0,0 0 0,0 0 0,0 0 0,-1 0 0,1 1 0,-5 0 0,5 0 0,1 1 0,0-1 0,0 1 0,0 0 0,0 0 0,0 0 0,0 0 0,0 0 0,0 0 0,0 1 0,0-1 0,0 1 0,1-1 0,-1 1 0,1 0 0,-1-1 0,1 1 0,0 0 0,-1 0 0,1 0 0,0 0 0,0 0 0,1 0 0,-1 0 0,0 3 0,-3 8 0,0-1 0,2 1 0,-1-1 0,2 1 0,0 0 0,0 0 0,1 0 0,1 0 0,0-1 0,3 17 0,-2-23 0,-1 0 0,1 0 0,0 0 0,1-1 0,-1 1 0,1-1 0,0 0 0,1 1 0,-1-2 0,6 8 0,-5-9 0,-1 0 0,1 0 0,-1-1 0,1 1 0,0-1 0,0 0 0,0 0 0,0 0 0,1 0 0,-1-1 0,0 1 0,1-1 0,-1 0 0,1-1 0,5 1 0,-7-1 0,0 1 0,0-1 0,1 0 0,-1-1 0,0 1 0,0 0 0,0-1 0,0 0 0,0 0 0,0 0 0,-1 0 0,1 0 0,0 0 0,0-1 0,-1 1 0,1-1 0,-1 0 0,4-3 0,-3 2 0,-1 0 0,0 0 0,0 0 0,0 0 0,0-1 0,-1 1 0,1-1 0,-1 1 0,0-1 0,0 0 0,0 1 0,-1-1 0,1-4 0,0-4 0,-2 1 0,1 0 0,-1-1 0,-1 1 0,0 0 0,0 0 0,-1-1 0,-9-18 0,8 19 0,0 1 0,-1 0 0,-1 0 0,1 1 0,-2 0 0,1 0 0,-1 0 0,-12-11 0,18 19 0,1 1 0,0 0 0,0 0 0,-1-1 0,1 1 0,0 0 0,-1 0 0,1 0 0,0 0 0,-1-1 0,1 1 0,0 0 0,-1 0 0,1 0 0,0 0 0,-1 0 0,1 0 0,0 0 0,-1 0 0,1 0 0,0 0 0,-1 0 0,1 0 0,-1 0 0,1 0 0,0 0 0,-1 0 0,1 0 0,0 1 0,-1-1 0,1 0 0,0 0 0,-1 1 0,-4 13 0,4 18 0,6-3 0,0-1 0,2 0 0,1-1 0,1 1 0,1-2 0,19 36 0,-29-61 5,1 0-1,-1 0 1,0 1-1,1-1 0,-1 0 1,1 0-1,0 0 1,-1-1-1,1 1 0,0 0 1,-1 0-1,1 0 1,0 0-1,0-1 1,0 1-1,0 0 0,0-1 1,0 1-1,0 0 1,0-1-1,0 0 1,0 1-1,0-1 0,0 1 1,0-1-1,2 0 1,-1 0-80,-1-1 1,0 0 0,1 1 0,-1-1 0,0 0-1,0 0 1,0 0 0,0 0 0,0 0-1,0 0 1,0 0 0,0 0 0,0 0-1,0 0 1,0-1 0,-1 1 0,1 0-1,0-1 1,0-2 0,6-13-6752</inkml:trace>
  <inkml:trace contextRef="#ctx0" brushRef="#br0" timeOffset="2343.02">445 560 24575,'0'2'0,"0"5"0,0 5 0,0 4 0,0 6 0,0 8 0,0 5 0,-2 1 0,1-2 0,1-3 0,-1-4 0,1-5 0,-1-6 0,1-7 0,0-8 0</inkml:trace>
  <inkml:trace contextRef="#ctx0" brushRef="#br0" timeOffset="2877.84">390 748 24575,'7'-1'0,"0"-1"0,0 0 0,0 0 0,0 0 0,0-1 0,-1 0 0,0-1 0,1 1 0,5-6 0,17-7 0,-17 10 0,-11 5 0,0 0 0,1 0 0,-1 0 0,0 1 0,1-1 0,-1 1 0,1-1 0,-1 1 0,1-1 0,-1 1 0,3 0 0,-3 0 0,-1 1 0,1-1 0,0 1 0,-1-1 0,1 1 0,-1-1 0,1 1 0,-1 0 0,1-1 0,-1 1 0,0 0 0,1 0 0,-1-1 0,0 1 0,0 0 0,1 0 0,-1-1 0,0 1 0,0 0 0,0 0 0,0 0 0,0-1 0,0 1 0,0 0 0,0 0 0,0 0 0,-1 1 0,1 3 0,1 0 0,-1 0 0,1 0 0,0 0 0,0 0 0,1 0 0,1 5 0,-3-10 0,1 1 0,-1 0 0,1 0 0,-1 0 0,0 0 0,1 0 0,-1 0 0,1-1 0,0 1 0,-1 0 0,1 0 0,0-1 0,-1 1 0,1 0 0,0-1 0,0 1 0,-1-1 0,1 1 0,0-1 0,0 1 0,0-1 0,0 0 0,0 1 0,0-1 0,0 0 0,0 0 0,0 0 0,0 0 0,0 0 0,0 0 0,0 0 0,-1 0 0,1 0 0,0 0 0,0 0 0,0-1 0,0 1 0,0 0 0,0-1 0,0 1 0,0 0 0,0-1 0,-1 0 0,2 0 0,0-1 0,0 0 0,0 0 0,0 0 0,0-1 0,0 1 0,-1 0 0,0-1 0,1 1 0,-1-1 0,0 0 0,0 1 0,0-1 0,0 0 0,-1 0 0,1 0 0,-1 1 0,0-6 0,0 21 0,1-1 0,0 0 0,5 21 0,-3-20 0,-1 1 0,0 0 0,-1 0 0,-1 22 0,0-31 0,-1-1 0,0 1 0,0-1 0,0 0 0,-1 0 0,1 0 0,-1 1 0,0-1 0,0-1 0,0 1 0,-1 0 0,1-1 0,-1 1 0,0-1 0,0 1 0,0-1 0,-1 0 0,1-1 0,-6 4 0,8-5-47,0 0 0,0 0 0,-1 0 0,1-1 0,0 1 0,0 0 0,-1-1 0,1 0 0,-1 1-1,1-1 1,0 0 0,-1 1 0,1-1 0,-1 0 0,1 0 0,0 0 0,-1 0 0,1 0 0,-1-1 0,1 1 0,-1 0 0,1-1-1,0 1 1,-1-1 0,1 1 0,0-1 0,0 0 0,-2 0 0,-7-8-6779</inkml:trace>
  <inkml:trace contextRef="#ctx0" brushRef="#br0" timeOffset="3192.56">1046 258 24575,'1'0'0,"1"-2"0,2 0 0,3-2 0,0 1 0,2-2 0,0 1 0,1 0 0,-2 3 0,-2 4 0</inkml:trace>
  <inkml:trace contextRef="#ctx0" brushRef="#br0" timeOffset="3365.5">1068 322 24575,'-1'0'0,"-1"1"0,1 1 0,2 0 0,3 0 0,4-2 0,3-2 0,2-2 0,-1 0 0,-2-1 0,-1 1 0,-2 1-8191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34.96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4 225 24575,'-3'0'0,"3"0"0,5 9 0,1 6 0,-5-11 0,0 0 0,0 0 0,1 0 0,0-1 0,0 1 0,2 4 0,-4-8 0,1 0 0,-1 1 0,0-1 0,1 0 0,-1 1 0,0-1 0,1 0 0,-1 0 0,1 1 0,-1-1 0,0 0 0,1 0 0,-1 0 0,1 1 0,-1-1 0,1 0 0,-1 0 0,1 0 0,-1 0 0,0 0 0,1 0 0,-1 0 0,1 0 0,1-1 0,-1 1 0,0 0 0,0-1 0,0 0 0,0 1 0,0-1 0,-1 0 0,1 1 0,0-1 0,0 0 0,0 0 0,0 0 0,0-1 0,9-12 0,-1-1 0,13-28 0,10-17 0,-18 41 0,0 0 0,21-21 0,-27 31 0,1 1 0,0 0 0,0 1 0,1 0 0,0 1 0,16-8 0,-26 14-47,1-1 0,-1 1 0,1 0 0,-1-1 0,1 1 0,0 0 0,-1-1 0,1 1 0,0 0-1,-1 0 1,1 0 0,0 0 0,-1 0 0,1 0 0,0 0 0,-1 0 0,1 0 0,0 0 0,-1 0 0,1 0 0,0 0 0,-1 0-1,1 1 1,-1-1 0,1 0 0,0 0 0,-1 1 0,2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28.91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51 132 24575,'0'0'0,"-1"0"0,1 0 0,0 1 0,-1-1 0,1 0 0,-1 0 0,1 0 0,0 1 0,-1-1 0,1 0 0,0 1 0,-1-1 0,1 0 0,0 1 0,0-1 0,-1 0 0,1 1 0,0-1 0,0 1 0,0-1 0,-1 0 0,1 1 0,0-1 0,0 1 0,0-1 0,0 1 0,0-1 0,0 1 0,0 0 0,-1 16 0,1-15 0,3 73 0,-1-50 0,-1 0 0,-1 0 0,-6 48 0,0-59 0,3-27 0,1-27 0,7-116 0,-3 136 0,1 0 0,0 0 0,2 1 0,1-1 0,12-31 0,-15 47 0,-1-1 0,1 1 0,-1 0 0,1-1 0,7-6 0,-10 10 0,1 1 0,-1-1 0,1 1 0,-1-1 0,1 1 0,0-1 0,-1 1 0,1-1 0,-1 1 0,1 0 0,0 0 0,-1-1 0,1 1 0,-1 0 0,1 0 0,0-1 0,0 1 0,-1 0 0,1 0 0,0 0 0,-1 0 0,1 0 0,0 0 0,-1 0 0,1 1 0,0-1 0,-1 0 0,1 0 0,0 0 0,-1 1 0,1-1 0,0 0 0,-1 1 0,1-1 0,-1 0 0,1 1 0,0-1 0,-1 1 0,1-1 0,-1 1 0,0-1 0,1 1 0,-1-1 0,1 1 0,-1 0 0,0-1 0,1 1 0,-1-1 0,0 1 0,0 0 0,1 0 0,2 8 0,0 0 0,-1 0 0,0 0 0,0 0 0,-1 1 0,0-1 0,-1 0 0,0 1 0,0-1 0,-1 0 0,0 0 0,-1 1 0,0-1 0,0 0 0,-1 0 0,0 0 0,0-1 0,-1 1 0,-1-1 0,1 0 0,-1 0 0,-1 0 0,-6 7 0,9-12 0,-1-1 0,1 1 0,0-1 0,-1 0 0,0 0 0,-6 2 0,9-3 0,1-1 0,-1 0 0,1 1 0,-1-1 0,0 0 0,1 0 0,-1 1 0,1-1 0,-1 0 0,0 0 0,1 0 0,-1 0 0,0 0 0,1 0 0,-1 0 0,0 0 0,1 0 0,-1 0 0,0 0 0,1-1 0,-1 1 0,1 0 0,-1 0 0,0-1 0,1 1 0,-1 0 0,1-1 0,-1 1 0,1 0 0,-1-1 0,1 1 0,-1-1 0,1 1 0,-1-1 0,1 1 0,0-1 0,-1 1 0,1-1 0,0 1 0,-1-1 0,1 0 0,0 1 0,0-1 0,0 1 0,0-1 0,-1 0 0,1 1 0,0-1 0,0 0 0,0 0 0,0 0 0,0 0 0,0 0 0,0-1 0,1 1 0,-1 0 0,0 0 0,0 0 0,1 0 0,-1 0 0,1 0 0,-1 0 0,1 0 0,-1 0 0,1 0 0,0 0 0,-1 0 0,1 0 0,0 0 0,0 0 0,-1 1 0,1-1 0,0 0 0,0 1 0,0-1 0,0 0 0,0 1 0,0-1 0,0 1 0,0 0 0,2-1 0,-1 0 0,0 1 0,0 0 0,0 0 0,0-1 0,0 1 0,0 0 0,0 1 0,0-1 0,0 0 0,0 1 0,0-1 0,0 1 0,0-1 0,0 1 0,0 0 0,2 2 0,4 3 0,0 2 0,-1-1 0,1 1 0,-2 0 0,1 0 0,-1 1 0,-1 0 0,0 0 0,0 0 0,6 17 0,20 34 0,-30-58-97,1 0-1,-1 0 1,1 0-1,0 0 1,0 0-1,-1 0 1,1-1-1,0 1 1,1-1-1,-1 1 1,0-1-1,0 0 0,3 2 1,4-1-6729</inkml:trace>
  <inkml:trace contextRef="#ctx0" brushRef="#br0" timeOffset="582.79">322 329 24575,'0'-12'0,"0"-19"0,0 30 0,0-1 0,0 1 0,-1-1 0,1 1 0,0-1 0,-1 1 0,1 0 0,-1-1 0,1 1 0,-1 0 0,0-1 0,1 1 0,-1 0 0,0-1 0,-2-1 0,3 3 0,-1 0 0,1 0 0,-1 0 0,0 0 0,1-1 0,-1 1 0,1 0 0,-1 0 0,0 0 0,1 0 0,-1 0 0,1 0 0,-1 1 0,0-1 0,1 0 0,-1 0 0,1 0 0,-1 0 0,1 1 0,-1-1 0,1 0 0,-1 1 0,1-1 0,-1 0 0,1 1 0,-1-1 0,1 1 0,-1-1 0,1 0 0,0 1 0,-1-1 0,1 1 0,0-1 0,-1 1 0,1 0 0,0-1 0,0 1 0,-1 0 0,-11 25 0,12-25 0,-4 9 0,1-1 0,0 1 0,0-1 0,1 1 0,0 0 0,1 0 0,0 17 0,1-27 0,-1 1 0,1-1 0,0 0 0,0 1 0,0-1 0,0 1 0,0-1 0,1 0 0,-1 1 0,0-1 0,0 0 0,0 1 0,0-1 0,0 0 0,0 1 0,0-1 0,1 0 0,-1 1 0,0-1 0,0 0 0,1 0 0,-1 1 0,0-1 0,0 0 0,1 0 0,-1 1 0,0-1 0,1 0 0,-1 0 0,0 0 0,0 1 0,1-1 0,0 0 0,10-7 0,6-17 0,-10 8 0,-6 13 0,-1 0 0,1 1 0,0-1 0,1 0 0,-1 1 0,0-1 0,1 1 0,2-4 0,17 36 0,-20-28 0,1 0 0,-1-1 0,1 1 0,-1-1 0,1 1 0,-1-1 0,1 1 0,0-1 0,0 0 0,0 0 0,0 0 0,0 0 0,0 0 0,0-1 0,0 1 0,0 0 0,0-1 0,0 0 0,0 1 0,0-1 0,0 0 0,1 0 0,-1 0 0,0 0 0,0-1 0,0 1 0,0-1 0,0 1 0,0-1 0,1 1 0,-1-1 0,3-2 0,-1 0 0,0 0 0,0 1 0,-1-2 0,1 1 0,-1 0 0,0-1 0,0 1 0,0-1 0,0 0 0,-1 0 0,0 0 0,0 0 0,0 0 0,2-7 0,2-15 0,-2 0 0,0 0 0,-2-1 0,-1 1 0,-4-40 0,2 59 0,0 8 0,-4 19 0,-1 34 0,-2 26 0,3-27 0,0 62 0,7-96-1365,2-6-5461</inkml:trace>
  <inkml:trace contextRef="#ctx0" brushRef="#br0" timeOffset="938.53">528 393 24575,'5'0'0,"0"-1"0,0 0 0,0 0 0,0 0 0,-1 0 0,1-1 0,0 0 0,0 0 0,-1 0 0,9-6 0,-11 6 0,0 1 0,1-1 0,-1 0 0,0 1 0,0-1 0,0 0 0,0 0 0,-1 0 0,1 0 0,-1-1 0,1 1 0,-1 0 0,0-1 0,0 1 0,0-1 0,0 1 0,0-1 0,0 0 0,-1 1 0,1-1 0,-1 0 0,0-3 0,0 6 0,0-1 0,0 0 0,0 0 0,0 0 0,0 0 0,0 1 0,-1-1 0,1 0 0,0 0 0,0 1 0,-1-1 0,1 0 0,-1 0 0,1 1 0,-1-1 0,1 0 0,-1 1 0,0-1 0,1 0 0,-1 1 0,1 0 0,-1 0 0,1 0 0,-1 0 0,1 0 0,-1-1 0,1 1 0,0 0 0,-1 0 0,1 0 0,-1 0 0,1 0 0,-1 0 0,1 1 0,-1-1 0,1 0 0,-1 0 0,1 0 0,-1 0 0,1 0 0,-1 1 0,-1 0 0,1 0 0,-1 0 0,0 0 0,1 1 0,0-1 0,-1 0 0,1 1 0,0-1 0,-1 1 0,1 0 0,0-1 0,0 1 0,-1 2 0,0 3 0,0 0 0,1 0 0,-1 0 0,1 1 0,1-1 0,0 0 0,0 1 0,1 9 0,-1-16 0,0 1 0,0-1 0,0 1 0,0-1 0,1 1 0,-1 0 0,0-1 0,1 1 0,0-1 0,-1 0 0,1 1 0,0-1 0,0 1 0,-1-1 0,1 0 0,0 0 0,0 1 0,1-1 0,-1 0 0,0 0 0,0 0 0,0 0 0,1 0 0,-1-1 0,0 1 0,1 0 0,-1-1 0,1 1 0,-1-1 0,1 1 0,-1-1 0,1 1 0,-1-1 0,1 0 0,0 0 0,-1 0 0,1 0 0,-1 0 0,1 0 0,-1-1 0,1 1 0,0 0 0,-1-1 0,3 0 0,-2 0-97,1 0-1,-1 0 1,0 0-1,0 0 1,1 0-1,-1-1 1,0 1-1,0-1 1,0 0-1,-1 1 1,1-1-1,0 0 0,2-4 1,2-3-6729</inkml:trace>
  <inkml:trace contextRef="#ctx0" brushRef="#br0" timeOffset="1155.33">367 256 24575,'-2'0'0,"0"0"0,4-2 0,6 0 0,8-1 0,5-1 0,5-2 0,1 1 0,0 1 0,-3-3 0,-4 1-8191</inkml:trace>
  <inkml:trace contextRef="#ctx0" brushRef="#br0" timeOffset="1347.47">807 233 24575,'3'-2'0,"4"-1"0,0-1-8191</inkml:trace>
  <inkml:trace contextRef="#ctx0" brushRef="#br0" timeOffset="1787.82">926 205 24575,'0'0'0,"0"0"0,0-1 0,0 1 0,0-1 0,0 1 0,0 0 0,0-1 0,0 1 0,0-1 0,0 1 0,0 0 0,0-1 0,0 1 0,-1-1 0,1 1 0,0 0 0,0-1 0,-1 1 0,1 0 0,0-1 0,0 1 0,-1 0 0,1 0 0,0-1 0,-1 1 0,1 0 0,0 0 0,-1 0 0,1-1 0,0 1 0,-1 0 0,-15 2 0,13 0 0,-1-1 0,1 1 0,0 0 0,-1 0 0,1 0 0,-3 4 0,5-5 0,0 0 0,0 0 0,0 0 0,0 0 0,0 0 0,0 0 0,1 0 0,-1 0 0,0 0 0,1 1 0,-1-1 0,1 0 0,-1 0 0,1 1 0,0-1 0,-1 0 0,1 1 0,0-1 0,0 1 0,0-1 0,0 0 0,0 1 0,0-1 0,1 0 0,-1 1 0,0-1 0,1 0 0,-1 1 0,1-1 0,-1 0 0,1 0 0,0 1 0,-1-1 0,1 0 0,0 0 0,0 0 0,0 0 0,0 0 0,0 0 0,0 0 0,2 1 0,6 4 0,0-1 0,0 0 0,0-1 0,18 7 0,1 0 0,-26-10 0,0 0 0,0 1 0,0-1 0,0 0 0,0 1 0,0-1 0,0 1 0,-1 0 0,1-1 0,-1 1 0,1 0 0,-1 0 0,0 0 0,1 0 0,0 3 0,-2-4 0,0 1 0,0-1 0,1 0 0,-1 0 0,-1 0 0,1 1 0,0-1 0,0 0 0,0 0 0,0 0 0,-1 1 0,1-1 0,-1 0 0,1 0 0,-1 0 0,1 0 0,-1 0 0,0 0 0,1 0 0,-1 0 0,0 0 0,0 0 0,0 0 0,0-1 0,0 1 0,0 0 0,0-1 0,0 1 0,0 0 0,-2 0 0,-4 3-151,0-1-1,-1 0 0,0 0 0,0-1 1,0 0-1,0 0 0,0-1 1,-8 1-1,8-2-6674</inkml:trace>
  <inkml:trace contextRef="#ctx0" brushRef="#br0" timeOffset="1962.38">1055 302 24575,'0'-2'0,"3"0"0,1-2 0,2 1 0</inkml:trace>
  <inkml:trace contextRef="#ctx0" brushRef="#br0" timeOffset="2416.25">1174 178 24575,'-1'2'0,"0"0"0,1 0 0,-1 0 0,1 0 0,-1 0 0,1 0 0,0 0 0,0 4 0,0-4 0,-1 177 0,-3-165 0,-1-23 0,-2-25 0,5 10 0,1-1 0,4-37 0,-1 49 0,0 0 0,0 1 0,1-1 0,1 0 0,0 1 0,9-18 0,-12 29 0,-1 0 0,1-1 0,-1 1 0,1 0 0,0 0 0,0 0 0,0-1 0,-1 1 0,1 0 0,0 0 0,0 0 0,0 0 0,1 1 0,-1-1 0,0 0 0,0 0 0,0 1 0,1-1 0,-1 0 0,0 1 0,1 0 0,0-1 0,-1 1 0,1 0 0,-1 0 0,0 1 0,0-1 0,0 0 0,0 1 0,0-1 0,0 1 0,0-1 0,0 1 0,0-1 0,0 1 0,0 0 0,0 0 0,0-1 0,-1 1 0,1 0 0,0 0 0,0 0 0,0 2 0,1-1 0,0 1 0,-1 0 0,1 0 0,-1 0 0,0 0 0,0 0 0,0 0 0,0 0 0,-1 0 0,1 1 0,-1-1 0,0 0 0,0 0 0,0 0 0,0 1 0,-1-1 0,1 0 0,-2 5 0,0-6 7,1 1 0,-1 0 0,0 0 0,0-1 0,0 0 1,-1 1-1,1-1 0,-1 0 0,1 0 0,-1 0 0,0 0 0,1 0 0,-1-1 0,0 1 0,0-1 0,-5 2 0,-4 0-378,0 0-1,1-1 1,-14 1 0,-4 0-6455</inkml:trace>
  <inkml:trace contextRef="#ctx0" brushRef="#br0" timeOffset="2667.37">720 31 24575,'-2'0'0,"-2"0"0,-3 2 0,1 7 0,-2 8 0,1 8 0,1 8 0,5 7 0,5 7 0,5 4 0,7-1 0,7-1 0,4-6 0,3-7 0,0-7 0,-2-9 0,-2-8 0,-5-6-8191</inkml:trace>
  <inkml:trace contextRef="#ctx0" brushRef="#br0" timeOffset="2950.46">1549 27 24575,'0'1'0,"2"6"0,0 8 0,4 10 0,1 11 0,1 10 0,0 6 0,-4 4 0,-5 1 0,-10-1 0,-11-1 0,-10-3 0,-9-3 0,3-10-8191</inkml:trace>
  <inkml:trace contextRef="#ctx0" brushRef="#br0" timeOffset="4613.33">42 567 24575,'102'-9'0,"43"-5"0,3 14-1365,-154 0-5461</inkml:trace>
  <inkml:trace contextRef="#ctx0" brushRef="#br0" timeOffset="4952.41">1 613 24575,'282'-9'0,"-229"10"0,-28 1 0,-1-2 0,47-5 0,-71 5 2,1 0 1,-1 0-1,0 0 0,0 0 0,1 0 0,-1 0 0,0 0 1,0 0-1,1 0 0,-1 0 0,0 0 0,0 0 0,1 0 1,-1 0-1,0 0 0,0 0 0,1 0 0,-1-1 0,0 1 1,0 0-1,0 0 0,1 0 0,-1 0 0,0 0 0,0-1 1,0 1-1,1 0 0,-1 0 0,0 0 0,0-1 0,0 1 1,0 0-1,0 0 0,1-1 0,-1 1 0,0 0 0,0 0 1,0-1-1,0 1 0,0 0 0,0 0 0,0-1 0,0 1 1,0 0-1,0 0 0,0-1 0,0 1 0,-10-8-1471,0 3-5357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36.05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1 183 24575,'0'-1'0,"0"1"0,0-1 0,0 1 0,0-1 0,1 0 0,-1 1 0,0-1 0,0 1 0,0-1 0,1 1 0,-1-1 0,0 0 0,1 1 0,-1-1 0,1 1 0,-1 0 0,0-1 0,1 1 0,-1-1 0,1 1 0,-1 0 0,1-1 0,-1 1 0,1 0 0,0-1 0,20-5 0,1-1 0,22-18 0,58-45 0,-17 11 0,-79 56-1365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4:50:37.039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0 133 24575,'1'0'0,"1"0"0,-1 0 0,0 0 0,0 1 0,0-1 0,0 0 0,0 0 0,0 1 0,0-1 0,0 1 0,0-1 0,0 1 0,0-1 0,0 1 0,0-1 0,0 1 0,0 0 0,0 0 0,0-1 0,-1 1 0,1 0 0,0 0 0,-1 0 0,2 2 0,7 28 0,-9-28 0,1 0 0,-1 0 0,1 0 0,0 0 0,0 0 0,0 0 0,0 0 0,0-1 0,0 1 0,1 0 0,-1-1 0,4 5 0,-4-7 0,0 0 0,0 1 0,0-1 0,0 0 0,0 1 0,0-1 0,0 0 0,0 0 0,0 0 0,0 0 0,0 0 0,0 0 0,0 0 0,0-1 0,0 1 0,0 0 0,0 0 0,0-1 0,0 1 0,0-1 0,0 1 0,0-1 0,0 1 0,0-1 0,0 1 0,-1-1 0,1 0 0,1-1 0,26-26 0,-24 23 0,93-117 0,-68 83 0,-22 28-1365,-2 3-5461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7:42:15.61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9 0 24575,'-8'158'0,"7"348"0,1-504-76,1 19 282,1-13-453,1-9-1001,2-8-5578</inkml:trace>
  <inkml:trace contextRef="#ctx0" brushRef="#br0" timeOffset="451.66">74 417 24575,'0'-3'0,"0"0"0,1 0 0,0 0 0,-1 0 0,1 0 0,0 0 0,1 0 0,-1 0 0,0 1 0,1-1 0,0 0 0,-1 1 0,5-5 0,-5 6 0,0 0 0,-1 1 0,1-1 0,0 0 0,0 1 0,-1-1 0,1 0 0,0 1 0,0-1 0,0 1 0,0-1 0,0 1 0,0 0 0,0-1 0,0 1 0,0 0 0,0 0 0,0 0 0,0 0 0,0 0 0,0 0 0,0 0 0,0 0 0,0 0 0,0 0 0,0 0 0,0 1 0,0-1 0,0 0 0,0 1 0,-1-1 0,1 1 0,0-1 0,0 1 0,0-1 0,0 1 0,-1 0 0,1-1 0,0 1 0,0 0 0,-1 0 0,1 0 0,-1-1 0,1 1 0,0 2 0,4 4 0,-1 1 0,0 0 0,-1 0 0,0 0 0,0 1 0,-1-1 0,3 18 0,3 64 0,-8-79 0,0 24 0,0-29 0,3-27 0,-3 18 0,1-2 0,12-84 0,-10 78 0,-1 0 0,2 0 0,-1 1 0,1-1 0,11-18 0,-15 29 0,0-1 0,0 1 0,1-1 0,-1 0 0,0 1 0,0-1 0,1 1 0,-1-1 0,1 1 0,-1-1 0,0 1 0,1 0 0,-1-1 0,1 1 0,-1 0 0,1-1 0,-1 1 0,1 0 0,-1-1 0,1 1 0,0 0 0,-1 0 0,1 0 0,-1-1 0,1 1 0,0 0 0,-1 0 0,1 0 0,-1 0 0,1 0 0,0 0 0,0 1 0,1-1 0,-1 1 0,0 0 0,0 0 0,0 0 0,0 0 0,0 0 0,0 1 0,0-1 0,-1 0 0,1 0 0,0 1 0,-1-1 0,2 2 0,1 6 0,0 0 0,4 20 0,7 101 0,-8-115 113,-6-15-164,0 1 1,1-1-1,-1 0 0,1 1 0,-1-1 0,1 0 0,-1 0 0,1 0 0,-1 0 0,1 1 0,-1-1 0,1 0 0,-1 0 0,1 0 0,-1 0 0,1 0 0,-1 0 0,1 0 0,-1 0 0,1 0 0,-1 0 0,0-1 0,1 1 0,-1 0 0,1 0 0,-1 0 0,1-1 0,0 1 0,9-6-6775</inkml:trace>
  <inkml:trace contextRef="#ctx0" brushRef="#br0" timeOffset="792.95">509 385 24575,'0'0'0,"0"-1"0,0 0 0,0 1 0,0-1 0,1 1 0,-1-1 0,0 0 0,-1 1 0,1-1 0,0 1 0,0-1 0,0 0 0,0 1 0,0-1 0,-1 1 0,1-1 0,0 1 0,0-1 0,-1 0 0,1 1 0,0-1 0,-1 1 0,1 0 0,-1-1 0,1 1 0,-1-1 0,0 0 0,0 1 0,0 0 0,1 1 0,-1-1 0,0 0 0,0 0 0,1 0 0,-1 1 0,0-1 0,0 0 0,1 1 0,-1-1 0,0 1 0,1-1 0,-1 1 0,1-1 0,-1 1 0,0 1 0,-3 1 0,1 1 0,0 0 0,-1 1 0,2-1 0,-5 9 0,6-11 0,1-1 0,0 1 0,-1-1 0,1 1 0,0 0 0,0-1 0,0 1 0,0-1 0,0 1 0,1 0 0,-1-1 0,0 1 0,1-1 0,-1 1 0,1-1 0,-1 1 0,1-1 0,0 1 0,0-1 0,0 1 0,1 1 0,30 28 0,-4-4 0,-25-23 0,-1-1 0,0 0 0,0 1 0,0-1 0,0 1 0,0 0 0,-1 0 0,0 0 0,2 7 0,-3-9 0,0-1 0,0 1 0,-1-1 0,1 1 0,0-1 0,-1 1 0,1-1 0,-1 1 0,1-1 0,-1 0 0,0 1 0,1-1 0,-1 0 0,0 0 0,0 1 0,0-1 0,0 0 0,0 0 0,0 0 0,0 0 0,-1 0 0,1 0 0,0 0 0,-1-1 0,1 1 0,0 0 0,-1-1 0,1 1 0,-2 0 0,-1 0 9,1 0 1,0 0-1,0 0 0,-1 0 0,1-1 1,0 1-1,-1-1 0,1 0 0,-1 0 0,1 0 1,0-1-1,-5 0 0,6 1-51,1-1-1,0 1 1,0-1-1,-1 1 1,1-1-1,0 0 1,0 1 0,0-1-1,0 0 1,0 0-1,0 0 1,0 0-1,0 0 1,0 0 0,1 0-1,-1 0 1,0 0-1,1 0 1,-1 0-1,1 0 1,-1-1 0,1 1-1,-1 0 1,1 0-1,0-1 1,-1 1-1,1 0 1,0-1 0,0 1-1,0 0 1,0 0-1,0-1 1,1 1-1,-1-2 1,2-7-6784</inkml:trace>
  <inkml:trace contextRef="#ctx0" brushRef="#br0" timeOffset="1166.49">623 477 24575,'13'0'0,"-10"0"0,1 1 0,-1-1 0,0 0 0,1-1 0,-1 1 0,6-2 0,-8 2 0,0-1 0,1 0 0,-1 1 0,0-1 0,0 0 0,0 0 0,0 1 0,0-1 0,0 0 0,0 0 0,0 0 0,0 0 0,0-1 0,-1 1 0,1 0 0,0 0 0,-1 0 0,1-1 0,-1 1 0,1 0 0,-1-2 0,1-1 0,0 1 0,-1-1 0,0 0 0,0 0 0,0 1 0,0-1 0,-1 0 0,1 0 0,-1 1 0,-1-6 0,1 8 0,1 0 0,0 0 0,-1 0 0,1 1 0,0-1 0,-1 0 0,1 0 0,-1 1 0,1-1 0,-1 0 0,0 1 0,1-1 0,-1 0 0,0 1 0,1-1 0,-1 1 0,0-1 0,0 1 0,-1-1 0,1 1 0,0 0 0,0 0 0,0 0 0,0 0 0,0 0 0,0 0 0,0 1 0,0-1 0,0 0 0,0 1 0,0-1 0,0 0 0,1 1 0,-1 0 0,0-1 0,0 1 0,0-1 0,0 1 0,1 0 0,-1-1 0,-1 3 0,-2 1 0,0 1 0,1 0 0,-1 1 0,1-1 0,0 1 0,0-1 0,0 1 0,1 0 0,0 0 0,0 0 0,1 0 0,-1 9 0,1-13 0,1 1 0,-1-1 0,1 0 0,0 1 0,0-1 0,0 1 0,0-1 0,1 0 0,-1 1 0,0-1 0,1 0 0,0 1 0,0-1 0,0 0 0,0 0 0,0 1 0,0-1 0,0 0 0,0 0 0,1 0 0,-1-1 0,1 1 0,0 0 0,0 0 0,-1-1 0,1 1 0,0-1 0,0 0 0,0 0 0,0 1 0,1-1 0,-1 0 0,0-1 0,3 2 0,2-1-170,-1 0-1,0 0 0,0 0 1,0-1-1,0 0 0,1 0 1,11-3-1,-9 0-6655</inkml:trace>
  <inkml:trace contextRef="#ctx0" brushRef="#br0" timeOffset="1526.63">765 417 24575,'4'1'0,"-1"-1"0,0 1 0,1 0 0,-1 0 0,0 0 0,0 0 0,0 1 0,1-1 0,-1 1 0,-1 0 0,1 0 0,0 0 0,0 0 0,-1 0 0,1 1 0,-1-1 0,0 1 0,0 0 0,2 3 0,-2-3 0,0 0 0,0 0 0,0 0 0,0 0 0,-1 0 0,1 1 0,-1-1 0,0 1 0,0-1 0,-1 1 0,1-1 0,-1 1 0,1-1 0,-1 1 0,0 0 0,0-1 0,-1 1 0,0 4 0,1-7 0,0 0 0,-1 0 0,1 0 0,0 0 0,0-1 0,-1 1 0,1 0 0,0 0 0,-1 0 0,1-1 0,-1 1 0,1 0 0,-1 0 0,0-1 0,1 1 0,-1-1 0,0 1 0,1 0 0,-1-1 0,0 1 0,1-1 0,-1 0 0,0 1 0,0-1 0,0 0 0,0 1 0,1-1 0,-1 0 0,0 0 0,0 0 0,0 1 0,0-1 0,0 0 0,0 0 0,1 0 0,-1-1 0,0 1 0,0 0 0,-1 0 0,1-1 0,-1 0 0,1 0 0,-1 0 0,1 0 0,0 0 0,0 0 0,-1 0 0,1 0 0,0 0 0,0 0 0,0-1 0,0 1 0,0-1 0,1 1 0,-1 0 0,0-1 0,1 1 0,-1-1 0,1 0 0,-1-2 0,0 0 0,0 0 0,1 0 0,0 1 0,-1-1 0,2 0 0,-1 0 0,0 0 0,1 0 0,0 1 0,0-1 0,0 0 0,0 1 0,0-1 0,1 0 0,0 1 0,-1 0 0,1-1 0,1 1 0,-1 0 0,0 0 0,1 0 0,0 0 0,-1 1 0,1-1 0,0 1 0,0-1 0,1 1 0,-1 0 0,0 0 0,1 1 0,-1-1 0,1 1 0,-1 0 0,1 0 0,6-1 0,2-1-1365,0 0-5461</inkml:trace>
  <inkml:trace contextRef="#ctx0" brushRef="#br0" timeOffset="1811.11">962 216 24575,'0'79'0,"-2"-24"0,2 1 0,3-1 0,16 90 0,-12-126 115,-4-20-322,-2-11-1066,-2-3-5553</inkml:trace>
  <inkml:trace contextRef="#ctx0" brushRef="#br0" timeOffset="2059">921 372 24575,'2'0'0,"5"0"0,5 0 0,3-4 0,4 0 0,2-1 0,0-1 0,-2 2 0,-3 1 0,-4 1 0,-9 2 0,-5 1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7:42:13.05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34 200 24575,'-1'0'0,"0"0"0,0 0 0,1 1 0,-1-1 0,0 0 0,0 1 0,1-1 0,-1 0 0,0 1 0,1-1 0,-1 1 0,0 0 0,1-1 0,-1 1 0,1-1 0,-1 1 0,1 0 0,-1-1 0,1 1 0,0 0 0,-1 0 0,1-1 0,0 1 0,0 0 0,-1 0 0,1 0 0,0-1 0,0 1 0,0 0 0,0 0 0,0 1 0,-1 32 0,1-28 0,7 413 0,-17-670 0,0 46 0,8 163 0,1 22 0,0-1 0,1 1 0,1 0 0,1-1 0,0 1 0,7-23 0,-9 42 0,1 0 0,-1 0 0,0 1 0,0-1 0,0 0 0,1 1 0,-1-1 0,0 0 0,0 1 0,1-1 0,-1 0 0,1 1 0,-1-1 0,1 1 0,-1-1 0,1 1 0,-1-1 0,1 1 0,-1-1 0,1 1 0,0-1 0,-1 1 0,1 0 0,0-1 0,-1 1 0,1 0 0,0 0 0,1-1 0,-1 1 0,0 1 0,0-1 0,0 1 0,0-1 0,0 1 0,0 0 0,0-1 0,0 1 0,0 0 0,0 0 0,-1 0 0,1-1 0,0 1 0,0 0 0,0 2 0,4 4 0,-1 1 0,0-1 0,5 17 0,-4-4 0,0 1 0,-1 0 0,-1 1 0,0 33 0,-3-42 0,0-1 0,-1 1 0,-1-1 0,0 1 0,-1-1 0,0 0 0,-1 0 0,0-1 0,-8 16 0,12-26-27,-13 18 177,13-18-203,0-1 0,-1 1 0,1-1 0,-1 1 0,1-1 0,-1 1-1,1-1 1,-1 1 0,1-1 0,-1 0 0,1 1 0,-1-1-1,0 0 1,1 1 0,-1-1 0,0 0 0,1 0 0,-1 1-1,0-1 1,1 0 0,-1 0 0,0 0 0,1 0 0,-1 0-1,0 0 1,0 0 0,-1-1 0</inkml:trace>
  <inkml:trace contextRef="#ctx0" brushRef="#br0" timeOffset="262.02">272 415 24575,'0'-2'0,"0"1"0,0 2 0,0 7 0,0 7 0,0 11 0,0 7 0,0 5 0,0 3 0,0-2 0,0-4 0,3-5 0,3-9 0,0-10 0</inkml:trace>
  <inkml:trace contextRef="#ctx0" brushRef="#br0" timeOffset="574.91">299 94 24575,'0'4'0,"2"36"0,5-23 0,-7-17 0,0 1 0,1-1 0,-1 0 0,0 1 0,1-1 0,-1 0 0,0 0 0,1 1 0,-1-1 0,1 0 0,-1 0 0,1 0 0,-1 0 0,0 0 0,1 0 0,-1 0 0,1 1 0,-1-1 0,1 0 0,-1-1 0,1 1 0,-1 0 0,1 0 0,-1 0 0,0 0 0,1 0 0,-1 0 0,1 0 0,-1-1 0,1 1 0,-1 0 0,1-1 0,0 0 0,0 0 0,1 0 0,-1-1 0,0 1 0,0-1 0,0 1 0,0-1 0,0 1 0,0-1 0,0 1 0,-1-1 0,1 0 0,0 0 0,-1 1 0,0-1 0,1 0 0,-1 0 0,0 0 0,0 1 0,0-1 0,0 0 0,-1-3 0,1 2 0,0 0 0,0 0 0,-1 1 0,1-1 0,-1 1 0,0-1 0,1 0 0,-1 1 0,-1-1 0,1 1 0,0 0 0,-1-1 0,1 1 0,-3-3 0,3 4 0,0 1 0,1-1 0,-1 1 0,0 0 0,1 0 0,-1-1 0,0 1 0,0 0 0,1 0 0,-1 0 0,0 0 0,0 0 0,1 0 0,-1 0 0,0 0 0,1 0 0,-1 0 0,0 0 0,0 0 0,1 1 0,-1-1 0,0 0 0,1 1 0,-1-1 0,0 0 0,1 1 0,-1-1 0,1 1 0,-1-1 0,0 1 0,1-1 0,-1 1 0,1-1 0,-1 1 0,1-1 0,0 1 0,-1 0 0,1-1 0,0 1 0,-1 0 0,1 1 0,-14 30 0,11-14-170,0-1-1,2 1 0,0 0 1,0-1-1,2 1 0,0 0 1,4 18-1,-1-8-6655</inkml:trace>
  <inkml:trace contextRef="#ctx0" brushRef="#br0" timeOffset="1011.98">391 470 24575,'0'-1'0,"0"1"0,0-1 0,0 1 0,-1-1 0,1 1 0,0-1 0,0 1 0,0-1 0,0 1 0,0-1 0,0 1 0,0-1 0,1 1 0,-1-1 0,0 1 0,0-1 0,0 1 0,0-1 0,1 1 0,-1 0 0,0-1 0,0 1 0,1-1 0,-1 1 0,0 0 0,1-1 0,-1 1 0,0-1 0,1 1 0,-1 0 0,1 0 0,-1-1 0,1 1 0,-1 0 0,1 0 0,-1 0 0,0-1 0,1 1 0,-1 0 0,1 0 0,-1 0 0,1 0 0,-1 0 0,1 0 0,-1 0 0,1 0 0,-1 0 0,1 0 0,-1 0 0,1 0 0,-1 0 0,1 1 0,-1-1 0,1 0 0,-1 0 0,1 0 0,-1 1 0,1-1 0,-1 0 0,0 1 0,1-1 0,-1 0 0,1 1 0,3 2 0,-1 0 0,0-1 0,1 1 0,-1 1 0,5 6 0,-1 1 0,-1 1 0,-1 0 0,8 24 0,-8-22 0,-1-1 0,2-1 0,6 14 0,-8-25 0,-2-7 0,0-10 0,-2-54 0,2-34 0,-3 103-44,1 0 0,0-1 0,0 1 0,0-1 0,0 1 0,1 0 0,-1-1 0,0 1 0,1-1 0,-1 1 0,0 0 0,1-1 0,0 1 0,-1 0 0,1 0 0,0 0 0,0-1 0,-1 1-1,1 0 1,0 0 0,0 0 0,0 0 0,0 0 0,1 1 0,-1-1 0,0 0 0,0 0 0,0 1 0,1-1 0,1 0 0,9 1-6782</inkml:trace>
  <inkml:trace contextRef="#ctx0" brushRef="#br0" timeOffset="1355.26">684 415 24575,'0'0'0,"0"0"0,1 0 0,-1 1 0,0-1 0,0 0 0,0 0 0,0 0 0,0 0 0,0 1 0,0-1 0,-1 0 0,1 0 0,0 0 0,0 1 0,0-1 0,0 0 0,0 0 0,0 0 0,0 0 0,0 0 0,0 1 0,0-1 0,0 0 0,-1 0 0,1 0 0,0 0 0,0 0 0,0 0 0,0 1 0,0-1 0,-1 0 0,1 0 0,0 0 0,0 0 0,0 0 0,0 0 0,-1 0 0,1 0 0,0 0 0,0 0 0,0 0 0,0 0 0,-1 0 0,1 0 0,0 0 0,0 0 0,0 0 0,-1 0 0,1 0 0,0 0 0,0 0 0,0 0 0,0 0 0,-1 0 0,1 0 0,0 0 0,0-1 0,0 1 0,0 0 0,0 0 0,-1 0 0,1 0 0,0 0 0,0 0 0,0-1 0,0 1 0,0 0 0,-4 15 0,3-2 0,0-1 0,0 1 0,1-1 0,3 19 0,-3-28 0,1 0 0,0 0 0,0 0 0,0-1 0,0 1 0,0 0 0,0 0 0,1-1 0,0 1 0,3 4 0,-4-6 0,0 0 0,0 0 0,1 1 0,-1-1 0,1-1 0,-1 1 0,1 0 0,0 0 0,-1 0 0,1-1 0,0 1 0,-1-1 0,1 0 0,0 1 0,-1-1 0,1 0 0,0 0 0,0 0 0,-1 0 0,3 0 0,-2-1 0,0 1 0,0 0 0,0 0 0,0-1 0,0 0 0,0 1 0,0-1 0,0 0 0,-1 0 0,1 0 0,0 0 0,-1 0 0,1 0 0,-1 0 0,1-1 0,-1 1 0,1 0 0,-1-1 0,0 1 0,2-4 0,-1 2 0,-1-1 0,1 1 0,-1-1 0,0 0 0,-1 1 0,1-1 0,0 0 0,-1 1 0,0-1 0,0-5 0,-1-1 0,0 1 0,0 0 0,-1 0 0,-1 0 0,1 0 0,-1 0 0,-1 0 0,-4-8 0,7 15 0,0 0 0,-1-1 0,1 1 0,-1 0 0,1 0 0,-1 0 0,0 0 0,0 1 0,0-1 0,0 0 0,0 1 0,0-1 0,0 1 0,-1 0 0,1-1 0,0 1 0,-1 0 0,1 1 0,-6-2 0,6 2 0,0 0 0,-1 0 0,1 1 0,0-1 0,-1 1 0,1-1 0,0 1 0,-1 0 0,1 0 0,0 0 0,0 0 0,0 0 0,0 1 0,0-1 0,0 1 0,0-1 0,1 1 0,-1 0 0,0-1 0,1 1 0,-2 3 0,-13 20 0,15-24 0,0 0 0,1 0 0,-1 0 0,0 0 0,1 0 0,-1 0 0,1 0 0,0 0 0,-1 0 0,1 0 0,0 1 0,0-1 0,0 0 0,0 0 0,0 0 0,0 0 0,0 0 0,0 1 0,0-1 0,0 0 0,1 1 0,4-1-1365,1-5-5461</inkml:trace>
  <inkml:trace contextRef="#ctx0" brushRef="#br0" timeOffset="1619.98">936 131 24575,'-7'206'0,"9"-143"0,17 119 0,-8-150 0,-10-31 0,-1-1 0,0 1 0,0 0 0,1-1 0,-1 1 0,1-1 0,-1 1 0,0-1 0,1 0 0,-1 1 0,1-1 0,-1 1 0,1-1 0,-1 0 0,1 1 0,-1-1 0,1 0 0,1 1 0,-2-1 0,1 0 0,-1-1 0,1 1 0,-1 0 0,1 0 0,-1-1 0,1 1 0,0 0 0,-1-1 0,0 1 0,1 0 0,-1-1 0,1 1 0,-1-1 0,1 1 0,-1-1 0,0 1 0,0-1 0,1 1 0,-1-1 0,0 1 0,1-1 0,-1 1 0,0-2 0,2-3-262,0-1-1,-1 1 0,0-1 0,1-10 1,-2 16 210,2-25-6774</inkml:trace>
  <inkml:trace contextRef="#ctx0" brushRef="#br0" timeOffset="1821.97">868 319 24575,'3'0'0,"3"0"0,4-3 0,3-1 0,3-4 0,3-1 0,0-1 0,-3 0 0,-5 2-8191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7:42:20.66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59 88 24575,'13'323'0,"-6"-189"0,-6-125 0,0 24 0,-1-32 0,0 1 0,0-1 0,0 0 0,0 1 0,0-1 0,-1 1 0,1-1 0,0 0 0,-1 1 0,1-1 0,-1 0 0,0 1 0,1-1 0,-1 0 0,0 0 0,-1 2 0,1-2 0,1-1 0,0 0 0,0 0 0,-1 0 0,1 0 0,0 0 0,0 0 0,-1 0 0,1 0 0,0 0 0,0 0 0,-1 0 0,1 0 0,0 0 0,0 0 0,-1 0 0,1 0 0,0-1 0,0 1 0,-1 0 0,1 0 0,0 0 0,0 0 0,0 0 0,-1-1 0,1 1 0,0 0 0,0 0 0,0 0 0,0 0 0,-1-1 0,1 1 0,0 0 0,0 0 0,0-1 0,0 1 0,0 0 0,-6-13 0,6 12 0,-11-33 0,2-1 0,2 0 0,-5-57 0,10 75 0,-8-76 0,2-113 0,8 199 0,1-1 0,-1 1 0,1-1 0,1 1 0,-1-1 0,6-12 0,-7 19 0,1 0 0,-1 0 0,1 0 0,-1 0 0,1 0 0,0 0 0,0 0 0,-1 0 0,1 0 0,0 0 0,0 0 0,0 1 0,0-1 0,0 0 0,0 1 0,0-1 0,0 1 0,1-1 0,0 0 0,0 1 0,0 0 0,0 0 0,0 0 0,0 1 0,0-1 0,0 0 0,0 1 0,0-1 0,-1 1 0,1 0 0,0-1 0,0 1 0,-1 0 0,1 0 0,0 0 0,1 2 0,5 3 0,0 1 0,0 0 0,-1 1 0,0 0 0,-1 0 0,0 0 0,0 1 0,0 0 0,-1 0 0,-1 0 0,1 1 0,-2-1 0,1 1 0,-1 0 0,2 19 0,-2-18 0,-1 1 0,-1 0 0,-1 1 0,1-1 0,-2 0 0,0 0 0,0 0 0,-1 0 0,0 0 0,-1-1 0,-1 1 0,0-1 0,-7 16 0,8-23 0,0 1 0,-1 0 0,1-1 0,-1 0 0,0 0 0,0 0 0,-8 6 0,11-9 0,0 0 0,0-1 0,0 1 0,0 0 0,0-1 0,0 1 0,0-1 0,0 1 0,0-1 0,0 1 0,-1-1 0,1 0 0,0 0 0,0 1 0,0-1 0,0 0 0,-1 0 0,1 0 0,0 0 0,0 0 0,0-1 0,0 1 0,-1 0 0,1 0 0,0-1 0,0 1 0,0-1 0,0 1 0,0-1 0,0 1 0,0-1 0,0 0 0,0 0 0,0 1 0,0-1 0,0 0 0,1 0 0,-1 0 0,0 0 0,0 0 0,1 0 0,-1-1 0,0 1 0,1 0 0,-1 0 0,1 1 0,-1-1 0,1 0 0,-1 0 0,1 0 0,0 0 0,0 1 0,-1-1 0,1 0 0,0 0 0,0 0 0,0 0 0,0 0 0,0 0 0,0 0 0,0 0 0,0 1 0,1-1 0,-1 0 0,0 0 0,0 0 0,1 0 0,-1 0 0,0 0 0,1 1 0,-1-1 0,1 0 0,-1 0 0,1 1 0,0-1 0,-1 0 0,1 1 0,1-2 0,0 1 0,-1 1 0,1-1 0,0 0 0,-1 1 0,1-1 0,0 1 0,0 0 0,-1 0 0,1-1 0,0 1 0,0 0 0,-1 1 0,1-1 0,0 0 0,0 0 0,-1 1 0,1-1 0,2 2 0,5 2 0,0 1 0,0 0 0,-1 0 0,1 1 0,-1 0 0,0 1 0,-1 0 0,0 0 0,0 0 0,10 14 0,-4-2 0,0 1 0,-1 0 0,14 34 0,-9-4 0,-14-46-1365</inkml:trace>
  <inkml:trace contextRef="#ctx0" brushRef="#br0" timeOffset="344.86">293 473 24575,'8'-7'0,"1"-2"0,0 0 0,10-15 0,-17 22 0,-1 0 0,1-1 0,-1 1 0,1-1 0,-1 1 0,0-1 0,0 1 0,0-1 0,-1 1 0,1-1 0,-1 0 0,1 1 0,-1-1 0,0 0 0,0 0 0,0 1 0,-1-5 0,1 7 0,0 0 0,0-1 0,0 1 0,0-1 0,0 1 0,0-1 0,0 1 0,-1-1 0,1 1 0,0 0 0,0-1 0,-1 1 0,1 0 0,0-1 0,-1 1 0,1 0 0,0-1 0,-1 1 0,1 0 0,0-1 0,-1 1 0,1 0 0,0 0 0,-1 0 0,1-1 0,-1 1 0,1 0 0,-1 0 0,1 0 0,-1 0 0,1 0 0,0 0 0,-1 0 0,1 0 0,-1 0 0,1 0 0,-1 0 0,1 0 0,-1 0 0,1 0 0,-1 0 0,1 1 0,0-1 0,-1 0 0,1 0 0,-1 0 0,1 1 0,0-1 0,-1 0 0,1 1 0,0-1 0,-1 0 0,1 1 0,0-1 0,-1 0 0,1 1 0,0-1 0,-1 1 0,-18 21 0,16-16 0,1-1 0,-1 1 0,1-1 0,-1 1 0,2 0 0,-1 0 0,1 0 0,-1 0 0,1 9 0,1-13 0,0-1 0,0 1 0,0-1 0,0 1 0,0-1 0,0 1 0,1-1 0,-1 1 0,1-1 0,-1 1 0,1-1 0,-1 1 0,1-1 0,0 0 0,0 0 0,0 1 0,0-1 0,0 0 0,0 0 0,0 0 0,0 0 0,0 0 0,0 0 0,0 0 0,1 0 0,-1 0 0,0-1 0,1 1 0,-1-1 0,1 1 0,-1-1 0,1 1 0,-1-1 0,1 0 0,-1 1 0,1-1 0,-1 0 0,1 0 0,-1 0 0,1 0 0,-1-1 0,1 1 0,1-1 0,-1 1-80,1-1 0,0 0-1,-1 1 1,1-1 0,-1 0-1,1-1 1,-1 1 0,0 0-1,1-1 1,-1 1 0,0-1 0,0 0-1,0 0 1,0 1 0,0-1-1,2-4 1,3-3-6746</inkml:trace>
  <inkml:trace contextRef="#ctx0" brushRef="#br0" timeOffset="622.82">453 340 24575,'1'0'0,"-1"0"0,0 0 0,0 0 0,0 0 0,0 0 0,0 0 0,0-1 0,0 1 0,0 0 0,0 0 0,0 0 0,0 0 0,0 0 0,0 0 0,0 0 0,0 0 0,0 0 0,0-1 0,0 1 0,0 0 0,0 0 0,-1 0 0,1 0 0,0 0 0,0 0 0,0 0 0,0 0 0,0 0 0,0-1 0,0 1 0,0 0 0,0 0 0,0 0 0,0 0 0,0 0 0,0 0 0,-1 0 0,1 0 0,0 0 0,0 0 0,0 0 0,0 0 0,0 0 0,0 0 0,0 0 0,0 0 0,-1 0 0,1 0 0,0 0 0,0 0 0,0 0 0,0 0 0,0 0 0,0 0 0,0 0 0,0 0 0,-1 0 0,1 0 0,0 0 0,-7 7 0,-5 10 0,11-16 0,1 1 0,-1-1 0,0 1 0,1 0 0,0-1 0,-1 1 0,1-1 0,0 1 0,0 0 0,0-1 0,0 1 0,0-1 0,0 1 0,0 0 0,0-1 0,1 1 0,-1-1 0,1 1 0,-1-1 0,1 1 0,-1-1 0,1 1 0,0-1 0,2 3 0,0-1 0,0-1 0,0 1 0,1-1 0,0 1 0,-1-1 0,1 0 0,6 2 0,-5-2 0,0 0 0,0 1 0,0-1 0,8 7 0,-12-8-26,-1 0 1,1 0-1,0 0 0,0 1 0,-1-1 1,1 0-1,-1 0 0,1 1 0,-1-1 1,1 0-1,-1 1 0,0-1 0,0 0 1,0 1-1,0-1 0,0 0 0,0 1 1,0-1-1,0 0 0,0 1 0,-1-1 1,1 0-1,0 1 0,-1-1 0,1 0 0,-1 0 1,0 1-1,1-1 0,-1 0 0,0 0 1,0 0-1,0 0 0,1 0 0,-1 0 1,0 0-1,-1 0 0,1 0 0,0 0 1,0-1-1,0 1 0,0 0 0,-1-1 1,1 1-1,0-1 0,0 0 0,-1 1 0,1-1 1,0 0-1,-1 1 0,1-1 0,0 0 1,-2 0-1,-4-3-6800</inkml:trace>
  <inkml:trace contextRef="#ctx0" brushRef="#br0" timeOffset="890.95">527 203 24575,'0'-2'0,"0"2"0,1 5 0,1 3 0,2 4 0,2 2 0,0 3 0,3 3 0,2 4 0,-1 1 0,0-1 0,-1-2 0,-2-3 0,-2-3 0,-2-4 0,-2-2-8191</inkml:trace>
  <inkml:trace contextRef="#ctx0" brushRef="#br0" timeOffset="1046.14">545 354 24575,'-1'0'0,"-1"-2"0,0-3 0,2-2 0,3-1 0,4-1 0,2 2 0,4-2 0,-1 0 0,1 1 0,-2 2-8191</inkml:trace>
  <inkml:trace contextRef="#ctx0" brushRef="#br0" timeOffset="1560.21">669 276 24575,'1'0'0,"1"1"0,-1-1 0,0 1 0,1 0 0,-1-1 0,0 1 0,0 0 0,1 0 0,-1-1 0,0 1 0,0 0 0,0 0 0,0 0 0,0 0 0,0 1 0,-1-1 0,1 0 0,1 2 0,12 23 0,-1 13 0,-13-38 0,0 0 0,1 1 0,-1-1 0,0 1 0,0-1 0,1 1 0,-1-1 0,0 1 0,-1-1 0,1 1 0,0-1 0,0 0 0,-1 1 0,1-1 0,0 1 0,-1-1 0,0 0 0,1 1 0,-1-1 0,0 0 0,0 1 0,1-1 0,-1 0 0,-1 1 0,1-2 0,1 1 0,-1-1 0,1 0 0,-1 0 0,1 0 0,-1 1 0,0-1 0,1 0 0,-1 0 0,1 0 0,-1 0 0,1 0 0,-1 0 0,1 0 0,-1 0 0,1 0 0,-1-1 0,1 1 0,-1 0 0,0 0 0,1 0 0,0 0 0,-1-1 0,1 1 0,-1 0 0,1-1 0,-1 1 0,1 0 0,-1-1 0,1 1 0,0-1 0,-1 1 0,1 0 0,0-1 0,-1 1 0,1-1 0,0 1 0,0-1 0,-1 1 0,1-1 0,0 1 0,0-2 0,-7-23 0,7 20 0,0 0 0,0 0 0,0 0 0,0-1 0,1 1 0,-1 0 0,1 0 0,1 0 0,-1 1 0,1-1 0,0 0 0,0 0 0,0 1 0,0-1 0,1 1 0,0 0 0,0 0 0,0 0 0,1 0 0,-1 0 0,1 1 0,0-1 0,0 1 0,0 0 0,0 0 0,0 1 0,1-1 0,5-1 0,-9 3 0,0 1 0,0-1 0,0 1 0,-1 0 0,1 0 0,0-1 0,0 1 0,0 0 0,-1 0 0,1 0 0,0 0 0,0 0 0,0 0 0,0 0 0,0 0 0,-1 0 0,1 1 0,0-1 0,0 0 0,0 0 0,-1 1 0,1-1 0,0 0 0,1 2 0,-1-1 0,0 1 0,0-1 0,0 1 0,-1 0 0,1-1 0,0 1 0,-1 0 0,0 0 0,1 2 0,2 7 0,3 14 0,-4-14 0,1 1 0,0 0 0,1-1 0,7 14 0,-7-19-1365</inkml:trace>
  <inkml:trace contextRef="#ctx0" brushRef="#br0" timeOffset="1713.99">811 84 24575,'-2'0'0,"1"0"0,0 1 0,3 1 0,2 3 0</inkml:trace>
  <inkml:trace contextRef="#ctx0" brushRef="#br0" timeOffset="2416.15">953 212 24575,'4'-14'0,"3"-10"0,-7 24 0,0-1 0,0 1 0,0-1 0,0 1 0,0-1 0,0 1 0,0 0 0,0-1 0,0 1 0,0-1 0,0 1 0,0-1 0,-1 1 0,1-1 0,0 1 0,0 0 0,0-1 0,-1 1 0,1 0 0,0-1 0,0 1 0,-1-1 0,1 1 0,0 0 0,-1 0 0,1-1 0,0 1 0,-1 0 0,1 0 0,0-1 0,-1 1 0,1 0 0,-1 0 0,1 0 0,0-1 0,-1 1 0,1 0 0,-1 0 0,1 0 0,-1 0 0,0 0 0,0 0 0,-1 1 0,1-1 0,0 1 0,-1-1 0,1 1 0,0 0 0,-1-1 0,1 1 0,0 0 0,0 0 0,0 0 0,0 0 0,0 0 0,0 0 0,0 0 0,0 0 0,0 0 0,0 0 0,1 0 0,-1 1 0,0-1 0,1 0 0,-1 1 0,1-1 0,-1 2 0,-1 4 0,0-1 0,0 1 0,1 0 0,-1 6 0,1-10 0,1 1 0,0-1 0,0 0 0,1 0 0,-1 0 0,1 1 0,-1-1 0,1 0 0,0 0 0,0 0 0,0 0 0,1 0 0,-1 0 0,1 0 0,-1-1 0,1 1 0,0 0 0,0-1 0,0 0 0,1 1 0,-1-1 0,0 0 0,1 0 0,-1 0 0,1 0 0,0-1 0,0 1 0,3 0 0,-1 0 0,-1 0 0,1-1 0,0 1 0,0-2 0,0 1 0,0 0 0,0-1 0,0 0 0,0 0 0,0 0 0,0-1 0,0 0 0,0 0 0,0 0 0,0 0 0,0-1 0,7-3 0,-9 3 0,0 0 0,0 0 0,-1 0 0,1-1 0,-1 1 0,1-1 0,-1 0 0,0 1 0,0-1 0,0 0 0,0 0 0,0-1 0,-1 1 0,1 0 0,-1 0 0,0-1 0,0 1 0,0-1 0,-1 1 0,1-1 0,-1-3 0,1-11 0,0 0 0,-5-35 0,2 34 0,1 13 0,0-11 0,-1 1 0,-5-23 0,3 32 0,3 14 0,2 15 0,4-5 0,1 0 0,0-1 0,14 25 0,-13-26 0,1 0 0,-2 0 0,0 1 0,5 20 0,-11-34 0,0-1 0,1 1 0,-1-1 0,0 1 0,0-1 0,0 1 0,0-1 0,0 1 0,0-1 0,-1 1 0,0 2 0,1-4 0,0 1 0,0-1 0,-1 0 0,1 0 0,0 1 0,0-1 0,0 0 0,-1 1 0,1-1 0,0 0 0,0 0 0,-1 0 0,1 1 0,0-1 0,-1 0 0,1 0 0,0 0 0,-1 0 0,1 1 0,0-1 0,-1 0 0,1 0 0,0 0 0,-1 0 0,1 0 0,0 0 0,-1 0 0,1 0 0,0 0 0,-1 0 0,-1-1 0,1 0 0,-1 1 0,1-1 0,0 0 0,-1 0 0,1 0 0,0 0 0,0 0 0,0 0 0,-1 0 0,1 0 0,0 0 0,1-1 0,-1 1 0,0 0 0,0-1 0,0 1 0,1 0 0,-2-3 0,1-2 0,-1 1 0,1-1 0,0 1 0,0-1 0,0 0 0,1 1 0,0-1 0,0 0 0,0 1 0,2-9 0,-1 12 0,-1 1 0,1-1 0,-1 0 0,1 1 0,-1-1 0,1 0 0,0 1 0,0-1 0,0 1 0,0-1 0,0 1 0,0 0 0,0-1 0,0 1 0,1 0 0,-1 0 0,0 0 0,1 0 0,-1 0 0,1 0 0,-1 0 0,1 0 0,-1 1 0,1-1 0,0 1 0,-1-1 0,1 1 0,0-1 0,0 1 0,-1 0 0,1 0 0,0 0 0,0 0 0,-1 0 0,1 0 0,0 1 0,3 0 0,0 1 0,1 0 0,-1 1 0,0-1 0,0 1 0,1 1 0,-2-1 0,1 1 0,0-1 0,-1 1 0,0 1 0,0-1 0,0 0 0,0 1 0,-1 0 0,0 0 0,0 0 0,0 0 0,3 8 0,-6-12-45,0-1-1,0 0 1,0 1-1,1-1 1,-1 1-1,0-1 1,0 0-1,0 1 1,0-1-1,0 1 1,0-1-1,0 1 1,0-1-1,0 0 1,0 1-1,0-1 1,0 1-1,0-1 1,0 0-1,0 1 1,-1-1-1,1 1 1,0-1-1,0 0 0,0 1 1,-1-1-1,1 0 1,0 1-1,-1 0 1</inkml:trace>
  <inkml:trace contextRef="#ctx0" brushRef="#br0" timeOffset="2573.01">1246 24 24575,'2'0'0,"1"2"0</inkml:trace>
  <inkml:trace contextRef="#ctx0" brushRef="#br0" timeOffset="3215.5">1397 152 24575,'0'-6'0,"0"0"0,-1-1 0,0 1 0,0 0 0,-4-12 0,5 17 0,-1 0 0,1 0 0,-1 0 0,1 0 0,-1 0 0,1 1 0,-1-1 0,1 0 0,-1 0 0,0 0 0,0 1 0,1-1 0,-1 0 0,0 1 0,0-1 0,0 1 0,1-1 0,-3 0 0,2 1 0,0 0 0,0 0 0,0 0 0,0 0 0,0 0 0,-1 1 0,1-1 0,0 0 0,0 1 0,0-1 0,0 0 0,0 1 0,0-1 0,0 1 0,0 0 0,1-1 0,-1 1 0,0 0 0,0 0 0,0-1 0,-1 3 0,-1 1 0,1 0 0,-1 0 0,1 0 0,0 0 0,0 1 0,0-1 0,0 1 0,1-1 0,0 1 0,0-1 0,0 1 0,0 0 0,1 8 0,0-10 0,0 0 0,0 0 0,0 0 0,1 0 0,-1-1 0,1 1 0,0 0 0,0 0 0,0 0 0,2 4 0,-2-6 0,0 0 0,0 1 0,0-1 0,0 0 0,1 0 0,-1 0 0,0 0 0,0 0 0,1 0 0,-1 0 0,1 0 0,-1 0 0,1-1 0,-1 1 0,1 0 0,-1-1 0,1 0 0,-1 1 0,1-1 0,1 0 0,-1 0 0,-1 0 0,1 0 0,-1 0 0,0-1 0,1 1 0,-1-1 0,0 1 0,1-1 0,-1 1 0,0-1 0,0 0 0,1 1 0,-1-1 0,0 0 0,0 0 0,0 0 0,0 0 0,0 0 0,0 0 0,0 0 0,-1 0 0,1-1 0,0 1 0,-1 0 0,1 0 0,-1-1 0,1-1 0,3-7 0,-1 0 0,4-18 0,-3 10 0,-4 17 0,1-1 0,-1 1 0,0-1 0,1 1 0,0 0 0,-1-1 0,1 1 0,0 0 0,-1-1 0,1 1 0,0 0 0,0 0 0,0 0 0,0-1 0,0 1 0,1 0 0,-1 1 0,0-1 0,0 0 0,1 0 0,-1 0 0,2 0 0,-1 1 0,-1 0 0,1 0 0,-1 0 0,1 0 0,-1 0 0,1 1 0,-1-1 0,0 0 0,1 1 0,-1-1 0,1 1 0,-1 0 0,0-1 0,1 1 0,-1 0 0,0 0 0,0 0 0,0 0 0,0 0 0,0 0 0,0 0 0,2 2 0,-1 1 0,0 0 0,1 0 0,-2 0 0,1 0 0,0 0 0,-1 0 0,0 0 0,1 8 0,-1-10 0,-1-9 0,1 1 0,1-1 0,-1 1 0,1-1 0,0 1 0,1 0 0,0 0 0,0 0 0,4-7 0,-7 12 0,1-1 0,0 1 0,0 0 0,-1 0 0,1-1 0,0 1 0,0 0 0,0 0 0,0 0 0,1 0 0,-1 0 0,0 0 0,0 0 0,1 1 0,-1-1 0,0 0 0,1 1 0,-1-1 0,0 1 0,1-1 0,-1 1 0,1 0 0,-1-1 0,1 1 0,-1 0 0,1 0 0,-1 0 0,1 0 0,-1 1 0,1-1 0,-1 0 0,1 1 0,-1-1 0,1 0 0,-1 1 0,0 0 0,1-1 0,-1 1 0,0 0 0,1 0 0,-1 0 0,0 0 0,0 0 0,0 0 0,0 0 0,1 2 0,4 2 17,-2 1 0,1 0 1,-1 0-1,0 1 0,0-1 0,3 9 0,-5-12-123,-1 1 0,1 0 0,-1-1 0,0 1 0,0 0 0,0 0-1,-1 0 1,1 0 0,-1 0 0,0 0 0,0 0 0,-1 0 0,0 5 0,-2-1-6720</inkml:trace>
  <inkml:trace contextRef="#ctx0" brushRef="#br0" timeOffset="3822.96">298 748 24575,'19'-1'0,"0"-1"0,0-1 0,0-1 0,23-8 0,15-3 0,163-26 0,312-17 0,-459 55 0,-114 5-1365,13 1-5461</inkml:trace>
  <inkml:trace contextRef="#ctx0" brushRef="#br0" timeOffset="4242.95">188 849 24575,'-7'1'0,"12"2"0,14 1 0,35-5 0,-1-3 0,97-18 0,-56 7 0,506-89 0,-600 104-27,0 1 0,0-1-1,0 0 1,1 0 0,-1 0-1,0 0 1,0 0 0,0 0 0,1 0-1,-1 0 1,0 0 0,0 0-1,1-1 1,-1 1 0,0 0-1,0 0 1,0 0 0,0 0-1,1 0 1,-1 0 0,0 0 0,0 0-1,0-1 1,1 1 0,-1 0-1,0 0 1,0 0 0,0 0-1,0 0 1,0-1 0,0 1-1,1 0 1,-1 0 0,0 0 0,0-1-1,0 1 1,0 0 0,0 0-1,0 0 1,0-1 0,0 1-1,0 0 1,0 0 0,0 0-1,0-1 1,0 1 0,0 0 0,0 0-1,0-1 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7:42:18.85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42 13 24575,'0'-2'0,"0"-2"0,2 0 0,0 1 0,0 4 0,-1 5 0,0 7 0,0 5 0,0 5 0,-1 2 0,-1-1 0,0-2 0,0-3 0,0-4 0,1-4 0,3-3 0</inkml:trace>
  <inkml:trace contextRef="#ctx0" brushRef="#br0" timeOffset="263.77">129 3 24575,'0'3'0,"0"2"0,0 4 0,0 6 0,0 3 0,0 4 0,2 2 0,0-1 0,0-2 0,-1-3 0,1-3 0,-2-3 0,1-4 0,-3-7 0</inkml:trace>
  <inkml:trace contextRef="#ctx0" brushRef="#br0" timeOffset="513.6">1 136 24575,'0'1'0,"0"2"0,1 2 0,1 1 0,3 1 0,2-2 0,3 2 0,2 0 0,2 1 0,0-1 0,-1 1 0,0 1 0,-1-1 0,0-3 0,-2-1 0,-2-2-8191</inkml:trace>
  <inkml:trace contextRef="#ctx0" brushRef="#br0" timeOffset="746.95">276 141 24575,'-1'0'0,"-2"0"0,-3 3 0,-1 3 0,-3 2 0,0 2 0,-1 1 0,1 1 0,0-1 0,0-2 0,0 0 0,1-1 0,0-2 0,-1 0 0,3-2-8191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4T07:42:26.50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623 9 24575,'0'-2'0,"0"-1"0,0 0 0,0 5 0,-4 9 0,-1 11 0,-2 9 0,-1 6 0,3 0 0,0-3 0,3-4 0,0-4 0,2-6 0,0-5 0,0-4-8191</inkml:trace>
  <inkml:trace contextRef="#ctx0" brushRef="#br0" timeOffset="311.83">673 9 24575,'1'0'0,"-1"1"0,1-1 0,-1 0 0,0 0 0,1 1 0,-1-1 0,1 0 0,-1 1 0,0-1 0,1 1 0,-1-1 0,0 1 0,0-1 0,1 0 0,-1 1 0,0-1 0,0 1 0,0-1 0,1 1 0,-1-1 0,0 1 0,0-1 0,0 1 0,0 0 0,0 0 0,1 18 0,-1-16 0,0 60 0,-3 1 0,-15 86 0,18-149-79,-3 17 288,3-17-250,0-1-1,0 1 1,0-1-1,0 0 1,-1 1-1,1-1 0,0 0 1,0 1-1,0-1 1,0 1-1,0-1 1,0 0-1,-1 1 1,1-1-1,0 0 1,0 1-1,0-1 1,-1 0-1,1 0 1,0 1-1,-1-1 0,1 0 1,0 0-1,0 1 1,-1-1-1,1 0 1,-1 0-1,1 0 1,0 0-1,-1 0 1,1 1-1,0-1 1,-1 0-1,1 0 0,-1 0 1</inkml:trace>
  <inkml:trace contextRef="#ctx0" brushRef="#br0" timeOffset="578.78">439 201 24575,'-1'0'0,"-1"2"0,1 0 0,3 2 0,4 2 0,8 1 0,6 3 0,4 1 0,1 1 0,-1 0 0,0-1 0,-2 1 0,-3-1 0,-1-1 0,-2-1 0,-4-2 0,-2-1 0,-2-2-8191</inkml:trace>
  <inkml:trace contextRef="#ctx0" brushRef="#br0" timeOffset="845.22">820 215 24575,'0'-1'0,"-3"2"0,-5 4 0,-2 4 0,-3 3 0,-3 4 0,-1 1 0,0 1 0,1 0 0,2-1 0,1 0 0,2 0 0,2-3 0,1-1 0,0-1 0,1-2-8191</inkml:trace>
  <inkml:trace contextRef="#ctx0" brushRef="#br0" timeOffset="1250.66">385 545 24575,'-4'-10'0,"12"11"0,16 12 0,-23-12 0,184 104 0,52 32 0,-14 17 0,-159-97 0,-59-56 16,-5-7-929,0 5 445,-2-12-6358</inkml:trace>
  <inkml:trace contextRef="#ctx0" brushRef="#br0" timeOffset="1671.8">1141 431 24575,'0'-1'0,"0"0"0,0 1 0,0-1 0,0 0 0,0 1 0,0-1 0,0 1 0,0-1 0,-1 0 0,1 1 0,0-1 0,0 0 0,0 1 0,-1-1 0,1 1 0,0-1 0,-1 1 0,1-1 0,0 1 0,-1-1 0,1 1 0,-1-1 0,1 1 0,-1-1 0,1 1 0,-1 0 0,1-1 0,-1 1 0,1 0 0,-1-1 0,1 1 0,-1 0 0,0 0 0,1-1 0,-1 1 0,1 0 0,-1 0 0,0 0 0,1 0 0,-1 0 0,0 0 0,1 0 0,-1 0 0,1 0 0,-1 0 0,0 1 0,0-1 0,-3 1 0,0 0 0,1 1 0,-1-1 0,1 1 0,-1 0 0,-5 4 0,-20 18 0,-42 44 0,17-15 0,-10 4 0,-133 88 0,-85 27 0,-17 11 0,287-175 0,2-2 0,1 0 0,1 0 0,-1 1 0,1 0 0,0 0 0,0 1 0,-9 12 0,13-12 0,8-13 0,9-12 0,-8 7-1365,-1 1-5461</inkml:trace>
</inkml: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fai/AppData/Local/Microsoft/Windows/INetCache/IE/76MSR50L/2025-04-09-0.17046364996939856-1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fai/AppData/Local/Microsoft/Windows/INetCache/IE/76MSR50L/2025-04-09-0.17046364996939856-1%5b1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fai/AppData/Local/Microsoft/Windows/INetCache/IE/76MSR50L/2025-04-09-0.17046364996939856-1%5b1%5d.xlsx%5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nu singhal" refreshedDate="45751.522159375003" createdVersion="8" refreshedVersion="8" minRefreshableVersion="3" recordCount="50" xr:uid="{53C232AD-A69A-40DB-9226-F54B89721824}">
  <cacheSource type="worksheet">
    <worksheetSource ref="D1:H51" sheet=".xlsx].xlsx]Main Short Data" r:id="rId2"/>
  </cacheSource>
  <cacheFields count="5">
    <cacheField name="Party Name" numFmtId="0">
      <sharedItems/>
    </cacheField>
    <cacheField name="Product Name" numFmtId="0">
      <sharedItems count="3">
        <s v="Computer"/>
        <s v="Laptop"/>
        <s v="Speakers"/>
      </sharedItems>
    </cacheField>
    <cacheField name="City" numFmtId="0">
      <sharedItems count="5">
        <s v="Delhi"/>
        <s v="Mumbai"/>
        <s v="Chennai"/>
        <s v="Banglore"/>
        <s v="Haryana"/>
      </sharedItems>
    </cacheField>
    <cacheField name="Gender" numFmtId="0">
      <sharedItems/>
    </cacheField>
    <cacheField name="Amount" numFmtId="0">
      <sharedItems containsSemiMixedTypes="0" containsString="0" containsNumber="1" containsInteger="1" minValue="50194" maxValue="856945"/>
    </cacheField>
  </cacheFields>
  <extLst>
    <ext xmlns:x14="http://schemas.microsoft.com/office/spreadsheetml/2009/9/main" uri="{725AE2AE-9491-48be-B2B4-4EB974FC3084}">
      <x14:pivotCacheDefinition pivotCacheId="149438637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nu singhal" refreshedDate="45751.522159490742" createdVersion="8" refreshedVersion="8" minRefreshableVersion="3" recordCount="994" xr:uid="{CF438C31-2D71-4C6E-B4D2-ED270A202110}">
  <cacheSource type="worksheet">
    <worksheetSource ref="A1:N1048576" sheet=".xlsx].xlsx]Main Data" r:id="rId2"/>
  </cacheSource>
  <cacheFields count="19">
    <cacheField name="date" numFmtId="0">
      <sharedItems containsNonDate="0" containsDate="1" containsString="0" containsBlank="1" minDate="2024-04-01T00:00:00" maxDate="2025-02-26T00:00:00" count="332">
        <d v="2024-06-11T00:00:00"/>
        <d v="2024-06-12T00:00:00"/>
        <d v="2024-06-13T00:00:00"/>
        <d v="2024-06-14T00:00:00"/>
        <d v="2024-06-16T00:00:00"/>
        <d v="2024-06-17T00:00:00"/>
        <d v="2024-04-07T00:00:00"/>
        <d v="2024-06-29T00:00:00"/>
        <d v="2024-06-30T00:00:00"/>
        <d v="2024-07-01T00:00:00"/>
        <d v="2024-07-03T00:00:00"/>
        <d v="2024-07-04T00:00:00"/>
        <d v="2024-04-13T00:00:00"/>
        <d v="2024-07-05T00:00:00"/>
        <d v="2024-07-06T00:00:00"/>
        <d v="2024-07-07T00:00:00"/>
        <d v="2024-07-08T00:00:00"/>
        <d v="2024-07-09T00:00:00"/>
        <d v="2024-07-10T00:00:00"/>
        <d v="2024-08-06T00:00:00"/>
        <d v="2024-08-07T00:00:00"/>
        <d v="2024-08-09T00:00:00"/>
        <d v="2024-04-23T00:00:00"/>
        <d v="2024-08-10T00:00:00"/>
        <d v="2024-04-25T00:00:00"/>
        <d v="2024-08-11T00:00:00"/>
        <d v="2024-08-12T00:00:00"/>
        <d v="2024-09-08T00:00:00"/>
        <d v="2024-09-09T00:00:00"/>
        <d v="2024-09-10T00:00:00"/>
        <d v="2024-09-11T00:00:00"/>
        <d v="2024-09-12T00:00:00"/>
        <d v="2024-09-13T00:00:00"/>
        <d v="2024-09-15T00:00:00"/>
        <d v="2024-09-16T00:00:00"/>
        <d v="2024-09-17T00:00:00"/>
        <d v="2024-09-18T00:00:00"/>
        <d v="2024-09-27T00:00:00"/>
        <d v="2024-09-29T00:00:00"/>
        <d v="2024-10-01T00:00:00"/>
        <d v="2024-10-02T00:00:00"/>
        <d v="2024-10-03T00:00:00"/>
        <d v="2024-10-15T00:00:00"/>
        <d v="2024-10-16T00:00:00"/>
        <d v="2024-10-17T00:00:00"/>
        <d v="2024-10-19T00:00:00"/>
        <d v="2024-10-20T00:00:00"/>
        <d v="2024-10-22T00:00:00"/>
        <d v="2025-01-02T00:00:00"/>
        <d v="2024-05-20T00:00:00"/>
        <d v="2025-01-04T00:00:00"/>
        <d v="2025-01-06T00:00:00"/>
        <d v="2025-01-08T00:00:00"/>
        <d v="2025-01-21T00:00:00"/>
        <d v="2025-01-22T00:00:00"/>
        <d v="2025-01-23T00:00:00"/>
        <d v="2025-01-24T00:00:00"/>
        <d v="2025-01-25T00:00:00"/>
        <d v="2024-05-29T00:00:00"/>
        <d v="2025-01-27T00:00:00"/>
        <d v="2025-01-28T00:00:00"/>
        <d v="2025-01-29T00:00:00"/>
        <d v="2025-01-31T00:00:00"/>
        <d v="2024-06-15T00:00:00"/>
        <d v="2024-06-21T00:00:00"/>
        <d v="2024-07-02T00:00:00"/>
        <d v="2024-07-15T00:00:00"/>
        <d v="2024-08-03T00:00:00"/>
        <d v="2024-08-08T00:00:00"/>
        <d v="2024-08-16T00:00:00"/>
        <d v="2024-08-22T00:00:00"/>
        <d v="2024-08-31T00:00:00"/>
        <d v="2024-09-05T00:00:00"/>
        <d v="2024-09-14T00:00:00"/>
        <d v="2024-09-19T00:00:00"/>
        <d v="2024-09-28T00:00:00"/>
        <d v="2024-09-30T00:00:00"/>
        <d v="2024-10-06T00:00:00"/>
        <d v="2024-04-01T00:00:00"/>
        <d v="2024-04-02T00:00:00"/>
        <d v="2024-04-03T00:00:00"/>
        <d v="2024-10-13T00:00:00"/>
        <d v="2024-04-04T00:00:00"/>
        <d v="2024-04-09T00:00:00"/>
        <d v="2024-04-10T00:00:00"/>
        <d v="2024-04-11T00:00:00"/>
        <d v="2024-10-18T00:00:00"/>
        <d v="2024-04-12T00:00:00"/>
        <d v="2024-04-14T00:00:00"/>
        <d v="2024-10-21T00:00:00"/>
        <d v="2024-04-22T00:00:00"/>
        <d v="2024-10-23T00:00:00"/>
        <d v="2024-04-24T00:00:00"/>
        <d v="2024-10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11-06T00:00:00"/>
        <d v="2024-05-07T00:00:00"/>
        <d v="2024-05-08T00:00:00"/>
        <d v="2024-11-09T00:00:00"/>
        <d v="2024-05-09T00:00:00"/>
        <d v="2024-05-10T00:00:00"/>
        <d v="2024-05-11T00:00:00"/>
        <d v="2024-05-12T00:00:00"/>
        <d v="2024-11-14T00:00:00"/>
        <d v="2024-05-13T00:00:00"/>
        <d v="2024-05-14T00:00:00"/>
        <d v="2024-05-15T00:00:00"/>
        <d v="2024-11-18T00:00:00"/>
        <d v="2024-05-16T00:00:00"/>
        <d v="2024-11-20T00:00:00"/>
        <d v="2024-05-17T00:00:00"/>
        <d v="2024-05-18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11-30T00:00:00"/>
        <d v="2024-07-19T00:00:00"/>
        <d v="2024-07-20T00:00:00"/>
        <d v="2024-12-03T00:00:00"/>
        <d v="2024-07-21T00:00:00"/>
        <d v="2024-08-13T00:00:00"/>
        <d v="2024-08-14T00:00:00"/>
        <d v="2024-08-15T00:00:00"/>
        <d v="2024-12-08T00:00:00"/>
        <d v="2024-08-17T00:00:00"/>
        <d v="2024-08-18T00:00:00"/>
        <d v="2024-12-11T00:00:00"/>
        <d v="2024-08-19T00:00:00"/>
        <d v="2024-08-20T00:00:00"/>
        <d v="2024-08-21T00:00:00"/>
        <d v="2024-08-23T00:00:00"/>
        <d v="2024-12-16T00:00:00"/>
        <d v="2024-10-24T00:00:00"/>
        <d v="2024-10-26T00:00:00"/>
        <d v="2024-10-31T00:00:00"/>
        <d v="2024-12-20T00:00:00"/>
        <d v="2024-11-01T00:00:00"/>
        <d v="2024-12-22T00:00:00"/>
        <d v="2024-11-02T00:00:00"/>
        <d v="2024-11-03T00:00:00"/>
        <d v="2024-11-04T00:00:00"/>
        <d v="2024-11-05T00:00:00"/>
        <d v="2024-12-27T00:00:00"/>
        <d v="2024-11-13T00:00:00"/>
        <d v="2024-11-15T00:00:00"/>
        <d v="2024-11-16T00:00:00"/>
        <d v="2024-11-17T00:00:00"/>
        <d v="2024-11-19T00:00:00"/>
        <d v="2024-11-21T00:00:00"/>
        <d v="2025-01-03T00:00:00"/>
        <d v="2024-11-22T00:00:00"/>
        <d v="2025-01-05T00:00:00"/>
        <d v="2024-11-23T00:00:00"/>
        <d v="2025-01-07T00:00:00"/>
        <d v="2024-11-24T00:00:00"/>
        <d v="2024-11-25T00:00:00"/>
        <d v="2024-11-26T00:00:00"/>
        <d v="2024-11-27T00:00:00"/>
        <d v="2024-11-28T00:00:00"/>
        <d v="2024-11-29T00:00:00"/>
        <d v="2025-01-14T00:00:00"/>
        <d v="2024-12-01T00:00:00"/>
        <d v="2024-12-02T00:00:00"/>
        <d v="2024-12-04T00:00:00"/>
        <d v="2024-12-05T00:00:00"/>
        <d v="2024-12-06T00:00:00"/>
        <d v="2025-01-20T00:00:00"/>
        <d v="2024-12-07T00:00:00"/>
        <d v="2024-12-09T00:00:00"/>
        <d v="2025-02-01T00:00:00"/>
        <d v="2025-02-02T00:00:00"/>
        <d v="2025-02-03T00:00:00"/>
        <d v="2025-01-26T00:00:00"/>
        <d v="2025-02-04T00:00:00"/>
        <d v="2025-02-05T00:00:00"/>
        <d v="2025-02-06T00:00:00"/>
        <d v="2025-01-30T00:00:00"/>
        <d v="2025-02-07T00:00:00"/>
        <d v="2025-02-08T00:00:00"/>
        <d v="2025-02-09T00:00:00"/>
        <d v="2025-02-11T00:00:00"/>
        <d v="2025-02-10T00:00:00"/>
        <d v="2025-02-14T00:00:00"/>
        <d v="2025-02-21T00:00:00"/>
        <d v="2024-04-05T00:00:00"/>
        <d v="2024-04-06T00:00:00"/>
        <d v="2024-04-08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5-19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4T00:00:00"/>
        <d v="2024-08-05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9-01T00:00:00"/>
        <d v="2024-09-02T00:00:00"/>
        <d v="2024-09-03T00:00:00"/>
        <d v="2024-09-04T00:00:00"/>
        <d v="2024-09-06T00:00:00"/>
        <d v="2024-09-07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27T00:00:00"/>
        <d v="2024-10-28T00:00:00"/>
        <d v="2024-10-29T00:00:00"/>
        <d v="2024-10-30T00:00:00"/>
        <d v="2024-11-07T00:00:00"/>
        <d v="2024-11-08T00:00:00"/>
        <d v="2024-11-10T00:00:00"/>
        <d v="2024-11-11T00:00:00"/>
        <d v="2024-11-12T00:00:00"/>
        <d v="2024-12-10T00:00:00"/>
        <d v="2024-12-12T00:00:00"/>
        <d v="2024-12-13T00:00:00"/>
        <d v="2024-12-14T00:00:00"/>
        <d v="2024-12-15T00:00:00"/>
        <d v="2024-12-17T00:00:00"/>
        <d v="2024-12-18T00:00:00"/>
        <d v="2024-12-19T00:00:00"/>
        <d v="2024-12-21T00:00:00"/>
        <d v="2024-12-23T00:00:00"/>
        <d v="2024-12-24T00:00:00"/>
        <d v="2024-12-25T00:00:00"/>
        <d v="2024-12-26T00:00:00"/>
        <d v="2024-12-28T00:00:00"/>
        <d v="2024-12-29T00:00:00"/>
        <d v="2024-12-30T00:00:00"/>
        <d v="2024-12-31T00:00:00"/>
        <d v="2025-01-01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18T00:00:00"/>
        <d v="2025-01-19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  <m/>
      </sharedItems>
      <fieldGroup par="16"/>
    </cacheField>
    <cacheField name="Month" numFmtId="0">
      <sharedItems containsBlank="1"/>
    </cacheField>
    <cacheField name="Name" numFmtId="0">
      <sharedItems containsBlank="1"/>
    </cacheField>
    <cacheField name="Category" numFmtId="0">
      <sharedItems containsBlank="1"/>
    </cacheField>
    <cacheField name="Product Name" numFmtId="0">
      <sharedItems containsBlank="1" count="13">
        <s v="Car accessories"/>
        <s v="Women dress"/>
        <s v="Home décor"/>
        <s v="Speaker"/>
        <s v="TV"/>
        <s v="Cushion"/>
        <s v="Saree"/>
        <s v="Laptop"/>
        <s v="Suit"/>
        <s v="Earbuds"/>
        <s v="Male dress"/>
        <s v="CHAIR"/>
        <m/>
      </sharedItems>
    </cacheField>
    <cacheField name="State" numFmtId="0">
      <sharedItems containsBlank="1"/>
    </cacheField>
    <cacheField name="Gender" numFmtId="0">
      <sharedItems containsBlank="1"/>
    </cacheField>
    <cacheField name="Quantity" numFmtId="0">
      <sharedItems containsString="0" containsBlank="1" containsNumber="1" containsInteger="1" minValue="10" maxValue="100"/>
    </cacheField>
    <cacheField name="Cost" numFmtId="0">
      <sharedItems containsString="0" containsBlank="1" containsNumber="1" containsInteger="1" minValue="500" maxValue="1000"/>
    </cacheField>
    <cacheField name="Price" numFmtId="0">
      <sharedItems containsString="0" containsBlank="1" containsNumber="1" containsInteger="1" minValue="750" maxValue="1500"/>
    </cacheField>
    <cacheField name="Purchase Cost" numFmtId="0">
      <sharedItems containsString="0" containsBlank="1" containsNumber="1" containsInteger="1" minValue="5190" maxValue="95254"/>
    </cacheField>
    <cacheField name="Sale Price" numFmtId="0">
      <sharedItems containsString="0" containsBlank="1" containsNumber="1" containsInteger="1" minValue="8010" maxValue="146600"/>
    </cacheField>
    <cacheField name="Profit" numFmtId="0">
      <sharedItems containsString="0" containsBlank="1" containsNumber="1" containsInteger="1" minValue="-14996" maxValue="88949"/>
    </cacheField>
    <cacheField name="Status" numFmtId="0">
      <sharedItems containsBlank="1"/>
    </cacheField>
    <cacheField name="Months (date)" numFmtId="0" databaseField="0">
      <fieldGroup base="0">
        <rangePr groupBy="months" startDate="2024-04-01T00:00:00" endDate="2025-02-26T00:00:00"/>
        <groupItems count="14">
          <s v="&lt;01-04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2-25"/>
        </groupItems>
      </fieldGroup>
    </cacheField>
    <cacheField name="Quarters (date)" numFmtId="0" databaseField="0">
      <fieldGroup base="0">
        <rangePr groupBy="quarters" startDate="2024-04-01T00:00:00" endDate="2025-02-26T00:00:00"/>
        <groupItems count="6">
          <s v="&lt;01-04-24"/>
          <s v="Qtr1"/>
          <s v="Qtr2"/>
          <s v="Qtr3"/>
          <s v="Qtr4"/>
          <s v="&gt;26-02-25"/>
        </groupItems>
      </fieldGroup>
    </cacheField>
    <cacheField name="Years (date)" numFmtId="0" databaseField="0">
      <fieldGroup base="0">
        <rangePr groupBy="years" startDate="2024-04-01T00:00:00" endDate="2025-02-26T00:00:00"/>
        <groupItems count="4">
          <s v="&lt;01-04-24"/>
          <s v="2024"/>
          <s v="2025"/>
          <s v="&gt;26-02-25"/>
        </groupItems>
      </fieldGroup>
    </cacheField>
    <cacheField name="Profit new" numFmtId="0" formula="'Sale Price'-'Purchase Cost'" databaseField="0"/>
    <cacheField name="Rate" numFmtId="0" formula="'Sale Price'/Quantity" databaseField="0"/>
  </cacheFields>
  <extLst>
    <ext xmlns:x14="http://schemas.microsoft.com/office/spreadsheetml/2009/9/main" uri="{725AE2AE-9491-48be-B2B4-4EB974FC3084}">
      <x14:pivotCacheDefinition pivotCacheId="62761588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annu singhal" refreshedDate="45751.952450115743" createdVersion="8" refreshedVersion="8" minRefreshableVersion="3" recordCount="994" xr:uid="{07CA5BFF-B81D-4791-A965-BC961F869D92}">
  <cacheSource type="worksheet">
    <worksheetSource ref="A1:N1001" sheet=".xlsx].xlsx]Main Data" r:id="rId2"/>
  </cacheSource>
  <cacheFields count="17">
    <cacheField name="date" numFmtId="0">
      <sharedItems containsNonDate="0" containsDate="1" containsString="0" containsBlank="1" minDate="2024-04-01T00:00:00" maxDate="2025-02-26T00:00:00" count="332">
        <d v="2024-06-11T00:00:00"/>
        <d v="2024-06-12T00:00:00"/>
        <d v="2024-06-13T00:00:00"/>
        <d v="2024-06-14T00:00:00"/>
        <d v="2024-06-16T00:00:00"/>
        <d v="2024-06-17T00:00:00"/>
        <d v="2024-04-07T00:00:00"/>
        <d v="2024-06-29T00:00:00"/>
        <d v="2024-06-30T00:00:00"/>
        <d v="2024-07-01T00:00:00"/>
        <d v="2024-07-03T00:00:00"/>
        <d v="2024-07-04T00:00:00"/>
        <d v="2024-04-13T00:00:00"/>
        <d v="2024-07-05T00:00:00"/>
        <d v="2024-07-06T00:00:00"/>
        <d v="2024-07-07T00:00:00"/>
        <d v="2024-07-08T00:00:00"/>
        <d v="2024-07-09T00:00:00"/>
        <d v="2024-07-10T00:00:00"/>
        <d v="2024-08-06T00:00:00"/>
        <d v="2024-08-07T00:00:00"/>
        <d v="2024-08-09T00:00:00"/>
        <d v="2024-04-23T00:00:00"/>
        <d v="2024-08-10T00:00:00"/>
        <d v="2024-04-25T00:00:00"/>
        <d v="2024-08-11T00:00:00"/>
        <d v="2024-08-12T00:00:00"/>
        <d v="2024-09-08T00:00:00"/>
        <d v="2024-09-09T00:00:00"/>
        <d v="2024-09-10T00:00:00"/>
        <d v="2024-09-11T00:00:00"/>
        <d v="2024-09-12T00:00:00"/>
        <d v="2024-09-13T00:00:00"/>
        <d v="2024-09-15T00:00:00"/>
        <d v="2024-09-16T00:00:00"/>
        <d v="2024-09-17T00:00:00"/>
        <d v="2024-09-18T00:00:00"/>
        <d v="2024-09-27T00:00:00"/>
        <d v="2024-09-29T00:00:00"/>
        <d v="2024-10-01T00:00:00"/>
        <d v="2024-10-02T00:00:00"/>
        <d v="2024-10-03T00:00:00"/>
        <d v="2024-10-15T00:00:00"/>
        <d v="2024-10-16T00:00:00"/>
        <d v="2024-10-17T00:00:00"/>
        <d v="2024-10-19T00:00:00"/>
        <d v="2024-10-20T00:00:00"/>
        <d v="2024-10-22T00:00:00"/>
        <d v="2025-01-02T00:00:00"/>
        <d v="2024-05-20T00:00:00"/>
        <d v="2025-01-04T00:00:00"/>
        <d v="2025-01-06T00:00:00"/>
        <d v="2025-01-08T00:00:00"/>
        <d v="2025-01-21T00:00:00"/>
        <d v="2025-01-22T00:00:00"/>
        <d v="2025-01-23T00:00:00"/>
        <d v="2025-01-24T00:00:00"/>
        <d v="2025-01-25T00:00:00"/>
        <d v="2024-05-29T00:00:00"/>
        <d v="2025-01-27T00:00:00"/>
        <d v="2025-01-28T00:00:00"/>
        <d v="2025-01-29T00:00:00"/>
        <d v="2025-01-31T00:00:00"/>
        <d v="2024-06-15T00:00:00"/>
        <d v="2024-06-21T00:00:00"/>
        <d v="2024-07-02T00:00:00"/>
        <d v="2024-07-15T00:00:00"/>
        <d v="2024-08-03T00:00:00"/>
        <d v="2024-08-08T00:00:00"/>
        <d v="2024-08-16T00:00:00"/>
        <d v="2024-08-22T00:00:00"/>
        <d v="2024-08-31T00:00:00"/>
        <d v="2024-09-05T00:00:00"/>
        <d v="2024-09-14T00:00:00"/>
        <d v="2024-09-19T00:00:00"/>
        <d v="2024-09-28T00:00:00"/>
        <d v="2024-09-30T00:00:00"/>
        <d v="2024-10-06T00:00:00"/>
        <d v="2024-04-01T00:00:00"/>
        <d v="2024-04-02T00:00:00"/>
        <d v="2024-04-03T00:00:00"/>
        <d v="2024-10-13T00:00:00"/>
        <d v="2024-04-04T00:00:00"/>
        <d v="2024-04-09T00:00:00"/>
        <d v="2024-04-10T00:00:00"/>
        <d v="2024-04-11T00:00:00"/>
        <d v="2024-10-18T00:00:00"/>
        <d v="2024-04-12T00:00:00"/>
        <d v="2024-04-14T00:00:00"/>
        <d v="2024-10-21T00:00:00"/>
        <d v="2024-04-22T00:00:00"/>
        <d v="2024-10-23T00:00:00"/>
        <d v="2024-04-24T00:00:00"/>
        <d v="2024-10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11-06T00:00:00"/>
        <d v="2024-05-07T00:00:00"/>
        <d v="2024-05-08T00:00:00"/>
        <d v="2024-11-09T00:00:00"/>
        <d v="2024-05-09T00:00:00"/>
        <d v="2024-05-10T00:00:00"/>
        <d v="2024-05-11T00:00:00"/>
        <d v="2024-05-12T00:00:00"/>
        <d v="2024-11-14T00:00:00"/>
        <d v="2024-05-13T00:00:00"/>
        <d v="2024-05-14T00:00:00"/>
        <d v="2024-05-15T00:00:00"/>
        <d v="2024-11-18T00:00:00"/>
        <d v="2024-05-16T00:00:00"/>
        <d v="2024-11-20T00:00:00"/>
        <d v="2024-05-17T00:00:00"/>
        <d v="2024-05-18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11-30T00:00:00"/>
        <d v="2024-07-19T00:00:00"/>
        <d v="2024-07-20T00:00:00"/>
        <d v="2024-12-03T00:00:00"/>
        <d v="2024-07-21T00:00:00"/>
        <d v="2024-08-13T00:00:00"/>
        <d v="2024-08-14T00:00:00"/>
        <d v="2024-08-15T00:00:00"/>
        <d v="2024-12-08T00:00:00"/>
        <d v="2024-08-17T00:00:00"/>
        <d v="2024-08-18T00:00:00"/>
        <d v="2024-12-11T00:00:00"/>
        <d v="2024-08-19T00:00:00"/>
        <d v="2024-08-20T00:00:00"/>
        <d v="2024-08-21T00:00:00"/>
        <d v="2024-08-23T00:00:00"/>
        <d v="2024-12-16T00:00:00"/>
        <d v="2024-10-24T00:00:00"/>
        <d v="2024-10-26T00:00:00"/>
        <d v="2024-10-31T00:00:00"/>
        <d v="2024-12-20T00:00:00"/>
        <d v="2024-11-01T00:00:00"/>
        <d v="2024-12-22T00:00:00"/>
        <d v="2024-11-02T00:00:00"/>
        <d v="2024-11-03T00:00:00"/>
        <d v="2024-11-04T00:00:00"/>
        <d v="2024-11-05T00:00:00"/>
        <d v="2024-12-27T00:00:00"/>
        <d v="2024-11-13T00:00:00"/>
        <d v="2024-11-15T00:00:00"/>
        <d v="2024-11-16T00:00:00"/>
        <d v="2024-11-17T00:00:00"/>
        <d v="2024-11-19T00:00:00"/>
        <d v="2024-11-21T00:00:00"/>
        <d v="2025-01-03T00:00:00"/>
        <d v="2024-11-22T00:00:00"/>
        <d v="2025-01-05T00:00:00"/>
        <d v="2024-11-23T00:00:00"/>
        <d v="2025-01-07T00:00:00"/>
        <d v="2024-11-24T00:00:00"/>
        <d v="2024-11-25T00:00:00"/>
        <d v="2024-11-26T00:00:00"/>
        <d v="2024-11-27T00:00:00"/>
        <d v="2024-11-28T00:00:00"/>
        <d v="2024-11-29T00:00:00"/>
        <d v="2025-01-14T00:00:00"/>
        <d v="2024-12-01T00:00:00"/>
        <d v="2024-12-02T00:00:00"/>
        <d v="2024-12-04T00:00:00"/>
        <d v="2024-12-05T00:00:00"/>
        <d v="2024-12-06T00:00:00"/>
        <d v="2025-01-20T00:00:00"/>
        <d v="2024-12-07T00:00:00"/>
        <d v="2024-12-09T00:00:00"/>
        <d v="2025-02-01T00:00:00"/>
        <d v="2025-02-02T00:00:00"/>
        <d v="2025-02-03T00:00:00"/>
        <d v="2025-01-26T00:00:00"/>
        <d v="2025-02-04T00:00:00"/>
        <d v="2025-02-05T00:00:00"/>
        <d v="2025-02-06T00:00:00"/>
        <d v="2025-01-30T00:00:00"/>
        <d v="2025-02-07T00:00:00"/>
        <d v="2025-02-08T00:00:00"/>
        <d v="2025-02-09T00:00:00"/>
        <d v="2025-02-11T00:00:00"/>
        <d v="2025-02-10T00:00:00"/>
        <d v="2025-02-14T00:00:00"/>
        <d v="2025-02-21T00:00:00"/>
        <d v="2024-04-05T00:00:00"/>
        <d v="2024-04-06T00:00:00"/>
        <d v="2024-04-08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5-19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4T00:00:00"/>
        <d v="2024-08-05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9-01T00:00:00"/>
        <d v="2024-09-02T00:00:00"/>
        <d v="2024-09-03T00:00:00"/>
        <d v="2024-09-04T00:00:00"/>
        <d v="2024-09-06T00:00:00"/>
        <d v="2024-09-07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27T00:00:00"/>
        <d v="2024-10-28T00:00:00"/>
        <d v="2024-10-29T00:00:00"/>
        <d v="2024-10-30T00:00:00"/>
        <d v="2024-11-07T00:00:00"/>
        <d v="2024-11-08T00:00:00"/>
        <d v="2024-11-10T00:00:00"/>
        <d v="2024-11-11T00:00:00"/>
        <d v="2024-11-12T00:00:00"/>
        <d v="2024-12-10T00:00:00"/>
        <d v="2024-12-12T00:00:00"/>
        <d v="2024-12-13T00:00:00"/>
        <d v="2024-12-14T00:00:00"/>
        <d v="2024-12-15T00:00:00"/>
        <d v="2024-12-17T00:00:00"/>
        <d v="2024-12-18T00:00:00"/>
        <d v="2024-12-19T00:00:00"/>
        <d v="2024-12-21T00:00:00"/>
        <d v="2024-12-23T00:00:00"/>
        <d v="2024-12-24T00:00:00"/>
        <d v="2024-12-25T00:00:00"/>
        <d v="2024-12-26T00:00:00"/>
        <d v="2024-12-28T00:00:00"/>
        <d v="2024-12-29T00:00:00"/>
        <d v="2024-12-30T00:00:00"/>
        <d v="2024-12-31T00:00:00"/>
        <d v="2025-01-01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18T00:00:00"/>
        <d v="2025-01-19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  <m/>
      </sharedItems>
      <fieldGroup par="16"/>
    </cacheField>
    <cacheField name="Month" numFmtId="0">
      <sharedItems containsBlank="1"/>
    </cacheField>
    <cacheField name="Name" numFmtId="0">
      <sharedItems containsBlank="1"/>
    </cacheField>
    <cacheField name="Category" numFmtId="0">
      <sharedItems containsBlank="1" count="4">
        <s v="Decor"/>
        <s v="Fashion "/>
        <s v="Electronic"/>
        <m/>
      </sharedItems>
    </cacheField>
    <cacheField name="Product Name" numFmtId="0">
      <sharedItems containsBlank="1" count="12">
        <s v="Car accessories"/>
        <s v="Women dress"/>
        <s v="Home décor"/>
        <s v="Speaker"/>
        <s v="TV"/>
        <s v="Saree"/>
        <s v="Laptop"/>
        <s v="Suit"/>
        <s v="Earbuds"/>
        <s v="Male dress"/>
        <s v="CHAIR"/>
        <m/>
      </sharedItems>
    </cacheField>
    <cacheField name="State" numFmtId="0">
      <sharedItems containsBlank="1" count="21">
        <s v="Assam"/>
        <s v="Punjab"/>
        <s v="Chhattisgarh"/>
        <s v="West Bengal"/>
        <s v="Madhya Pradesh"/>
        <s v="Jharkhand"/>
        <s v="Gujarat"/>
        <s v="Uttar Pradesh"/>
        <s v="Maharashtra"/>
        <s v="Chandigarh"/>
        <s v="Andhra Pradesh"/>
        <s v="Bihar"/>
        <s v="Rajasthan"/>
        <s v="Tamil Nadu"/>
        <s v="Delhi"/>
        <s v="Karnataka"/>
        <s v="Telangana"/>
        <s v="Kerala"/>
        <s v="Himachal Pradesh"/>
        <s v="Uttarakhand"/>
        <m/>
      </sharedItems>
    </cacheField>
    <cacheField name="Gender" numFmtId="0">
      <sharedItems containsBlank="1"/>
    </cacheField>
    <cacheField name="Quantity" numFmtId="0">
      <sharedItems containsString="0" containsBlank="1" containsNumber="1" containsInteger="1" minValue="10" maxValue="100"/>
    </cacheField>
    <cacheField name="Cost" numFmtId="0">
      <sharedItems containsString="0" containsBlank="1" containsNumber="1" containsInteger="1" minValue="500" maxValue="1000"/>
    </cacheField>
    <cacheField name="Price" numFmtId="0">
      <sharedItems containsString="0" containsBlank="1" containsNumber="1" containsInteger="1" minValue="750" maxValue="1500"/>
    </cacheField>
    <cacheField name="Purchase Cost" numFmtId="0">
      <sharedItems containsString="0" containsBlank="1" containsNumber="1" containsInteger="1" minValue="5190" maxValue="95254"/>
    </cacheField>
    <cacheField name="Sale Price" numFmtId="0">
      <sharedItems containsString="0" containsBlank="1" containsNumber="1" containsInteger="1" minValue="8010" maxValue="146600"/>
    </cacheField>
    <cacheField name="Profit" numFmtId="0">
      <sharedItems containsString="0" containsBlank="1" containsNumber="1" containsInteger="1" minValue="-14996" maxValue="88949"/>
    </cacheField>
    <cacheField name="Status" numFmtId="0">
      <sharedItems containsBlank="1"/>
    </cacheField>
    <cacheField name="Months (date)" numFmtId="0" databaseField="0">
      <fieldGroup base="0">
        <rangePr groupBy="months" startDate="2024-04-01T00:00:00" endDate="2025-02-26T00:00:00"/>
        <groupItems count="14">
          <s v="&lt;01-04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2-25"/>
        </groupItems>
      </fieldGroup>
    </cacheField>
    <cacheField name="Quarters (date)" numFmtId="0" databaseField="0">
      <fieldGroup base="0">
        <rangePr groupBy="quarters" startDate="2024-04-01T00:00:00" endDate="2025-02-26T00:00:00"/>
        <groupItems count="6">
          <s v="&lt;01-04-24"/>
          <s v="Qtr1"/>
          <s v="Qtr2"/>
          <s v="Qtr3"/>
          <s v="Qtr4"/>
          <s v="&gt;26-02-25"/>
        </groupItems>
      </fieldGroup>
    </cacheField>
    <cacheField name="Years (date)" numFmtId="0" databaseField="0">
      <fieldGroup base="0">
        <rangePr groupBy="years" startDate="2024-04-01T00:00:00" endDate="2025-02-26T00:00:00"/>
        <groupItems count="4">
          <s v="&lt;01-04-24"/>
          <s v="2024"/>
          <s v="2025"/>
          <s v="&gt;26-02-25"/>
        </groupItems>
      </fieldGroup>
    </cacheField>
  </cacheFields>
  <extLst>
    <ext xmlns:x14="http://schemas.microsoft.com/office/spreadsheetml/2009/9/main" uri="{725AE2AE-9491-48be-B2B4-4EB974FC3084}">
      <x14:pivotCacheDefinition pivotCacheId="153210284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faiz" refreshedDate="45947.804979050925" createdVersion="8" refreshedVersion="8" minRefreshableVersion="3" recordCount="51" xr:uid="{C2C92779-69C6-4CF6-AEFD-4189174E7B70}">
  <cacheSource type="worksheet">
    <worksheetSource name="Table2"/>
  </cacheSource>
  <cacheFields count="5">
    <cacheField name="Party Name" numFmtId="0">
      <sharedItems/>
    </cacheField>
    <cacheField name="Product Name" numFmtId="0">
      <sharedItems/>
    </cacheField>
    <cacheField name="City" numFmtId="0">
      <sharedItems/>
    </cacheField>
    <cacheField name="Gender" numFmtId="0">
      <sharedItems/>
    </cacheField>
    <cacheField name="Amount" numFmtId="0">
      <sharedItems containsSemiMixedTypes="0" containsString="0" containsNumber="1" containsInteger="1" minValue="50194" maxValue="8569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Reliance Enterprises"/>
    <x v="0"/>
    <x v="0"/>
    <s v="Female"/>
    <n v="122444"/>
  </r>
  <r>
    <s v="Tata Solutions"/>
    <x v="1"/>
    <x v="1"/>
    <s v="Male"/>
    <n v="94138"/>
  </r>
  <r>
    <s v="Infosys Technologies"/>
    <x v="0"/>
    <x v="0"/>
    <s v="Female"/>
    <n v="72679"/>
  </r>
  <r>
    <s v="Wipro Digital"/>
    <x v="0"/>
    <x v="0"/>
    <s v="Female"/>
    <n v="130238"/>
  </r>
  <r>
    <s v="Adani Industries"/>
    <x v="1"/>
    <x v="1"/>
    <s v="Female"/>
    <n v="108636"/>
  </r>
  <r>
    <s v="Mahindra Innovations"/>
    <x v="2"/>
    <x v="2"/>
    <s v="Male"/>
    <n v="108005"/>
  </r>
  <r>
    <s v="HDFC Finance"/>
    <x v="2"/>
    <x v="0"/>
    <s v="Male"/>
    <n v="141259"/>
  </r>
  <r>
    <s v="Flipkart Retail"/>
    <x v="2"/>
    <x v="0"/>
    <s v="Male"/>
    <n v="86739"/>
  </r>
  <r>
    <s v="Byju’s EdTech"/>
    <x v="0"/>
    <x v="2"/>
    <s v="Female"/>
    <n v="95170"/>
  </r>
  <r>
    <s v="Zomato Services"/>
    <x v="1"/>
    <x v="1"/>
    <s v="Male"/>
    <n v="50655"/>
  </r>
  <r>
    <s v="Reliance Enterprises"/>
    <x v="1"/>
    <x v="1"/>
    <s v="Female"/>
    <n v="76361"/>
  </r>
  <r>
    <s v="Tata Solutions"/>
    <x v="1"/>
    <x v="3"/>
    <s v="Female"/>
    <n v="59986"/>
  </r>
  <r>
    <s v="Infosys Technologies"/>
    <x v="0"/>
    <x v="3"/>
    <s v="Male"/>
    <n v="96489"/>
  </r>
  <r>
    <s v="Wipro Digital"/>
    <x v="0"/>
    <x v="3"/>
    <s v="Male"/>
    <n v="96845"/>
  </r>
  <r>
    <s v="Adani Industries"/>
    <x v="2"/>
    <x v="0"/>
    <s v="Female"/>
    <n v="147430"/>
  </r>
  <r>
    <s v="Mahindra Innovations"/>
    <x v="2"/>
    <x v="0"/>
    <s v="Female"/>
    <n v="116547"/>
  </r>
  <r>
    <s v="HDFC Finance"/>
    <x v="0"/>
    <x v="1"/>
    <s v="Female"/>
    <n v="50478"/>
  </r>
  <r>
    <s v="Flipkart Retail"/>
    <x v="1"/>
    <x v="2"/>
    <s v="Male"/>
    <n v="131028"/>
  </r>
  <r>
    <s v="Byju’s EdTech"/>
    <x v="0"/>
    <x v="2"/>
    <s v="Male"/>
    <n v="136265"/>
  </r>
  <r>
    <s v="Zomato Services"/>
    <x v="0"/>
    <x v="0"/>
    <s v="Male"/>
    <n v="143860"/>
  </r>
  <r>
    <s v="Reliance Enterprises"/>
    <x v="1"/>
    <x v="1"/>
    <s v="Female"/>
    <n v="57757"/>
  </r>
  <r>
    <s v="Tata Solutions"/>
    <x v="2"/>
    <x v="3"/>
    <s v="Female"/>
    <n v="122231"/>
  </r>
  <r>
    <s v="Infosys Technologies"/>
    <x v="2"/>
    <x v="3"/>
    <s v="Male"/>
    <n v="127292"/>
  </r>
  <r>
    <s v="Wipro Digital"/>
    <x v="2"/>
    <x v="2"/>
    <s v="Male"/>
    <n v="50194"/>
  </r>
  <r>
    <s v="Adani Industries"/>
    <x v="0"/>
    <x v="1"/>
    <s v="Female"/>
    <n v="76180"/>
  </r>
  <r>
    <s v="Mahindra Innovations"/>
    <x v="1"/>
    <x v="1"/>
    <s v="Female"/>
    <n v="112323"/>
  </r>
  <r>
    <s v="HDFC Finance"/>
    <x v="1"/>
    <x v="3"/>
    <s v="Male"/>
    <n v="61988"/>
  </r>
  <r>
    <s v="Flipkart Retail"/>
    <x v="1"/>
    <x v="3"/>
    <s v="Male"/>
    <n v="142292"/>
  </r>
  <r>
    <s v="Byju’s EdTech"/>
    <x v="0"/>
    <x v="0"/>
    <s v="Female"/>
    <n v="135328"/>
  </r>
  <r>
    <s v="Zomato Services"/>
    <x v="0"/>
    <x v="0"/>
    <s v="Female"/>
    <n v="85819"/>
  </r>
  <r>
    <s v="Accounts Expert"/>
    <x v="0"/>
    <x v="4"/>
    <s v="Female"/>
    <n v="856945"/>
  </r>
  <r>
    <s v="Tata Solutions"/>
    <x v="2"/>
    <x v="0"/>
    <s v="Male"/>
    <n v="103228"/>
  </r>
  <r>
    <s v="Infosys Technologies"/>
    <x v="0"/>
    <x v="1"/>
    <s v="Female"/>
    <n v="56765"/>
  </r>
  <r>
    <s v="Wipro Digital"/>
    <x v="1"/>
    <x v="2"/>
    <s v="Female"/>
    <n v="122853"/>
  </r>
  <r>
    <s v="Adani Industries"/>
    <x v="0"/>
    <x v="2"/>
    <s v="Male"/>
    <n v="59918"/>
  </r>
  <r>
    <s v="Mahindra Innovations"/>
    <x v="0"/>
    <x v="0"/>
    <s v="Male"/>
    <n v="59303"/>
  </r>
  <r>
    <s v="HDFC Finance"/>
    <x v="1"/>
    <x v="1"/>
    <s v="Female"/>
    <n v="105850"/>
  </r>
  <r>
    <s v="Flipkart Retail"/>
    <x v="2"/>
    <x v="3"/>
    <s v="Male"/>
    <n v="146177"/>
  </r>
  <r>
    <s v="Byju’s EdTech"/>
    <x v="2"/>
    <x v="2"/>
    <s v="Female"/>
    <n v="56078"/>
  </r>
  <r>
    <s v="Zomato Services"/>
    <x v="2"/>
    <x v="2"/>
    <s v="Male"/>
    <n v="109136"/>
  </r>
  <r>
    <s v="Reliance Enterprises"/>
    <x v="0"/>
    <x v="0"/>
    <s v="Male"/>
    <n v="76997"/>
  </r>
  <r>
    <s v="Tata Solutions"/>
    <x v="1"/>
    <x v="0"/>
    <s v="Male"/>
    <n v="148442"/>
  </r>
  <r>
    <s v="Infosys Technologies"/>
    <x v="1"/>
    <x v="1"/>
    <s v="Male"/>
    <n v="129500"/>
  </r>
  <r>
    <s v="Wipro Digital"/>
    <x v="1"/>
    <x v="3"/>
    <s v="Female"/>
    <n v="133884"/>
  </r>
  <r>
    <s v="Adani Industries"/>
    <x v="0"/>
    <x v="3"/>
    <s v="Female"/>
    <n v="106065"/>
  </r>
  <r>
    <s v="Mahindra Innovations"/>
    <x v="0"/>
    <x v="3"/>
    <s v="Female"/>
    <n v="82337"/>
  </r>
  <r>
    <s v="HDFC Finance"/>
    <x v="2"/>
    <x v="1"/>
    <s v="Male"/>
    <n v="73197"/>
  </r>
  <r>
    <s v="Flipkart Retail"/>
    <x v="2"/>
    <x v="0"/>
    <s v="Male"/>
    <n v="119829"/>
  </r>
  <r>
    <s v="Byju’s EdTech"/>
    <x v="2"/>
    <x v="0"/>
    <s v="Male"/>
    <n v="92926"/>
  </r>
  <r>
    <s v="Zomato Services"/>
    <x v="0"/>
    <x v="2"/>
    <s v="Female"/>
    <n v="883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x v="0"/>
    <s v="june"/>
    <s v="Horizon Wellness"/>
    <s v="Decor"/>
    <x v="0"/>
    <s v="Assam"/>
    <s v="Female"/>
    <n v="17"/>
    <n v="938"/>
    <n v="938"/>
    <n v="15946"/>
    <n v="15946"/>
    <n v="0"/>
    <s v="loss"/>
  </r>
  <r>
    <x v="1"/>
    <s v="june"/>
    <s v="True Value Electronics"/>
    <s v="Decor"/>
    <x v="0"/>
    <s v="Punjab"/>
    <s v="Female"/>
    <n v="18"/>
    <n v="920"/>
    <n v="1360"/>
    <n v="16560"/>
    <n v="24480"/>
    <n v="7920"/>
    <s v="profit"/>
  </r>
  <r>
    <x v="2"/>
    <s v="june"/>
    <s v="Harmony Homes Realty"/>
    <s v="Decor"/>
    <x v="0"/>
    <s v="Chhattisgarh"/>
    <s v="Female"/>
    <n v="20"/>
    <n v="731"/>
    <n v="1186"/>
    <n v="14620"/>
    <n v="23720"/>
    <n v="9100"/>
    <s v="profit"/>
  </r>
  <r>
    <x v="3"/>
    <s v="june"/>
    <s v="Stellar Advertising"/>
    <s v="Decor"/>
    <x v="0"/>
    <s v="West Bengal"/>
    <s v="Female"/>
    <n v="17"/>
    <n v="750"/>
    <n v="793"/>
    <n v="12750"/>
    <n v="13481"/>
    <n v="731"/>
    <s v="profit"/>
  </r>
  <r>
    <x v="4"/>
    <s v="june"/>
    <s v="Modern Trends Retail"/>
    <s v="Decor"/>
    <x v="0"/>
    <s v="Madhya Pradesh"/>
    <s v="Male"/>
    <n v="14"/>
    <n v="906"/>
    <n v="1327"/>
    <n v="12684"/>
    <n v="18578"/>
    <n v="5894"/>
    <s v="profit"/>
  </r>
  <r>
    <x v="5"/>
    <s v="june"/>
    <s v="Global Spectrum Consulting"/>
    <s v="Decor"/>
    <x v="0"/>
    <s v="Jharkhand"/>
    <s v="Male"/>
    <n v="20"/>
    <n v="699"/>
    <n v="1400"/>
    <n v="13980"/>
    <n v="28000"/>
    <n v="14020"/>
    <s v="profit"/>
  </r>
  <r>
    <x v="6"/>
    <s v="april"/>
    <s v="Apex Solutions"/>
    <s v="Fashion "/>
    <x v="1"/>
    <s v="Gujarat"/>
    <s v="Male"/>
    <n v="55"/>
    <n v="637"/>
    <n v="1143"/>
    <n v="35035"/>
    <n v="62865"/>
    <n v="27830"/>
    <s v="profit"/>
  </r>
  <r>
    <x v="7"/>
    <s v="june"/>
    <s v="Radiant Vision Studios"/>
    <s v="Decor"/>
    <x v="2"/>
    <s v="Gujarat"/>
    <s v="Female"/>
    <n v="17"/>
    <n v="537"/>
    <n v="1350"/>
    <n v="9129"/>
    <n v="22950"/>
    <n v="13821"/>
    <s v="profit"/>
  </r>
  <r>
    <x v="8"/>
    <s v="june"/>
    <s v="Noble Travel Services"/>
    <s v="Decor"/>
    <x v="2"/>
    <s v="Uttar Pradesh"/>
    <s v="Female"/>
    <n v="20"/>
    <n v="875"/>
    <n v="911"/>
    <n v="17500"/>
    <n v="18220"/>
    <n v="720"/>
    <s v="profit"/>
  </r>
  <r>
    <x v="9"/>
    <s v="july"/>
    <s v="Bright Future Academy"/>
    <s v="Decor"/>
    <x v="2"/>
    <s v="Uttar Pradesh"/>
    <s v="Female"/>
    <n v="13"/>
    <n v="917"/>
    <n v="1315"/>
    <n v="11921"/>
    <n v="17095"/>
    <n v="5174"/>
    <s v="profit"/>
  </r>
  <r>
    <x v="10"/>
    <s v="july"/>
    <s v="Visionary Health Systems"/>
    <s v="Decor"/>
    <x v="2"/>
    <s v="Madhya Pradesh"/>
    <s v="Female"/>
    <n v="12"/>
    <n v="980"/>
    <n v="1462"/>
    <n v="11760"/>
    <n v="17544"/>
    <n v="5784"/>
    <s v="profit"/>
  </r>
  <r>
    <x v="11"/>
    <s v="july"/>
    <s v="Apex Retailers"/>
    <s v="Decor"/>
    <x v="2"/>
    <s v="Maharashtra"/>
    <s v="Female"/>
    <n v="12"/>
    <n v="734"/>
    <n v="1181"/>
    <n v="8808"/>
    <n v="14172"/>
    <n v="5364"/>
    <s v="profit"/>
  </r>
  <r>
    <x v="12"/>
    <s v="april"/>
    <s v="Metro Tech Solutions"/>
    <s v="Electronic"/>
    <x v="3"/>
    <s v="Maharashtra"/>
    <s v="Female"/>
    <n v="29"/>
    <n v="951"/>
    <n v="1268"/>
    <n v="27579"/>
    <n v="36772"/>
    <n v="9193"/>
    <s v="profit"/>
  </r>
  <r>
    <x v="13"/>
    <s v="july"/>
    <s v="Prestige Property Developers"/>
    <s v="Decor"/>
    <x v="2"/>
    <s v="Chandigarh"/>
    <s v="Female"/>
    <n v="12"/>
    <n v="913"/>
    <n v="1170"/>
    <n v="10956"/>
    <n v="14040"/>
    <n v="3084"/>
    <s v="profit"/>
  </r>
  <r>
    <x v="14"/>
    <s v="july"/>
    <s v="Classic Trends Fashion"/>
    <s v="Decor"/>
    <x v="2"/>
    <s v="Madhya Pradesh"/>
    <s v="Male"/>
    <n v="20"/>
    <n v="833"/>
    <n v="877"/>
    <n v="16660"/>
    <n v="17540"/>
    <n v="880"/>
    <s v="profit"/>
  </r>
  <r>
    <x v="15"/>
    <s v="july"/>
    <s v="Harmony Ventures"/>
    <s v="Decor"/>
    <x v="2"/>
    <s v="Andhra Pradesh"/>
    <s v="Male"/>
    <n v="17"/>
    <n v="748"/>
    <n v="1138"/>
    <n v="12716"/>
    <n v="19346"/>
    <n v="6630"/>
    <s v="profit"/>
  </r>
  <r>
    <x v="16"/>
    <s v="july"/>
    <s v="Stellar Realty"/>
    <s v="Decor"/>
    <x v="2"/>
    <s v="Bihar"/>
    <s v="Male"/>
    <n v="20"/>
    <n v="517"/>
    <n v="1405"/>
    <n v="10340"/>
    <n v="28100"/>
    <n v="17760"/>
    <s v="profit"/>
  </r>
  <r>
    <x v="17"/>
    <s v="july"/>
    <s v="Future Path Technologies"/>
    <s v="Decor"/>
    <x v="2"/>
    <s v="Gujarat"/>
    <s v="Male"/>
    <n v="18"/>
    <n v="674"/>
    <n v="775"/>
    <n v="12132"/>
    <n v="13950"/>
    <n v="1818"/>
    <s v="profit"/>
  </r>
  <r>
    <x v="18"/>
    <s v="july"/>
    <s v="Elite Edge Services"/>
    <s v="Decor"/>
    <x v="2"/>
    <s v="Uttar Pradesh"/>
    <s v="Female"/>
    <n v="17"/>
    <n v="641"/>
    <n v="765"/>
    <n v="10897"/>
    <n v="13005"/>
    <n v="2108"/>
    <s v="profit"/>
  </r>
  <r>
    <x v="19"/>
    <s v="august"/>
    <s v="Modern Harmony Products"/>
    <s v="Decor"/>
    <x v="2"/>
    <s v="Maharashtra"/>
    <s v="Female"/>
    <n v="10"/>
    <n v="754"/>
    <n v="982"/>
    <n v="7540"/>
    <n v="9820"/>
    <n v="2280"/>
    <s v="profit"/>
  </r>
  <r>
    <x v="20"/>
    <s v="august"/>
    <s v="Horizon Builders &amp; Developers"/>
    <s v="Decor"/>
    <x v="2"/>
    <s v="Rajasthan"/>
    <s v="Female"/>
    <n v="14"/>
    <n v="815"/>
    <n v="1341"/>
    <n v="11410"/>
    <n v="18774"/>
    <n v="7364"/>
    <s v="profit"/>
  </r>
  <r>
    <x v="21"/>
    <s v="august"/>
    <s v="Legacy Apparel"/>
    <s v="Decor"/>
    <x v="2"/>
    <s v="Uttar Pradesh"/>
    <s v="Female"/>
    <n v="18"/>
    <n v="704"/>
    <n v="930"/>
    <n v="12672"/>
    <n v="16740"/>
    <n v="4068"/>
    <s v="profit"/>
  </r>
  <r>
    <x v="22"/>
    <s v="april"/>
    <s v="Elite Marketing Solutions"/>
    <s v="Electronic"/>
    <x v="4"/>
    <s v="Tamil Nadu"/>
    <s v="Male"/>
    <n v="25"/>
    <n v="958"/>
    <n v="942"/>
    <n v="23950"/>
    <n v="23550"/>
    <n v="-400"/>
    <s v="loss"/>
  </r>
  <r>
    <x v="23"/>
    <s v="august"/>
    <s v="Pinnacle Education Group"/>
    <s v="Decor"/>
    <x v="2"/>
    <s v="Uttar Pradesh"/>
    <s v="Female"/>
    <n v="19"/>
    <n v="744"/>
    <n v="1433"/>
    <n v="14136"/>
    <n v="27227"/>
    <n v="13091"/>
    <s v="profit"/>
  </r>
  <r>
    <x v="24"/>
    <s v="april"/>
    <s v="Crystal Clear Solutions"/>
    <s v="Electronic"/>
    <x v="4"/>
    <s v="Rajasthan"/>
    <s v="Female"/>
    <n v="26"/>
    <n v="520"/>
    <n v="1486"/>
    <n v="13520"/>
    <n v="38636"/>
    <n v="25116"/>
    <s v="profit"/>
  </r>
  <r>
    <x v="25"/>
    <s v="august"/>
    <s v="Noble Innovations"/>
    <s v="Decor"/>
    <x v="2"/>
    <s v="Maharashtra"/>
    <s v="Male"/>
    <n v="10"/>
    <n v="669"/>
    <n v="1344"/>
    <n v="6690"/>
    <n v="13440"/>
    <n v="6750"/>
    <s v="profit"/>
  </r>
  <r>
    <x v="26"/>
    <s v="august"/>
    <s v="Crystal Clear Realty"/>
    <s v="Decor"/>
    <x v="2"/>
    <s v="Madhya Pradesh"/>
    <s v="Male"/>
    <n v="20"/>
    <n v="966"/>
    <n v="924"/>
    <n v="19320"/>
    <n v="18480"/>
    <n v="-840"/>
    <s v="loss"/>
  </r>
  <r>
    <x v="27"/>
    <s v="september"/>
    <s v="Apex Publishing House"/>
    <s v="Decor"/>
    <x v="2"/>
    <s v="Delhi"/>
    <s v="Male"/>
    <n v="18"/>
    <n v="859"/>
    <n v="1044"/>
    <n v="15462"/>
    <n v="18792"/>
    <n v="3330"/>
    <s v="profit"/>
  </r>
  <r>
    <x v="28"/>
    <s v="september"/>
    <s v="True Value Consulting"/>
    <s v="Decor"/>
    <x v="2"/>
    <s v="Maharashtra"/>
    <s v="Male"/>
    <n v="15"/>
    <n v="890"/>
    <n v="1362"/>
    <n v="13350"/>
    <n v="20430"/>
    <n v="7080"/>
    <s v="profit"/>
  </r>
  <r>
    <x v="29"/>
    <s v="september"/>
    <s v="Future Path Ventures"/>
    <s v="Decor"/>
    <x v="2"/>
    <s v="West Bengal"/>
    <s v="Male"/>
    <n v="19"/>
    <n v="630"/>
    <n v="882"/>
    <n v="11970"/>
    <n v="16758"/>
    <n v="4788"/>
    <s v="profit"/>
  </r>
  <r>
    <x v="30"/>
    <s v="september"/>
    <s v="Stellar Tech Services"/>
    <s v="Decor"/>
    <x v="2"/>
    <s v="Tamil Nadu"/>
    <s v="Male"/>
    <n v="10"/>
    <n v="701"/>
    <n v="1384"/>
    <n v="7010"/>
    <n v="13840"/>
    <n v="6830"/>
    <s v="profit"/>
  </r>
  <r>
    <x v="31"/>
    <s v="september"/>
    <s v="Legacy Travel Agency"/>
    <s v="Decor"/>
    <x v="2"/>
    <s v="Karnataka"/>
    <s v="Female"/>
    <n v="19"/>
    <n v="653"/>
    <n v="1402"/>
    <n v="12407"/>
    <n v="26638"/>
    <n v="14231"/>
    <s v="profit"/>
  </r>
  <r>
    <x v="32"/>
    <s v="september"/>
    <s v="Harmony Innovations"/>
    <s v="Decor"/>
    <x v="2"/>
    <s v="Telangana"/>
    <s v="Female"/>
    <n v="14"/>
    <n v="968"/>
    <n v="1419"/>
    <n v="13552"/>
    <n v="19866"/>
    <n v="6314"/>
    <s v="profit"/>
  </r>
  <r>
    <x v="33"/>
    <s v="september"/>
    <s v="Elite Media Group"/>
    <s v="Decor"/>
    <x v="2"/>
    <s v="Maharashtra"/>
    <s v="Female"/>
    <n v="20"/>
    <n v="508"/>
    <n v="1433"/>
    <n v="10160"/>
    <n v="28660"/>
    <n v="18500"/>
    <s v="profit"/>
  </r>
  <r>
    <x v="34"/>
    <s v="september"/>
    <s v="Radiant Construction"/>
    <s v="Decor"/>
    <x v="2"/>
    <s v="Rajasthan"/>
    <s v="Female"/>
    <n v="12"/>
    <n v="539"/>
    <n v="1136"/>
    <n v="6468"/>
    <n v="13632"/>
    <n v="7164"/>
    <s v="profit"/>
  </r>
  <r>
    <x v="35"/>
    <s v="september"/>
    <s v="Pinnacle Finance"/>
    <s v="Decor"/>
    <x v="2"/>
    <s v="Gujarat"/>
    <s v="Female"/>
    <n v="10"/>
    <n v="731"/>
    <n v="1226"/>
    <n v="7310"/>
    <n v="12260"/>
    <n v="4950"/>
    <s v="profit"/>
  </r>
  <r>
    <x v="36"/>
    <s v="september"/>
    <s v="Horizon Tech Ventures"/>
    <s v="Decor"/>
    <x v="2"/>
    <s v="Uttar Pradesh"/>
    <s v="Female"/>
    <n v="15"/>
    <n v="621"/>
    <n v="1488"/>
    <n v="9315"/>
    <n v="22320"/>
    <n v="13005"/>
    <s v="profit"/>
  </r>
  <r>
    <x v="37"/>
    <s v="september"/>
    <s v="Elite Edge Consulting"/>
    <s v="Decor"/>
    <x v="0"/>
    <s v="Gujarat"/>
    <s v="Male"/>
    <n v="16"/>
    <n v="963"/>
    <n v="1186"/>
    <n v="15408"/>
    <n v="18976"/>
    <n v="3568"/>
    <s v="profit"/>
  </r>
  <r>
    <x v="38"/>
    <s v="september"/>
    <s v="Harmony Tech Ventures"/>
    <s v="Decor"/>
    <x v="0"/>
    <s v="Uttar Pradesh"/>
    <s v="Female"/>
    <n v="13"/>
    <n v="762"/>
    <n v="1311"/>
    <n v="9906"/>
    <n v="17043"/>
    <n v="7137"/>
    <s v="profit"/>
  </r>
  <r>
    <x v="39"/>
    <s v="october"/>
    <s v="Radiant Fitness Studio"/>
    <s v="Decor"/>
    <x v="0"/>
    <s v="Tamil Nadu"/>
    <s v="Female"/>
    <n v="14"/>
    <n v="909"/>
    <n v="780"/>
    <n v="12726"/>
    <n v="10920"/>
    <n v="-1806"/>
    <s v="loss"/>
  </r>
  <r>
    <x v="40"/>
    <s v="october"/>
    <s v="Zenith Finance Co."/>
    <s v="Decor"/>
    <x v="0"/>
    <s v="Rajasthan"/>
    <s v="Female"/>
    <n v="11"/>
    <n v="858"/>
    <n v="1080"/>
    <n v="9438"/>
    <n v="11880"/>
    <n v="2442"/>
    <s v="profit"/>
  </r>
  <r>
    <x v="41"/>
    <s v="october"/>
    <s v="Apex Events Management"/>
    <s v="Decor"/>
    <x v="0"/>
    <s v="Uttar Pradesh"/>
    <s v="Female"/>
    <n v="12"/>
    <n v="516"/>
    <n v="857"/>
    <n v="6192"/>
    <n v="10284"/>
    <n v="4092"/>
    <s v="profit"/>
  </r>
  <r>
    <x v="42"/>
    <s v="october"/>
    <s v="Stellar Media Group"/>
    <s v="Decor"/>
    <x v="2"/>
    <s v="Jharkhand"/>
    <s v="Male"/>
    <n v="20"/>
    <n v="817"/>
    <n v="1324"/>
    <n v="16340"/>
    <n v="26480"/>
    <n v="10140"/>
    <s v="profit"/>
  </r>
  <r>
    <x v="43"/>
    <s v="october"/>
    <s v="Harmony Finance Co."/>
    <s v="Decor"/>
    <x v="2"/>
    <s v="West Bengal"/>
    <s v="Male"/>
    <n v="16"/>
    <n v="935"/>
    <n v="980"/>
    <n v="14960"/>
    <n v="15680"/>
    <n v="720"/>
    <s v="profit"/>
  </r>
  <r>
    <x v="44"/>
    <s v="october"/>
    <s v="Pure Vision Ventures"/>
    <s v="Decor"/>
    <x v="2"/>
    <s v="Karnataka"/>
    <s v="Male"/>
    <n v="17"/>
    <n v="642"/>
    <n v="1095"/>
    <n v="10914"/>
    <n v="18615"/>
    <n v="7701"/>
    <s v="profit"/>
  </r>
  <r>
    <x v="45"/>
    <s v="october"/>
    <s v="Legacy Travel Services"/>
    <s v="Decor"/>
    <x v="2"/>
    <s v="Gujarat"/>
    <s v="Female"/>
    <n v="18"/>
    <n v="596"/>
    <n v="817"/>
    <n v="10728"/>
    <n v="14706"/>
    <n v="3978"/>
    <s v="profit"/>
  </r>
  <r>
    <x v="46"/>
    <s v="october"/>
    <s v="Elite Spectrum Media"/>
    <s v="Decor"/>
    <x v="2"/>
    <s v="Uttar Pradesh"/>
    <s v="Female"/>
    <n v="14"/>
    <n v="533"/>
    <n v="922"/>
    <n v="7462"/>
    <n v="12908"/>
    <n v="5446"/>
    <s v="profit"/>
  </r>
  <r>
    <x v="47"/>
    <s v="october"/>
    <s v="Pinnacle Design Studio"/>
    <s v="Decor"/>
    <x v="2"/>
    <s v="Tamil Nadu"/>
    <s v="Female"/>
    <n v="19"/>
    <n v="578"/>
    <n v="1434"/>
    <n v="10982"/>
    <n v="27246"/>
    <n v="16264"/>
    <s v="profit"/>
  </r>
  <r>
    <x v="48"/>
    <s v="january"/>
    <s v="Legacy Travel Ventures"/>
    <s v="Decor"/>
    <x v="0"/>
    <s v="West Bengal"/>
    <s v="Female"/>
    <n v="14"/>
    <n v="521"/>
    <n v="974"/>
    <n v="7294"/>
    <n v="13636"/>
    <n v="6342"/>
    <s v="profit"/>
  </r>
  <r>
    <x v="49"/>
    <s v="may"/>
    <s v="Absolute Solutions"/>
    <s v="Fashion "/>
    <x v="5"/>
    <s v="Gujarat"/>
    <s v="Male"/>
    <n v="79"/>
    <n v="616"/>
    <n v="944"/>
    <n v="48664"/>
    <n v="74576"/>
    <n v="25912"/>
    <s v="profit"/>
  </r>
  <r>
    <x v="50"/>
    <s v="january"/>
    <s v="Stellar Design Group"/>
    <s v="Decor"/>
    <x v="0"/>
    <s v="Delhi"/>
    <s v="Female"/>
    <n v="14"/>
    <n v="734"/>
    <n v="1058"/>
    <n v="10276"/>
    <n v="14812"/>
    <n v="4536"/>
    <s v="profit"/>
  </r>
  <r>
    <x v="51"/>
    <s v="january"/>
    <s v="Horizon Ventures Co."/>
    <s v="Decor"/>
    <x v="0"/>
    <s v="Punjab"/>
    <s v="Female"/>
    <n v="20"/>
    <n v="837"/>
    <n v="1014"/>
    <n v="16740"/>
    <n v="20280"/>
    <n v="3540"/>
    <s v="profit"/>
  </r>
  <r>
    <x v="52"/>
    <s v="january"/>
    <s v="Zenith Wellness Services"/>
    <s v="Decor"/>
    <x v="0"/>
    <s v="West Bengal"/>
    <s v="Male"/>
    <n v="11"/>
    <n v="617"/>
    <n v="1025"/>
    <n v="6787"/>
    <n v="11275"/>
    <n v="4488"/>
    <s v="profit"/>
  </r>
  <r>
    <x v="53"/>
    <s v="january"/>
    <s v="Legacy Travel Co."/>
    <s v="Decor"/>
    <x v="2"/>
    <s v="Assam"/>
    <s v="Female"/>
    <n v="20"/>
    <n v="749"/>
    <n v="753"/>
    <n v="14980"/>
    <n v="15060"/>
    <n v="80"/>
    <s v="profit"/>
  </r>
  <r>
    <x v="54"/>
    <s v="january"/>
    <s v="Pinnacle Innovations Group"/>
    <s v="Decor"/>
    <x v="2"/>
    <s v="Punjab"/>
    <s v="Female"/>
    <n v="15"/>
    <n v="924"/>
    <n v="1024"/>
    <n v="13860"/>
    <n v="15360"/>
    <n v="1500"/>
    <s v="profit"/>
  </r>
  <r>
    <x v="55"/>
    <s v="january"/>
    <s v="Stellar Health Services"/>
    <s v="Decor"/>
    <x v="2"/>
    <s v="Chhattisgarh"/>
    <s v="Female"/>
    <n v="18"/>
    <n v="601"/>
    <n v="1246"/>
    <n v="10818"/>
    <n v="22428"/>
    <n v="11610"/>
    <s v="profit"/>
  </r>
  <r>
    <x v="56"/>
    <s v="january"/>
    <s v="Radiance Design Co."/>
    <s v="Decor"/>
    <x v="2"/>
    <s v="West Bengal"/>
    <s v="Female"/>
    <n v="17"/>
    <n v="626"/>
    <n v="1462"/>
    <n v="10642"/>
    <n v="24854"/>
    <n v="14212"/>
    <s v="profit"/>
  </r>
  <r>
    <x v="57"/>
    <s v="january"/>
    <s v="Harmony Consulting Group"/>
    <s v="Decor"/>
    <x v="2"/>
    <s v="West Bengal"/>
    <s v="Female"/>
    <n v="13"/>
    <n v="542"/>
    <n v="853"/>
    <n v="7046"/>
    <n v="11089"/>
    <n v="4043"/>
    <s v="profit"/>
  </r>
  <r>
    <x v="58"/>
    <s v="may"/>
    <s v="Synergy Tech Solutions"/>
    <s v="Fashion "/>
    <x v="6"/>
    <s v="Bihar"/>
    <s v="Male"/>
    <n v="50"/>
    <n v="639"/>
    <n v="789"/>
    <n v="31950"/>
    <n v="39450"/>
    <n v="7500"/>
    <s v="profit"/>
  </r>
  <r>
    <x v="59"/>
    <s v="january"/>
    <s v="Apex Educational Group"/>
    <s v="Decor"/>
    <x v="2"/>
    <s v="Jharkhand"/>
    <s v="Male"/>
    <n v="19"/>
    <n v="595"/>
    <n v="1424"/>
    <n v="11305"/>
    <n v="27056"/>
    <n v="15751"/>
    <s v="profit"/>
  </r>
  <r>
    <x v="60"/>
    <s v="january"/>
    <s v="Modern Wellness Co."/>
    <s v="Decor"/>
    <x v="2"/>
    <s v="West Bengal"/>
    <s v="Male"/>
    <n v="17"/>
    <n v="593"/>
    <n v="895"/>
    <n v="10081"/>
    <n v="15215"/>
    <n v="5134"/>
    <s v="profit"/>
  </r>
  <r>
    <x v="61"/>
    <s v="january"/>
    <s v="Pure Spectrum Innovations"/>
    <s v="Decor"/>
    <x v="2"/>
    <s v="Uttar Pradesh"/>
    <s v="Male"/>
    <n v="20"/>
    <n v="735"/>
    <n v="1277"/>
    <n v="14700"/>
    <n v="25540"/>
    <n v="10840"/>
    <s v="profit"/>
  </r>
  <r>
    <x v="62"/>
    <s v="january"/>
    <s v="Pinnacle Travel Co."/>
    <s v="Decor"/>
    <x v="2"/>
    <s v="Kerala"/>
    <s v="Male"/>
    <n v="17"/>
    <n v="750"/>
    <n v="1253"/>
    <n v="12750"/>
    <n v="21301"/>
    <n v="8551"/>
    <s v="profit"/>
  </r>
  <r>
    <x v="0"/>
    <s v="june"/>
    <s v="Horizon Wellness"/>
    <s v="Decor"/>
    <x v="0"/>
    <s v="Assam"/>
    <s v="Female"/>
    <n v="11"/>
    <n v="601"/>
    <n v="1323"/>
    <n v="6611"/>
    <n v="14553"/>
    <n v="7942"/>
    <s v="profit"/>
  </r>
  <r>
    <x v="1"/>
    <s v="june"/>
    <s v="True Value Electronics"/>
    <s v="Decor"/>
    <x v="0"/>
    <s v="Punjab"/>
    <s v="Female"/>
    <n v="20"/>
    <n v="857"/>
    <n v="983"/>
    <n v="17140"/>
    <n v="19660"/>
    <n v="2520"/>
    <s v="profit"/>
  </r>
  <r>
    <x v="2"/>
    <s v="june"/>
    <s v="Harmony Homes Realty"/>
    <s v="Decor"/>
    <x v="0"/>
    <s v="Chhattisgarh"/>
    <s v="Female"/>
    <n v="11"/>
    <n v="774"/>
    <n v="1363"/>
    <n v="8514"/>
    <n v="14993"/>
    <n v="6479"/>
    <s v="profit"/>
  </r>
  <r>
    <x v="3"/>
    <s v="june"/>
    <s v="Stellar Advertising"/>
    <s v="Decor"/>
    <x v="0"/>
    <s v="West Bengal"/>
    <s v="Female"/>
    <n v="13"/>
    <n v="986"/>
    <n v="1073"/>
    <n v="12818"/>
    <n v="13949"/>
    <n v="1131"/>
    <s v="profit"/>
  </r>
  <r>
    <x v="4"/>
    <s v="june"/>
    <s v="Modern Trends Retail"/>
    <s v="Decor"/>
    <x v="0"/>
    <s v="Madhya Pradesh"/>
    <s v="Male"/>
    <n v="12"/>
    <n v="997"/>
    <n v="1445"/>
    <n v="11964"/>
    <n v="17340"/>
    <n v="5376"/>
    <s v="profit"/>
  </r>
  <r>
    <x v="5"/>
    <s v="june"/>
    <s v="Global Spectrum Consulting"/>
    <s v="Decor"/>
    <x v="0"/>
    <s v="Jharkhand"/>
    <s v="Male"/>
    <n v="20"/>
    <n v="941"/>
    <n v="1053"/>
    <n v="18820"/>
    <n v="21060"/>
    <n v="2240"/>
    <s v="profit"/>
  </r>
  <r>
    <x v="7"/>
    <s v="june"/>
    <s v="Radiant Vision Studios"/>
    <s v="Decor"/>
    <x v="2"/>
    <s v="Gujarat"/>
    <s v="Female"/>
    <n v="19"/>
    <n v="952"/>
    <n v="1486"/>
    <n v="18088"/>
    <n v="28234"/>
    <n v="10146"/>
    <s v="profit"/>
  </r>
  <r>
    <x v="8"/>
    <s v="june"/>
    <s v="Noble Travel Services"/>
    <s v="Decor"/>
    <x v="2"/>
    <s v="Uttar Pradesh"/>
    <s v="Female"/>
    <n v="11"/>
    <n v="503"/>
    <n v="762"/>
    <n v="5533"/>
    <n v="8382"/>
    <n v="2849"/>
    <s v="profit"/>
  </r>
  <r>
    <x v="9"/>
    <s v="july"/>
    <s v="Bright Future Academy"/>
    <s v="Decor"/>
    <x v="2"/>
    <s v="Uttar Pradesh"/>
    <s v="Female"/>
    <n v="10"/>
    <n v="719"/>
    <n v="862"/>
    <n v="7190"/>
    <n v="8620"/>
    <n v="1430"/>
    <s v="profit"/>
  </r>
  <r>
    <x v="10"/>
    <s v="july"/>
    <s v="Visionary Health Systems"/>
    <s v="Decor"/>
    <x v="2"/>
    <s v="Madhya Pradesh"/>
    <s v="Female"/>
    <n v="15"/>
    <n v="941"/>
    <n v="913"/>
    <n v="14115"/>
    <n v="13695"/>
    <n v="-420"/>
    <s v="loss"/>
  </r>
  <r>
    <x v="11"/>
    <s v="july"/>
    <s v="Apex Retailers"/>
    <s v="Decor"/>
    <x v="2"/>
    <s v="Maharashtra"/>
    <s v="Female"/>
    <n v="15"/>
    <n v="937"/>
    <n v="1427"/>
    <n v="14055"/>
    <n v="21405"/>
    <n v="7350"/>
    <s v="profit"/>
  </r>
  <r>
    <x v="13"/>
    <s v="july"/>
    <s v="Prestige Property Developers"/>
    <s v="Decor"/>
    <x v="2"/>
    <s v="Chandigarh"/>
    <s v="Female"/>
    <n v="11"/>
    <n v="674"/>
    <n v="1415"/>
    <n v="7414"/>
    <n v="15565"/>
    <n v="8151"/>
    <s v="profit"/>
  </r>
  <r>
    <x v="63"/>
    <s v="june"/>
    <s v="Radiant Enterprise Solutions"/>
    <s v="Decor"/>
    <x v="0"/>
    <s v="West Bengal"/>
    <s v="Female"/>
    <n v="20"/>
    <n v="827"/>
    <n v="816"/>
    <n v="16540"/>
    <n v="16320"/>
    <n v="-220"/>
    <s v="loss"/>
  </r>
  <r>
    <x v="14"/>
    <s v="july"/>
    <s v="Classic Trends Fashion"/>
    <s v="Decor"/>
    <x v="2"/>
    <s v="Madhya Pradesh"/>
    <s v="Male"/>
    <n v="20"/>
    <n v="596"/>
    <n v="1255"/>
    <n v="11920"/>
    <n v="25100"/>
    <n v="13180"/>
    <s v="profit"/>
  </r>
  <r>
    <x v="15"/>
    <s v="july"/>
    <s v="Harmony Ventures"/>
    <s v="Decor"/>
    <x v="2"/>
    <s v="Andhra Pradesh"/>
    <s v="Male"/>
    <n v="20"/>
    <n v="689"/>
    <n v="939"/>
    <n v="13780"/>
    <n v="18780"/>
    <n v="5000"/>
    <s v="profit"/>
  </r>
  <r>
    <x v="16"/>
    <s v="july"/>
    <s v="Stellar Realty"/>
    <s v="Decor"/>
    <x v="2"/>
    <s v="Bihar"/>
    <s v="Male"/>
    <n v="17"/>
    <n v="990"/>
    <n v="1391"/>
    <n v="16830"/>
    <n v="23647"/>
    <n v="6817"/>
    <s v="profit"/>
  </r>
  <r>
    <x v="17"/>
    <s v="july"/>
    <s v="Future Path Technologies"/>
    <s v="Decor"/>
    <x v="2"/>
    <s v="Gujarat"/>
    <s v="Male"/>
    <n v="20"/>
    <n v="589"/>
    <n v="773"/>
    <n v="11780"/>
    <n v="15460"/>
    <n v="3680"/>
    <s v="profit"/>
  </r>
  <r>
    <x v="18"/>
    <s v="july"/>
    <s v="Elite Edge Services"/>
    <s v="Decor"/>
    <x v="2"/>
    <s v="Uttar Pradesh"/>
    <s v="Female"/>
    <n v="17"/>
    <n v="773"/>
    <n v="1266"/>
    <n v="13141"/>
    <n v="21522"/>
    <n v="8381"/>
    <s v="profit"/>
  </r>
  <r>
    <x v="64"/>
    <s v="june"/>
    <s v="Infinite Solutions"/>
    <s v="Fashion "/>
    <x v="6"/>
    <s v="Maharashtra"/>
    <s v="Female"/>
    <n v="75"/>
    <n v="859"/>
    <n v="1486"/>
    <n v="64425"/>
    <n v="111450"/>
    <n v="47025"/>
    <s v="profit"/>
  </r>
  <r>
    <x v="19"/>
    <s v="august"/>
    <s v="Modern Harmony Products"/>
    <s v="Decor"/>
    <x v="2"/>
    <s v="Maharashtra"/>
    <s v="Female"/>
    <n v="11"/>
    <n v="830"/>
    <n v="1386"/>
    <n v="9130"/>
    <n v="15246"/>
    <n v="6116"/>
    <s v="profit"/>
  </r>
  <r>
    <x v="20"/>
    <s v="august"/>
    <s v="Horizon Builders &amp; Developers"/>
    <s v="Decor"/>
    <x v="2"/>
    <s v="Rajasthan"/>
    <s v="Female"/>
    <n v="11"/>
    <n v="930"/>
    <n v="876"/>
    <n v="10230"/>
    <n v="9636"/>
    <n v="-594"/>
    <s v="loss"/>
  </r>
  <r>
    <x v="21"/>
    <s v="august"/>
    <s v="Legacy Apparel"/>
    <s v="Decor"/>
    <x v="2"/>
    <s v="Uttar Pradesh"/>
    <s v="Female"/>
    <n v="19"/>
    <n v="654"/>
    <n v="1295"/>
    <n v="12426"/>
    <n v="24605"/>
    <n v="12179"/>
    <s v="profit"/>
  </r>
  <r>
    <x v="23"/>
    <s v="august"/>
    <s v="Pinnacle Education Group"/>
    <s v="Decor"/>
    <x v="2"/>
    <s v="Uttar Pradesh"/>
    <s v="Female"/>
    <n v="18"/>
    <n v="767"/>
    <n v="988"/>
    <n v="13806"/>
    <n v="17784"/>
    <n v="3978"/>
    <s v="profit"/>
  </r>
  <r>
    <x v="25"/>
    <s v="august"/>
    <s v="Noble Innovations"/>
    <s v="Decor"/>
    <x v="2"/>
    <s v="Maharashtra"/>
    <s v="Male"/>
    <n v="12"/>
    <n v="654"/>
    <n v="788"/>
    <n v="7848"/>
    <n v="9456"/>
    <n v="1608"/>
    <s v="profit"/>
  </r>
  <r>
    <x v="26"/>
    <s v="august"/>
    <s v="Crystal Clear Realty"/>
    <s v="Decor"/>
    <x v="2"/>
    <s v="Madhya Pradesh"/>
    <s v="Male"/>
    <n v="11"/>
    <n v="827"/>
    <n v="765"/>
    <n v="9097"/>
    <n v="8415"/>
    <n v="-682"/>
    <s v="loss"/>
  </r>
  <r>
    <x v="27"/>
    <s v="september"/>
    <s v="Apex Publishing House"/>
    <s v="Decor"/>
    <x v="2"/>
    <s v="Delhi"/>
    <s v="Male"/>
    <n v="12"/>
    <n v="561"/>
    <n v="1162"/>
    <n v="6732"/>
    <n v="13944"/>
    <n v="7212"/>
    <s v="profit"/>
  </r>
  <r>
    <x v="28"/>
    <s v="september"/>
    <s v="True Value Consulting"/>
    <s v="Decor"/>
    <x v="2"/>
    <s v="Maharashtra"/>
    <s v="Male"/>
    <n v="12"/>
    <n v="879"/>
    <n v="1428"/>
    <n v="10548"/>
    <n v="17136"/>
    <n v="6588"/>
    <s v="profit"/>
  </r>
  <r>
    <x v="29"/>
    <s v="september"/>
    <s v="Future Path Ventures"/>
    <s v="Decor"/>
    <x v="2"/>
    <s v="West Bengal"/>
    <s v="Male"/>
    <n v="13"/>
    <n v="523"/>
    <n v="1326"/>
    <n v="6799"/>
    <n v="17238"/>
    <n v="10439"/>
    <s v="profit"/>
  </r>
  <r>
    <x v="30"/>
    <s v="september"/>
    <s v="Stellar Tech Services"/>
    <s v="Decor"/>
    <x v="2"/>
    <s v="Tamil Nadu"/>
    <s v="Male"/>
    <n v="10"/>
    <n v="990"/>
    <n v="1030"/>
    <n v="9900"/>
    <n v="10300"/>
    <n v="400"/>
    <s v="profit"/>
  </r>
  <r>
    <x v="65"/>
    <s v="july"/>
    <s v="Synergy Solutions Group"/>
    <s v="Decor"/>
    <x v="2"/>
    <s v="Maharashtra"/>
    <s v="Female"/>
    <n v="15"/>
    <n v="910"/>
    <n v="916"/>
    <n v="13650"/>
    <n v="13740"/>
    <n v="90"/>
    <s v="profit"/>
  </r>
  <r>
    <x v="31"/>
    <s v="september"/>
    <s v="Legacy Travel Agency"/>
    <s v="Decor"/>
    <x v="2"/>
    <s v="Karnataka"/>
    <s v="Female"/>
    <n v="12"/>
    <n v="707"/>
    <n v="1203"/>
    <n v="8484"/>
    <n v="14436"/>
    <n v="5952"/>
    <s v="profit"/>
  </r>
  <r>
    <x v="32"/>
    <s v="september"/>
    <s v="Harmony Innovations"/>
    <s v="Decor"/>
    <x v="2"/>
    <s v="Telangana"/>
    <s v="Female"/>
    <n v="13"/>
    <n v="515"/>
    <n v="1095"/>
    <n v="6695"/>
    <n v="14235"/>
    <n v="7540"/>
    <s v="profit"/>
  </r>
  <r>
    <x v="33"/>
    <s v="september"/>
    <s v="Elite Media Group"/>
    <s v="Decor"/>
    <x v="2"/>
    <s v="Maharashtra"/>
    <s v="Female"/>
    <n v="12"/>
    <n v="671"/>
    <n v="850"/>
    <n v="8052"/>
    <n v="10200"/>
    <n v="2148"/>
    <s v="profit"/>
  </r>
  <r>
    <x v="34"/>
    <s v="september"/>
    <s v="Radiant Construction"/>
    <s v="Decor"/>
    <x v="2"/>
    <s v="Rajasthan"/>
    <s v="Female"/>
    <n v="12"/>
    <n v="500"/>
    <n v="1276"/>
    <n v="6000"/>
    <n v="15312"/>
    <n v="9312"/>
    <s v="profit"/>
  </r>
  <r>
    <x v="35"/>
    <s v="september"/>
    <s v="Pinnacle Finance"/>
    <s v="Decor"/>
    <x v="2"/>
    <s v="Gujarat"/>
    <s v="Female"/>
    <n v="18"/>
    <n v="602"/>
    <n v="1401"/>
    <n v="10836"/>
    <n v="25218"/>
    <n v="14382"/>
    <s v="profit"/>
  </r>
  <r>
    <x v="36"/>
    <s v="september"/>
    <s v="Horizon Tech Ventures"/>
    <s v="Decor"/>
    <x v="2"/>
    <s v="Uttar Pradesh"/>
    <s v="Female"/>
    <n v="18"/>
    <n v="629"/>
    <n v="945"/>
    <n v="11322"/>
    <n v="17010"/>
    <n v="5688"/>
    <s v="profit"/>
  </r>
  <r>
    <x v="37"/>
    <s v="september"/>
    <s v="Elite Edge Consulting"/>
    <s v="Decor"/>
    <x v="0"/>
    <s v="Gujarat"/>
    <s v="Male"/>
    <n v="17"/>
    <n v="565"/>
    <n v="1281"/>
    <n v="9605"/>
    <n v="21777"/>
    <n v="12172"/>
    <s v="profit"/>
  </r>
  <r>
    <x v="38"/>
    <s v="september"/>
    <s v="Harmony Tech Ventures"/>
    <s v="Decor"/>
    <x v="0"/>
    <s v="Uttar Pradesh"/>
    <s v="Female"/>
    <n v="10"/>
    <n v="917"/>
    <n v="1107"/>
    <n v="9170"/>
    <n v="11070"/>
    <n v="1900"/>
    <s v="profit"/>
  </r>
  <r>
    <x v="39"/>
    <s v="october"/>
    <s v="Radiant Fitness Studio"/>
    <s v="Decor"/>
    <x v="0"/>
    <s v="Tamil Nadu"/>
    <s v="Female"/>
    <n v="18"/>
    <n v="867"/>
    <n v="875"/>
    <n v="15606"/>
    <n v="15750"/>
    <n v="144"/>
    <s v="profit"/>
  </r>
  <r>
    <x v="40"/>
    <s v="october"/>
    <s v="Zenith Finance Co."/>
    <s v="Decor"/>
    <x v="0"/>
    <s v="Rajasthan"/>
    <s v="Female"/>
    <n v="10"/>
    <n v="757"/>
    <n v="885"/>
    <n v="7570"/>
    <n v="8850"/>
    <n v="1280"/>
    <s v="profit"/>
  </r>
  <r>
    <x v="41"/>
    <s v="october"/>
    <s v="Apex Events Management"/>
    <s v="Decor"/>
    <x v="0"/>
    <s v="Uttar Pradesh"/>
    <s v="Female"/>
    <n v="18"/>
    <n v="668"/>
    <n v="1366"/>
    <n v="12024"/>
    <n v="24588"/>
    <n v="12564"/>
    <s v="profit"/>
  </r>
  <r>
    <x v="42"/>
    <s v="october"/>
    <s v="Stellar Media Group"/>
    <s v="Decor"/>
    <x v="2"/>
    <s v="Jharkhand"/>
    <s v="Male"/>
    <n v="20"/>
    <n v="882"/>
    <n v="1193"/>
    <n v="17640"/>
    <n v="23860"/>
    <n v="6220"/>
    <s v="profit"/>
  </r>
  <r>
    <x v="66"/>
    <s v="july"/>
    <s v="Horizon Tech Solutions"/>
    <s v="Electronic"/>
    <x v="7"/>
    <s v="Uttar Pradesh"/>
    <s v="Female"/>
    <n v="26"/>
    <n v="627"/>
    <n v="1416"/>
    <n v="16302"/>
    <n v="36816"/>
    <n v="20514"/>
    <s v="profit"/>
  </r>
  <r>
    <x v="43"/>
    <s v="october"/>
    <s v="Harmony Finance Co."/>
    <s v="Decor"/>
    <x v="2"/>
    <s v="West Bengal"/>
    <s v="Male"/>
    <n v="17"/>
    <n v="739"/>
    <n v="826"/>
    <n v="12563"/>
    <n v="14042"/>
    <n v="1479"/>
    <s v="profit"/>
  </r>
  <r>
    <x v="44"/>
    <s v="october"/>
    <s v="Pure Vision Ventures"/>
    <s v="Decor"/>
    <x v="2"/>
    <s v="Karnataka"/>
    <s v="Male"/>
    <n v="15"/>
    <n v="563"/>
    <n v="1069"/>
    <n v="8445"/>
    <n v="16035"/>
    <n v="7590"/>
    <s v="profit"/>
  </r>
  <r>
    <x v="45"/>
    <s v="october"/>
    <s v="Legacy Travel Services"/>
    <s v="Decor"/>
    <x v="2"/>
    <s v="Gujarat"/>
    <s v="Female"/>
    <n v="15"/>
    <n v="662"/>
    <n v="1183"/>
    <n v="9930"/>
    <n v="17745"/>
    <n v="7815"/>
    <s v="profit"/>
  </r>
  <r>
    <x v="46"/>
    <s v="october"/>
    <s v="Elite Spectrum Media"/>
    <s v="Decor"/>
    <x v="2"/>
    <s v="Uttar Pradesh"/>
    <s v="Female"/>
    <n v="16"/>
    <n v="846"/>
    <n v="1375"/>
    <n v="13536"/>
    <n v="22000"/>
    <n v="8464"/>
    <s v="profit"/>
  </r>
  <r>
    <x v="47"/>
    <s v="october"/>
    <s v="Pinnacle Design Studio"/>
    <s v="Decor"/>
    <x v="2"/>
    <s v="Tamil Nadu"/>
    <s v="Female"/>
    <n v="14"/>
    <n v="777"/>
    <n v="1192"/>
    <n v="10878"/>
    <n v="16688"/>
    <n v="5810"/>
    <s v="profit"/>
  </r>
  <r>
    <x v="48"/>
    <s v="january"/>
    <s v="Legacy Travel Ventures"/>
    <s v="Decor"/>
    <x v="0"/>
    <s v="West Bengal"/>
    <s v="Female"/>
    <n v="16"/>
    <n v="632"/>
    <n v="835"/>
    <n v="10112"/>
    <n v="13360"/>
    <n v="3248"/>
    <s v="profit"/>
  </r>
  <r>
    <x v="50"/>
    <s v="january"/>
    <s v="Stellar Design Group"/>
    <s v="Decor"/>
    <x v="0"/>
    <s v="Delhi"/>
    <s v="Female"/>
    <n v="11"/>
    <n v="731"/>
    <n v="1311"/>
    <n v="8041"/>
    <n v="14421"/>
    <n v="6380"/>
    <s v="profit"/>
  </r>
  <r>
    <x v="51"/>
    <s v="january"/>
    <s v="Horizon Ventures Co."/>
    <s v="Decor"/>
    <x v="0"/>
    <s v="Punjab"/>
    <s v="Female"/>
    <n v="10"/>
    <n v="774"/>
    <n v="1472"/>
    <n v="7740"/>
    <n v="14720"/>
    <n v="6980"/>
    <s v="profit"/>
  </r>
  <r>
    <x v="52"/>
    <s v="january"/>
    <s v="Zenith Wellness Services"/>
    <s v="Decor"/>
    <x v="0"/>
    <s v="West Bengal"/>
    <s v="Male"/>
    <n v="11"/>
    <n v="986"/>
    <n v="1228"/>
    <n v="10846"/>
    <n v="13508"/>
    <n v="2662"/>
    <s v="profit"/>
  </r>
  <r>
    <x v="53"/>
    <s v="january"/>
    <s v="Legacy Travel Co."/>
    <s v="Decor"/>
    <x v="2"/>
    <s v="Assam"/>
    <s v="Female"/>
    <n v="11"/>
    <n v="519"/>
    <n v="1143"/>
    <n v="5709"/>
    <n v="12573"/>
    <n v="6864"/>
    <s v="profit"/>
  </r>
  <r>
    <x v="54"/>
    <s v="january"/>
    <s v="Pinnacle Innovations Group"/>
    <s v="Decor"/>
    <x v="2"/>
    <s v="Punjab"/>
    <s v="Female"/>
    <n v="20"/>
    <n v="597"/>
    <n v="1175"/>
    <n v="11940"/>
    <n v="23500"/>
    <n v="11560"/>
    <s v="profit"/>
  </r>
  <r>
    <x v="55"/>
    <s v="january"/>
    <s v="Stellar Health Services"/>
    <s v="Decor"/>
    <x v="2"/>
    <s v="Chhattisgarh"/>
    <s v="Female"/>
    <n v="18"/>
    <n v="632"/>
    <n v="1384"/>
    <n v="11376"/>
    <n v="24912"/>
    <n v="13536"/>
    <s v="profit"/>
  </r>
  <r>
    <x v="56"/>
    <s v="january"/>
    <s v="Radiance Design Co."/>
    <s v="Decor"/>
    <x v="2"/>
    <s v="West Bengal"/>
    <s v="Female"/>
    <n v="17"/>
    <n v="649"/>
    <n v="1392"/>
    <n v="11033"/>
    <n v="23664"/>
    <n v="12631"/>
    <s v="profit"/>
  </r>
  <r>
    <x v="57"/>
    <s v="january"/>
    <s v="Harmony Consulting Group"/>
    <s v="Decor"/>
    <x v="2"/>
    <s v="West Bengal"/>
    <s v="Female"/>
    <n v="18"/>
    <n v="587"/>
    <n v="905"/>
    <n v="10566"/>
    <n v="16290"/>
    <n v="5724"/>
    <s v="profit"/>
  </r>
  <r>
    <x v="59"/>
    <s v="january"/>
    <s v="Apex Educational Group"/>
    <s v="Decor"/>
    <x v="2"/>
    <s v="Jharkhand"/>
    <s v="Male"/>
    <n v="19"/>
    <n v="701"/>
    <n v="1136"/>
    <n v="13319"/>
    <n v="21584"/>
    <n v="8265"/>
    <s v="profit"/>
  </r>
  <r>
    <x v="60"/>
    <s v="january"/>
    <s v="Modern Wellness Co."/>
    <s v="Decor"/>
    <x v="2"/>
    <s v="West Bengal"/>
    <s v="Male"/>
    <n v="19"/>
    <n v="972"/>
    <n v="1314"/>
    <n v="18468"/>
    <n v="24966"/>
    <n v="6498"/>
    <s v="profit"/>
  </r>
  <r>
    <x v="61"/>
    <s v="january"/>
    <s v="Pure Spectrum Innovations"/>
    <s v="Decor"/>
    <x v="2"/>
    <s v="Uttar Pradesh"/>
    <s v="Male"/>
    <n v="13"/>
    <n v="615"/>
    <n v="1010"/>
    <n v="7995"/>
    <n v="13130"/>
    <n v="5135"/>
    <s v="profit"/>
  </r>
  <r>
    <x v="62"/>
    <s v="january"/>
    <s v="Pinnacle Travel Co."/>
    <s v="Decor"/>
    <x v="2"/>
    <s v="Kerala"/>
    <s v="Male"/>
    <n v="19"/>
    <n v="864"/>
    <n v="1147"/>
    <n v="16416"/>
    <n v="21793"/>
    <n v="5377"/>
    <s v="profit"/>
  </r>
  <r>
    <x v="67"/>
    <s v="august"/>
    <s v="Apex Wellness Solutions"/>
    <s v="Fashion "/>
    <x v="8"/>
    <s v="Karnataka"/>
    <s v="Male"/>
    <n v="86"/>
    <n v="540"/>
    <n v="1460"/>
    <n v="46440"/>
    <n v="125560"/>
    <n v="79120"/>
    <s v="profit"/>
  </r>
  <r>
    <x v="0"/>
    <s v="june"/>
    <s v="Horizon Wellness"/>
    <s v="Decor"/>
    <x v="0"/>
    <s v="Assam"/>
    <s v="Female"/>
    <n v="13"/>
    <n v="643"/>
    <n v="1432"/>
    <n v="8359"/>
    <n v="18616"/>
    <n v="10257"/>
    <s v="profit"/>
  </r>
  <r>
    <x v="1"/>
    <s v="june"/>
    <s v="True Value Electronics"/>
    <s v="Decor"/>
    <x v="0"/>
    <s v="Punjab"/>
    <s v="Female"/>
    <n v="16"/>
    <n v="848"/>
    <n v="1211"/>
    <n v="13568"/>
    <n v="19376"/>
    <n v="5808"/>
    <s v="profit"/>
  </r>
  <r>
    <x v="2"/>
    <s v="june"/>
    <s v="Harmony Homes Realty"/>
    <s v="Decor"/>
    <x v="0"/>
    <s v="Chhattisgarh"/>
    <s v="Female"/>
    <n v="19"/>
    <n v="982"/>
    <n v="1457"/>
    <n v="18658"/>
    <n v="27683"/>
    <n v="9025"/>
    <s v="profit"/>
  </r>
  <r>
    <x v="3"/>
    <s v="june"/>
    <s v="Stellar Advertising"/>
    <s v="Decor"/>
    <x v="0"/>
    <s v="West Bengal"/>
    <s v="Female"/>
    <n v="19"/>
    <n v="918"/>
    <n v="864"/>
    <n v="17442"/>
    <n v="16416"/>
    <n v="-1026"/>
    <s v="loss"/>
  </r>
  <r>
    <x v="68"/>
    <s v="august"/>
    <s v="Radiance Tech Solutions"/>
    <s v="Decor"/>
    <x v="2"/>
    <s v="Gujarat"/>
    <s v="Female"/>
    <n v="10"/>
    <n v="863"/>
    <n v="1386"/>
    <n v="8630"/>
    <n v="13860"/>
    <n v="5230"/>
    <s v="profit"/>
  </r>
  <r>
    <x v="4"/>
    <s v="june"/>
    <s v="Modern Trends Retail"/>
    <s v="Decor"/>
    <x v="0"/>
    <s v="Madhya Pradesh"/>
    <s v="Male"/>
    <n v="17"/>
    <n v="787"/>
    <n v="1108"/>
    <n v="13379"/>
    <n v="18836"/>
    <n v="5457"/>
    <s v="profit"/>
  </r>
  <r>
    <x v="5"/>
    <s v="june"/>
    <s v="Global Spectrum Consulting"/>
    <s v="Decor"/>
    <x v="0"/>
    <s v="Jharkhand"/>
    <s v="Male"/>
    <n v="15"/>
    <n v="545"/>
    <n v="1182"/>
    <n v="8175"/>
    <n v="17730"/>
    <n v="9555"/>
    <s v="profit"/>
  </r>
  <r>
    <x v="7"/>
    <s v="june"/>
    <s v="Radiant Vision Studios"/>
    <s v="Decor"/>
    <x v="2"/>
    <s v="Gujarat"/>
    <s v="Female"/>
    <n v="11"/>
    <n v="616"/>
    <n v="1015"/>
    <n v="6776"/>
    <n v="11165"/>
    <n v="4389"/>
    <s v="profit"/>
  </r>
  <r>
    <x v="8"/>
    <s v="june"/>
    <s v="Noble Travel Services"/>
    <s v="Decor"/>
    <x v="2"/>
    <s v="Uttar Pradesh"/>
    <s v="Female"/>
    <n v="16"/>
    <n v="911"/>
    <n v="1299"/>
    <n v="14576"/>
    <n v="20784"/>
    <n v="6208"/>
    <s v="profit"/>
  </r>
  <r>
    <x v="9"/>
    <s v="july"/>
    <s v="Bright Future Academy"/>
    <s v="Decor"/>
    <x v="2"/>
    <s v="Uttar Pradesh"/>
    <s v="Female"/>
    <n v="19"/>
    <n v="816"/>
    <n v="1285"/>
    <n v="15504"/>
    <n v="24415"/>
    <n v="8911"/>
    <s v="profit"/>
  </r>
  <r>
    <x v="10"/>
    <s v="july"/>
    <s v="Visionary Health Systems"/>
    <s v="Decor"/>
    <x v="2"/>
    <s v="Madhya Pradesh"/>
    <s v="Female"/>
    <n v="16"/>
    <n v="693"/>
    <n v="1042"/>
    <n v="11088"/>
    <n v="16672"/>
    <n v="5584"/>
    <s v="profit"/>
  </r>
  <r>
    <x v="11"/>
    <s v="july"/>
    <s v="Apex Retailers"/>
    <s v="Decor"/>
    <x v="2"/>
    <s v="Maharashtra"/>
    <s v="Female"/>
    <n v="14"/>
    <n v="965"/>
    <n v="1212"/>
    <n v="13510"/>
    <n v="16968"/>
    <n v="3458"/>
    <s v="profit"/>
  </r>
  <r>
    <x v="69"/>
    <s v="august"/>
    <s v="Apex Enterprise Solutions"/>
    <s v="Electronic"/>
    <x v="7"/>
    <s v="Andhra Pradesh"/>
    <s v="Male"/>
    <n v="26"/>
    <n v="715"/>
    <n v="840"/>
    <n v="18590"/>
    <n v="21840"/>
    <n v="3250"/>
    <s v="profit"/>
  </r>
  <r>
    <x v="13"/>
    <s v="july"/>
    <s v="Prestige Property Developers"/>
    <s v="Decor"/>
    <x v="2"/>
    <s v="Chandigarh"/>
    <s v="Female"/>
    <n v="20"/>
    <n v="960"/>
    <n v="1170"/>
    <n v="19200"/>
    <n v="23400"/>
    <n v="4200"/>
    <s v="profit"/>
  </r>
  <r>
    <x v="14"/>
    <s v="july"/>
    <s v="Classic Trends Fashion"/>
    <s v="Decor"/>
    <x v="2"/>
    <s v="Madhya Pradesh"/>
    <s v="Male"/>
    <n v="16"/>
    <n v="734"/>
    <n v="1330"/>
    <n v="11744"/>
    <n v="21280"/>
    <n v="9536"/>
    <s v="profit"/>
  </r>
  <r>
    <x v="15"/>
    <s v="july"/>
    <s v="Harmony Ventures"/>
    <s v="Decor"/>
    <x v="2"/>
    <s v="Andhra Pradesh"/>
    <s v="Male"/>
    <n v="16"/>
    <n v="673"/>
    <n v="1233"/>
    <n v="10768"/>
    <n v="19728"/>
    <n v="8960"/>
    <s v="profit"/>
  </r>
  <r>
    <x v="16"/>
    <s v="july"/>
    <s v="Stellar Realty"/>
    <s v="Decor"/>
    <x v="2"/>
    <s v="Bihar"/>
    <s v="Male"/>
    <n v="14"/>
    <n v="782"/>
    <n v="835"/>
    <n v="10948"/>
    <n v="11690"/>
    <n v="742"/>
    <s v="profit"/>
  </r>
  <r>
    <x v="17"/>
    <s v="july"/>
    <s v="Future Path Technologies"/>
    <s v="Decor"/>
    <x v="2"/>
    <s v="Gujarat"/>
    <s v="Male"/>
    <n v="19"/>
    <n v="536"/>
    <n v="927"/>
    <n v="10184"/>
    <n v="17613"/>
    <n v="7429"/>
    <s v="profit"/>
  </r>
  <r>
    <x v="70"/>
    <s v="august"/>
    <s v="Prestige Solutions"/>
    <s v="Electronic"/>
    <x v="7"/>
    <s v="Tamil Nadu"/>
    <s v="Female"/>
    <n v="23"/>
    <n v="923"/>
    <n v="897"/>
    <n v="21229"/>
    <n v="20631"/>
    <n v="-598"/>
    <s v="loss"/>
  </r>
  <r>
    <x v="18"/>
    <s v="july"/>
    <s v="Elite Edge Services"/>
    <s v="Decor"/>
    <x v="2"/>
    <s v="Uttar Pradesh"/>
    <s v="Female"/>
    <n v="11"/>
    <n v="991"/>
    <n v="803"/>
    <n v="10901"/>
    <n v="8833"/>
    <n v="-2068"/>
    <s v="loss"/>
  </r>
  <r>
    <x v="19"/>
    <s v="august"/>
    <s v="Modern Harmony Products"/>
    <s v="Decor"/>
    <x v="2"/>
    <s v="Maharashtra"/>
    <s v="Female"/>
    <n v="10"/>
    <n v="844"/>
    <n v="865"/>
    <n v="8440"/>
    <n v="8650"/>
    <n v="210"/>
    <s v="profit"/>
  </r>
  <r>
    <x v="20"/>
    <s v="august"/>
    <s v="Horizon Builders &amp; Developers"/>
    <s v="Decor"/>
    <x v="2"/>
    <s v="Rajasthan"/>
    <s v="Female"/>
    <n v="20"/>
    <n v="803"/>
    <n v="1377"/>
    <n v="16060"/>
    <n v="27540"/>
    <n v="11480"/>
    <s v="profit"/>
  </r>
  <r>
    <x v="21"/>
    <s v="august"/>
    <s v="Legacy Apparel"/>
    <s v="Decor"/>
    <x v="2"/>
    <s v="Uttar Pradesh"/>
    <s v="Female"/>
    <n v="12"/>
    <n v="606"/>
    <n v="1154"/>
    <n v="7272"/>
    <n v="13848"/>
    <n v="6576"/>
    <s v="profit"/>
  </r>
  <r>
    <x v="23"/>
    <s v="august"/>
    <s v="Pinnacle Education Group"/>
    <s v="Decor"/>
    <x v="2"/>
    <s v="Uttar Pradesh"/>
    <s v="Female"/>
    <n v="11"/>
    <n v="622"/>
    <n v="767"/>
    <n v="6842"/>
    <n v="8437"/>
    <n v="1595"/>
    <s v="profit"/>
  </r>
  <r>
    <x v="25"/>
    <s v="august"/>
    <s v="Noble Innovations"/>
    <s v="Decor"/>
    <x v="2"/>
    <s v="Maharashtra"/>
    <s v="Male"/>
    <n v="17"/>
    <n v="671"/>
    <n v="906"/>
    <n v="11407"/>
    <n v="15402"/>
    <n v="3995"/>
    <s v="profit"/>
  </r>
  <r>
    <x v="26"/>
    <s v="august"/>
    <s v="Crystal Clear Realty"/>
    <s v="Decor"/>
    <x v="2"/>
    <s v="Madhya Pradesh"/>
    <s v="Male"/>
    <n v="12"/>
    <n v="814"/>
    <n v="1392"/>
    <n v="9768"/>
    <n v="16704"/>
    <n v="6936"/>
    <s v="profit"/>
  </r>
  <r>
    <x v="27"/>
    <s v="september"/>
    <s v="Apex Publishing House"/>
    <s v="Decor"/>
    <x v="2"/>
    <s v="Delhi"/>
    <s v="Male"/>
    <n v="11"/>
    <n v="960"/>
    <n v="939"/>
    <n v="10560"/>
    <n v="10329"/>
    <n v="-231"/>
    <s v="loss"/>
  </r>
  <r>
    <x v="71"/>
    <s v="august"/>
    <s v="Urban Wave Solutions"/>
    <s v="Fashion "/>
    <x v="6"/>
    <s v="Punjab"/>
    <s v="Male"/>
    <n v="89"/>
    <n v="910"/>
    <n v="1261"/>
    <n v="80990"/>
    <n v="112229"/>
    <n v="31239"/>
    <s v="profit"/>
  </r>
  <r>
    <x v="28"/>
    <s v="september"/>
    <s v="True Value Consulting"/>
    <s v="Decor"/>
    <x v="2"/>
    <s v="Maharashtra"/>
    <s v="Male"/>
    <n v="10"/>
    <n v="654"/>
    <n v="1029"/>
    <n v="6540"/>
    <n v="10290"/>
    <n v="3750"/>
    <s v="profit"/>
  </r>
  <r>
    <x v="29"/>
    <s v="september"/>
    <s v="Future Path Ventures"/>
    <s v="Decor"/>
    <x v="2"/>
    <s v="West Bengal"/>
    <s v="Male"/>
    <n v="14"/>
    <n v="504"/>
    <n v="1130"/>
    <n v="7056"/>
    <n v="15820"/>
    <n v="8764"/>
    <s v="profit"/>
  </r>
  <r>
    <x v="30"/>
    <s v="september"/>
    <s v="Stellar Tech Services"/>
    <s v="Decor"/>
    <x v="2"/>
    <s v="Tamil Nadu"/>
    <s v="Male"/>
    <n v="12"/>
    <n v="886"/>
    <n v="1233"/>
    <n v="10632"/>
    <n v="14796"/>
    <n v="4164"/>
    <s v="profit"/>
  </r>
  <r>
    <x v="31"/>
    <s v="september"/>
    <s v="Legacy Travel Agency"/>
    <s v="Decor"/>
    <x v="2"/>
    <s v="Karnataka"/>
    <s v="Female"/>
    <n v="10"/>
    <n v="554"/>
    <n v="1210"/>
    <n v="5540"/>
    <n v="12100"/>
    <n v="6560"/>
    <s v="profit"/>
  </r>
  <r>
    <x v="72"/>
    <s v="september"/>
    <s v="Visionary Realty Solutions"/>
    <s v="Fashion "/>
    <x v="8"/>
    <s v="Jharkhand"/>
    <s v="Female"/>
    <n v="59"/>
    <n v="764"/>
    <n v="1365"/>
    <n v="45076"/>
    <n v="80535"/>
    <n v="35459"/>
    <s v="profit"/>
  </r>
  <r>
    <x v="32"/>
    <s v="september"/>
    <s v="Harmony Innovations"/>
    <s v="Decor"/>
    <x v="2"/>
    <s v="Telangana"/>
    <s v="Female"/>
    <n v="14"/>
    <n v="933"/>
    <n v="1064"/>
    <n v="13062"/>
    <n v="14896"/>
    <n v="1834"/>
    <s v="profit"/>
  </r>
  <r>
    <x v="33"/>
    <s v="september"/>
    <s v="Elite Media Group"/>
    <s v="Decor"/>
    <x v="2"/>
    <s v="Maharashtra"/>
    <s v="Female"/>
    <n v="15"/>
    <n v="674"/>
    <n v="1125"/>
    <n v="10110"/>
    <n v="16875"/>
    <n v="6765"/>
    <s v="profit"/>
  </r>
  <r>
    <x v="34"/>
    <s v="september"/>
    <s v="Radiant Construction"/>
    <s v="Decor"/>
    <x v="2"/>
    <s v="Rajasthan"/>
    <s v="Female"/>
    <n v="20"/>
    <n v="529"/>
    <n v="1455"/>
    <n v="10580"/>
    <n v="29100"/>
    <n v="18520"/>
    <s v="profit"/>
  </r>
  <r>
    <x v="35"/>
    <s v="september"/>
    <s v="Pinnacle Finance"/>
    <s v="Decor"/>
    <x v="2"/>
    <s v="Gujarat"/>
    <s v="Female"/>
    <n v="18"/>
    <n v="717"/>
    <n v="833"/>
    <n v="12906"/>
    <n v="14994"/>
    <n v="2088"/>
    <s v="profit"/>
  </r>
  <r>
    <x v="36"/>
    <s v="september"/>
    <s v="Horizon Tech Ventures"/>
    <s v="Decor"/>
    <x v="2"/>
    <s v="Uttar Pradesh"/>
    <s v="Female"/>
    <n v="17"/>
    <n v="966"/>
    <n v="1044"/>
    <n v="16422"/>
    <n v="17748"/>
    <n v="1326"/>
    <s v="profit"/>
  </r>
  <r>
    <x v="37"/>
    <s v="september"/>
    <s v="Elite Edge Consulting"/>
    <s v="Decor"/>
    <x v="0"/>
    <s v="Gujarat"/>
    <s v="Male"/>
    <n v="16"/>
    <n v="599"/>
    <n v="1490"/>
    <n v="9584"/>
    <n v="23840"/>
    <n v="14256"/>
    <s v="profit"/>
  </r>
  <r>
    <x v="38"/>
    <s v="september"/>
    <s v="Harmony Tech Ventures"/>
    <s v="Decor"/>
    <x v="0"/>
    <s v="Uttar Pradesh"/>
    <s v="Female"/>
    <n v="12"/>
    <n v="827"/>
    <n v="955"/>
    <n v="9924"/>
    <n v="11460"/>
    <n v="1536"/>
    <s v="profit"/>
  </r>
  <r>
    <x v="39"/>
    <s v="october"/>
    <s v="Radiant Fitness Studio"/>
    <s v="Decor"/>
    <x v="0"/>
    <s v="Tamil Nadu"/>
    <s v="Female"/>
    <n v="17"/>
    <n v="932"/>
    <n v="808"/>
    <n v="15844"/>
    <n v="13736"/>
    <n v="-2108"/>
    <s v="loss"/>
  </r>
  <r>
    <x v="73"/>
    <s v="september"/>
    <s v="Pure Essence Solutions"/>
    <s v="Decor"/>
    <x v="2"/>
    <s v="Gujarat"/>
    <s v="Female"/>
    <n v="14"/>
    <n v="857"/>
    <n v="767"/>
    <n v="11998"/>
    <n v="10738"/>
    <n v="-1260"/>
    <s v="loss"/>
  </r>
  <r>
    <x v="40"/>
    <s v="october"/>
    <s v="Zenith Finance Co."/>
    <s v="Decor"/>
    <x v="0"/>
    <s v="Rajasthan"/>
    <s v="Female"/>
    <n v="11"/>
    <n v="654"/>
    <n v="767"/>
    <n v="7194"/>
    <n v="8437"/>
    <n v="1243"/>
    <s v="profit"/>
  </r>
  <r>
    <x v="41"/>
    <s v="october"/>
    <s v="Apex Events Management"/>
    <s v="Decor"/>
    <x v="0"/>
    <s v="Uttar Pradesh"/>
    <s v="Female"/>
    <n v="19"/>
    <n v="764"/>
    <n v="1069"/>
    <n v="14516"/>
    <n v="20311"/>
    <n v="5795"/>
    <s v="profit"/>
  </r>
  <r>
    <x v="42"/>
    <s v="october"/>
    <s v="Stellar Media Group"/>
    <s v="Decor"/>
    <x v="2"/>
    <s v="Jharkhand"/>
    <s v="Male"/>
    <n v="15"/>
    <n v="906"/>
    <n v="1485"/>
    <n v="13590"/>
    <n v="22275"/>
    <n v="8685"/>
    <s v="profit"/>
  </r>
  <r>
    <x v="43"/>
    <s v="october"/>
    <s v="Harmony Finance Co."/>
    <s v="Decor"/>
    <x v="2"/>
    <s v="West Bengal"/>
    <s v="Male"/>
    <n v="20"/>
    <n v="780"/>
    <n v="783"/>
    <n v="15600"/>
    <n v="15660"/>
    <n v="60"/>
    <s v="profit"/>
  </r>
  <r>
    <x v="74"/>
    <s v="september"/>
    <s v="Crystal Health Solutions"/>
    <s v="Decor"/>
    <x v="2"/>
    <s v="Uttar Pradesh"/>
    <s v="Male"/>
    <n v="14"/>
    <n v="515"/>
    <n v="1230"/>
    <n v="7210"/>
    <n v="17220"/>
    <n v="10010"/>
    <s v="profit"/>
  </r>
  <r>
    <x v="44"/>
    <s v="october"/>
    <s v="Pure Vision Ventures"/>
    <s v="Decor"/>
    <x v="2"/>
    <s v="Karnataka"/>
    <s v="Male"/>
    <n v="17"/>
    <n v="747"/>
    <n v="1190"/>
    <n v="12699"/>
    <n v="20230"/>
    <n v="7531"/>
    <s v="profit"/>
  </r>
  <r>
    <x v="45"/>
    <s v="october"/>
    <s v="Legacy Travel Services"/>
    <s v="Decor"/>
    <x v="2"/>
    <s v="Gujarat"/>
    <s v="Female"/>
    <n v="15"/>
    <n v="747"/>
    <n v="966"/>
    <n v="11205"/>
    <n v="14490"/>
    <n v="3285"/>
    <s v="profit"/>
  </r>
  <r>
    <x v="46"/>
    <s v="october"/>
    <s v="Elite Spectrum Media"/>
    <s v="Decor"/>
    <x v="2"/>
    <s v="Uttar Pradesh"/>
    <s v="Female"/>
    <n v="20"/>
    <n v="844"/>
    <n v="1010"/>
    <n v="16880"/>
    <n v="20200"/>
    <n v="3320"/>
    <s v="profit"/>
  </r>
  <r>
    <x v="47"/>
    <s v="october"/>
    <s v="Pinnacle Design Studio"/>
    <s v="Decor"/>
    <x v="2"/>
    <s v="Tamil Nadu"/>
    <s v="Female"/>
    <n v="14"/>
    <n v="799"/>
    <n v="1154"/>
    <n v="11186"/>
    <n v="16156"/>
    <n v="4970"/>
    <s v="profit"/>
  </r>
  <r>
    <x v="48"/>
    <s v="january"/>
    <s v="Legacy Travel Ventures"/>
    <s v="Decor"/>
    <x v="0"/>
    <s v="West Bengal"/>
    <s v="Female"/>
    <n v="19"/>
    <n v="608"/>
    <n v="1032"/>
    <n v="11552"/>
    <n v="19608"/>
    <n v="8056"/>
    <s v="profit"/>
  </r>
  <r>
    <x v="50"/>
    <s v="january"/>
    <s v="Stellar Design Group"/>
    <s v="Decor"/>
    <x v="0"/>
    <s v="Delhi"/>
    <s v="Female"/>
    <n v="14"/>
    <n v="579"/>
    <n v="907"/>
    <n v="8106"/>
    <n v="12698"/>
    <n v="4592"/>
    <s v="profit"/>
  </r>
  <r>
    <x v="51"/>
    <s v="january"/>
    <s v="Horizon Ventures Co."/>
    <s v="Decor"/>
    <x v="0"/>
    <s v="Punjab"/>
    <s v="Female"/>
    <n v="17"/>
    <n v="825"/>
    <n v="1080"/>
    <n v="14025"/>
    <n v="18360"/>
    <n v="4335"/>
    <s v="profit"/>
  </r>
  <r>
    <x v="52"/>
    <s v="january"/>
    <s v="Zenith Wellness Services"/>
    <s v="Decor"/>
    <x v="0"/>
    <s v="West Bengal"/>
    <s v="Male"/>
    <n v="15"/>
    <n v="827"/>
    <n v="931"/>
    <n v="12405"/>
    <n v="13965"/>
    <n v="1560"/>
    <s v="profit"/>
  </r>
  <r>
    <x v="75"/>
    <s v="september"/>
    <s v="Stellar Travel Solutions"/>
    <s v="Decor"/>
    <x v="0"/>
    <s v="Uttar Pradesh"/>
    <s v="Female"/>
    <n v="15"/>
    <n v="650"/>
    <n v="1347"/>
    <n v="9750"/>
    <n v="20205"/>
    <n v="10455"/>
    <s v="profit"/>
  </r>
  <r>
    <x v="53"/>
    <s v="january"/>
    <s v="Legacy Travel Co."/>
    <s v="Decor"/>
    <x v="2"/>
    <s v="Assam"/>
    <s v="Female"/>
    <n v="20"/>
    <n v="900"/>
    <n v="1431"/>
    <n v="18000"/>
    <n v="28620"/>
    <n v="10620"/>
    <s v="profit"/>
  </r>
  <r>
    <x v="76"/>
    <s v="september"/>
    <s v="Pure Harmony Solutions"/>
    <s v="Decor"/>
    <x v="0"/>
    <s v="Tamil Nadu"/>
    <s v="Female"/>
    <n v="15"/>
    <n v="825"/>
    <n v="947"/>
    <n v="12375"/>
    <n v="14205"/>
    <n v="1830"/>
    <s v="profit"/>
  </r>
  <r>
    <x v="54"/>
    <s v="january"/>
    <s v="Pinnacle Innovations Group"/>
    <s v="Decor"/>
    <x v="2"/>
    <s v="Punjab"/>
    <s v="Female"/>
    <n v="19"/>
    <n v="791"/>
    <n v="965"/>
    <n v="15029"/>
    <n v="18335"/>
    <n v="3306"/>
    <s v="profit"/>
  </r>
  <r>
    <x v="55"/>
    <s v="january"/>
    <s v="Stellar Health Services"/>
    <s v="Decor"/>
    <x v="2"/>
    <s v="Chhattisgarh"/>
    <s v="Female"/>
    <n v="18"/>
    <n v="963"/>
    <n v="1178"/>
    <n v="17334"/>
    <n v="21204"/>
    <n v="3870"/>
    <s v="profit"/>
  </r>
  <r>
    <x v="56"/>
    <s v="january"/>
    <s v="Radiance Design Co."/>
    <s v="Decor"/>
    <x v="2"/>
    <s v="West Bengal"/>
    <s v="Female"/>
    <n v="19"/>
    <n v="763"/>
    <n v="1036"/>
    <n v="14497"/>
    <n v="19684"/>
    <n v="5187"/>
    <s v="profit"/>
  </r>
  <r>
    <x v="57"/>
    <s v="january"/>
    <s v="Harmony Consulting Group"/>
    <s v="Decor"/>
    <x v="2"/>
    <s v="West Bengal"/>
    <s v="Female"/>
    <n v="19"/>
    <n v="795"/>
    <n v="1471"/>
    <n v="15105"/>
    <n v="27949"/>
    <n v="12844"/>
    <s v="profit"/>
  </r>
  <r>
    <x v="59"/>
    <s v="january"/>
    <s v="Apex Educational Group"/>
    <s v="Decor"/>
    <x v="2"/>
    <s v="Jharkhand"/>
    <s v="Male"/>
    <n v="16"/>
    <n v="731"/>
    <n v="1296"/>
    <n v="11696"/>
    <n v="20736"/>
    <n v="9040"/>
    <s v="profit"/>
  </r>
  <r>
    <x v="77"/>
    <s v="october"/>
    <s v="Modern Spectrum Solutions"/>
    <s v="Fashion "/>
    <x v="6"/>
    <s v="Maharashtra"/>
    <s v="Female"/>
    <n v="92"/>
    <n v="923"/>
    <n v="1151"/>
    <n v="84916"/>
    <n v="105892"/>
    <n v="20976"/>
    <s v="profit"/>
  </r>
  <r>
    <x v="60"/>
    <s v="january"/>
    <s v="Modern Wellness Co."/>
    <s v="Decor"/>
    <x v="2"/>
    <s v="West Bengal"/>
    <s v="Male"/>
    <n v="12"/>
    <n v="927"/>
    <n v="1162"/>
    <n v="11124"/>
    <n v="13944"/>
    <n v="2820"/>
    <s v="profit"/>
  </r>
  <r>
    <x v="61"/>
    <s v="january"/>
    <s v="Pure Spectrum Innovations"/>
    <s v="Decor"/>
    <x v="2"/>
    <s v="Uttar Pradesh"/>
    <s v="Male"/>
    <n v="13"/>
    <n v="528"/>
    <n v="1175"/>
    <n v="6864"/>
    <n v="15275"/>
    <n v="8411"/>
    <s v="profit"/>
  </r>
  <r>
    <x v="62"/>
    <s v="january"/>
    <s v="Pinnacle Travel Co."/>
    <s v="Decor"/>
    <x v="2"/>
    <s v="Kerala"/>
    <s v="Male"/>
    <n v="16"/>
    <n v="998"/>
    <n v="835"/>
    <n v="15968"/>
    <n v="13360"/>
    <n v="-2608"/>
    <s v="loss"/>
  </r>
  <r>
    <x v="78"/>
    <s v="april"/>
    <s v="Bharat Innovations"/>
    <s v="Electronic"/>
    <x v="3"/>
    <s v="Delhi"/>
    <s v="Male"/>
    <n v="29"/>
    <n v="924"/>
    <n v="1101"/>
    <n v="26796"/>
    <n v="31929"/>
    <n v="5133"/>
    <s v="profit"/>
  </r>
  <r>
    <x v="79"/>
    <s v="april"/>
    <s v="Green Leaf Enterprises"/>
    <s v="Electronic"/>
    <x v="9"/>
    <s v="Maharashtra"/>
    <s v="Male"/>
    <n v="30"/>
    <n v="817"/>
    <n v="1334"/>
    <n v="24510"/>
    <n v="40020"/>
    <n v="15510"/>
    <s v="profit"/>
  </r>
  <r>
    <x v="80"/>
    <s v="april"/>
    <s v="Urban Pulse Technologies"/>
    <s v="Electronic"/>
    <x v="9"/>
    <s v="West Bengal"/>
    <s v="Male"/>
    <n v="23"/>
    <n v="753"/>
    <n v="987"/>
    <n v="17319"/>
    <n v="22701"/>
    <n v="5382"/>
    <s v="profit"/>
  </r>
  <r>
    <x v="81"/>
    <s v="october"/>
    <s v="Apex Creative Solutions"/>
    <s v="Fashion "/>
    <x v="8"/>
    <s v="West Bengal"/>
    <s v="Male"/>
    <n v="57"/>
    <n v="927"/>
    <n v="1477"/>
    <n v="52839"/>
    <n v="84189"/>
    <n v="31350"/>
    <s v="profit"/>
  </r>
  <r>
    <x v="82"/>
    <s v="april"/>
    <s v="Mystic India Exports"/>
    <s v="Electronic"/>
    <x v="9"/>
    <s v="Tamil Nadu"/>
    <s v="Male"/>
    <n v="26"/>
    <n v="809"/>
    <n v="800"/>
    <n v="21034"/>
    <n v="20800"/>
    <n v="-234"/>
    <s v="loss"/>
  </r>
  <r>
    <x v="83"/>
    <s v="april"/>
    <s v="Pure Essence Skincare"/>
    <s v="Electronic"/>
    <x v="3"/>
    <s v="Rajasthan"/>
    <s v="Female"/>
    <n v="23"/>
    <n v="852"/>
    <n v="1480"/>
    <n v="19596"/>
    <n v="34040"/>
    <n v="14444"/>
    <s v="profit"/>
  </r>
  <r>
    <x v="84"/>
    <s v="april"/>
    <s v="Zenith Construction Co."/>
    <s v="Electronic"/>
    <x v="3"/>
    <s v="Gujarat"/>
    <s v="Female"/>
    <n v="24"/>
    <n v="903"/>
    <n v="1338"/>
    <n v="21672"/>
    <n v="32112"/>
    <n v="10440"/>
    <s v="profit"/>
  </r>
  <r>
    <x v="85"/>
    <s v="april"/>
    <s v="Radiant Health Systems"/>
    <s v="Electronic"/>
    <x v="3"/>
    <s v="Uttar Pradesh"/>
    <s v="Female"/>
    <n v="21"/>
    <n v="829"/>
    <n v="950"/>
    <n v="17409"/>
    <n v="19950"/>
    <n v="2541"/>
    <s v="profit"/>
  </r>
  <r>
    <x v="86"/>
    <s v="october"/>
    <s v="Radiance Solutions Group"/>
    <s v="Decor"/>
    <x v="2"/>
    <s v="Bihar"/>
    <s v="Female"/>
    <n v="16"/>
    <n v="584"/>
    <n v="1278"/>
    <n v="9344"/>
    <n v="20448"/>
    <n v="11104"/>
    <s v="profit"/>
  </r>
  <r>
    <x v="87"/>
    <s v="april"/>
    <s v="Divine Creations"/>
    <s v="Electronic"/>
    <x v="3"/>
    <s v="Uttar Pradesh"/>
    <s v="Female"/>
    <n v="20"/>
    <n v="557"/>
    <n v="1002"/>
    <n v="11140"/>
    <n v="20040"/>
    <n v="8900"/>
    <s v="profit"/>
  </r>
  <r>
    <x v="88"/>
    <s v="april"/>
    <s v="True Path Logistics"/>
    <s v="Electronic"/>
    <x v="3"/>
    <s v="Madhya Pradesh"/>
    <s v="Female"/>
    <n v="20"/>
    <n v="648"/>
    <n v="1106"/>
    <n v="12960"/>
    <n v="22120"/>
    <n v="9160"/>
    <s v="profit"/>
  </r>
  <r>
    <x v="89"/>
    <s v="october"/>
    <s v="Modern Edge Solutions"/>
    <s v="Decor"/>
    <x v="2"/>
    <s v="Uttar Pradesh"/>
    <s v="Female"/>
    <n v="19"/>
    <n v="589"/>
    <n v="1100"/>
    <n v="11191"/>
    <n v="20900"/>
    <n v="9709"/>
    <s v="profit"/>
  </r>
  <r>
    <x v="90"/>
    <s v="april"/>
    <s v="Prestige Automobiles"/>
    <s v="Electronic"/>
    <x v="4"/>
    <s v="Uttar Pradesh"/>
    <s v="Male"/>
    <n v="26"/>
    <n v="942"/>
    <n v="1143"/>
    <n v="24492"/>
    <n v="29718"/>
    <n v="5226"/>
    <s v="profit"/>
  </r>
  <r>
    <x v="91"/>
    <s v="october"/>
    <s v="Horizon Health Solutions"/>
    <s v="Electronic"/>
    <x v="3"/>
    <s v="Tamil Nadu"/>
    <s v="Female"/>
    <n v="30"/>
    <n v="869"/>
    <n v="1033"/>
    <n v="26070"/>
    <n v="30990"/>
    <n v="4920"/>
    <s v="profit"/>
  </r>
  <r>
    <x v="92"/>
    <s v="april"/>
    <s v="Natural Bliss Beverages"/>
    <s v="Electronic"/>
    <x v="4"/>
    <s v="Tamil Nadu"/>
    <s v="Male"/>
    <n v="20"/>
    <n v="606"/>
    <n v="806"/>
    <n v="12120"/>
    <n v="16120"/>
    <n v="4000"/>
    <s v="profit"/>
  </r>
  <r>
    <x v="93"/>
    <s v="october"/>
    <s v="Apex Marketing Solutions"/>
    <s v="Electronic"/>
    <x v="9"/>
    <s v="Uttar Pradesh"/>
    <s v="Male"/>
    <n v="20"/>
    <n v="979"/>
    <n v="1471"/>
    <n v="19580"/>
    <n v="29420"/>
    <n v="9840"/>
    <s v="profit"/>
  </r>
  <r>
    <x v="94"/>
    <s v="april"/>
    <s v="Modern Trends Fashion"/>
    <s v="Electronic"/>
    <x v="4"/>
    <s v="Uttar Pradesh"/>
    <s v="Female"/>
    <n v="22"/>
    <n v="822"/>
    <n v="1153"/>
    <n v="18084"/>
    <n v="25366"/>
    <n v="7282"/>
    <s v="profit"/>
  </r>
  <r>
    <x v="95"/>
    <s v="april"/>
    <s v="Heritage Crafts"/>
    <s v="Electronic"/>
    <x v="4"/>
    <s v="Jharkhand"/>
    <s v="Female"/>
    <n v="26"/>
    <n v="505"/>
    <n v="1337"/>
    <n v="13130"/>
    <n v="34762"/>
    <n v="21632"/>
    <s v="profit"/>
  </r>
  <r>
    <x v="96"/>
    <s v="april"/>
    <s v="Future Insights Analytics"/>
    <s v="Electronic"/>
    <x v="4"/>
    <s v="Kerala"/>
    <s v="Female"/>
    <n v="23"/>
    <n v="649"/>
    <n v="1210"/>
    <n v="14927"/>
    <n v="27830"/>
    <n v="12903"/>
    <s v="profit"/>
  </r>
  <r>
    <x v="97"/>
    <s v="april"/>
    <s v="Emerald Estate Developers"/>
    <s v="Electronic"/>
    <x v="4"/>
    <s v="Maharashtra"/>
    <s v="Female"/>
    <n v="26"/>
    <n v="647"/>
    <n v="1025"/>
    <n v="16822"/>
    <n v="26650"/>
    <n v="9828"/>
    <s v="profit"/>
  </r>
  <r>
    <x v="98"/>
    <s v="april"/>
    <s v="Starlight Media Group"/>
    <s v="Electronic"/>
    <x v="4"/>
    <s v="Himachal Pradesh"/>
    <s v="Female"/>
    <n v="30"/>
    <n v="843"/>
    <n v="953"/>
    <n v="25290"/>
    <n v="28590"/>
    <n v="3300"/>
    <s v="profit"/>
  </r>
  <r>
    <x v="99"/>
    <s v="may"/>
    <s v="Supreme Electronics"/>
    <s v="Electronic"/>
    <x v="4"/>
    <s v="Uttarakhand"/>
    <s v="Female"/>
    <n v="21"/>
    <n v="571"/>
    <n v="900"/>
    <n v="11991"/>
    <n v="18900"/>
    <n v="6909"/>
    <s v="profit"/>
  </r>
  <r>
    <x v="100"/>
    <s v="may"/>
    <s v="Optimum Wellness"/>
    <s v="Electronic"/>
    <x v="4"/>
    <s v="Assam"/>
    <s v="Male"/>
    <n v="25"/>
    <n v="909"/>
    <n v="970"/>
    <n v="22725"/>
    <n v="24250"/>
    <n v="1525"/>
    <s v="profit"/>
  </r>
  <r>
    <x v="101"/>
    <s v="may"/>
    <s v="Zenith Books Publishing"/>
    <s v="Electronic"/>
    <x v="4"/>
    <s v="Punjab"/>
    <s v="Male"/>
    <n v="24"/>
    <n v="584"/>
    <n v="1158"/>
    <n v="14016"/>
    <n v="27792"/>
    <n v="13776"/>
    <s v="profit"/>
  </r>
  <r>
    <x v="102"/>
    <s v="may"/>
    <s v="Pinnacle Innovations"/>
    <s v="Electronic"/>
    <x v="4"/>
    <s v="Chhattisgarh"/>
    <s v="Male"/>
    <n v="28"/>
    <n v="787"/>
    <n v="1452"/>
    <n v="22036"/>
    <n v="40656"/>
    <n v="18620"/>
    <s v="profit"/>
  </r>
  <r>
    <x v="103"/>
    <s v="may"/>
    <s v="Apex Travel Services"/>
    <s v="Electronic"/>
    <x v="4"/>
    <s v="West Bengal"/>
    <s v="Male"/>
    <n v="23"/>
    <n v="768"/>
    <n v="1102"/>
    <n v="17664"/>
    <n v="25346"/>
    <n v="7682"/>
    <s v="profit"/>
  </r>
  <r>
    <x v="104"/>
    <s v="may"/>
    <s v="Golden Era Realty"/>
    <s v="Electronic"/>
    <x v="4"/>
    <s v="West Bengal"/>
    <s v="Female"/>
    <n v="23"/>
    <n v="584"/>
    <n v="1168"/>
    <n v="13432"/>
    <n v="26864"/>
    <n v="13432"/>
    <s v="profit"/>
  </r>
  <r>
    <x v="105"/>
    <s v="november"/>
    <s v="Radiance Solutions Co."/>
    <s v="Fashion "/>
    <x v="10"/>
    <s v="Jharkhand"/>
    <s v="Female"/>
    <n v="57"/>
    <n v="541"/>
    <n v="819"/>
    <n v="30837"/>
    <n v="46683"/>
    <n v="15846"/>
    <s v="profit"/>
  </r>
  <r>
    <x v="106"/>
    <s v="may"/>
    <s v="Radiant Jewelry"/>
    <s v="Electronic"/>
    <x v="7"/>
    <s v="Madhya Pradesh"/>
    <s v="Female"/>
    <n v="20"/>
    <n v="778"/>
    <n v="1096"/>
    <n v="15560"/>
    <n v="21920"/>
    <n v="6360"/>
    <s v="profit"/>
  </r>
  <r>
    <x v="107"/>
    <s v="may"/>
    <s v="Infinity Ventures"/>
    <s v="Electronic"/>
    <x v="7"/>
    <s v="Jharkhand"/>
    <s v="Female"/>
    <n v="26"/>
    <n v="595"/>
    <n v="914"/>
    <n v="15470"/>
    <n v="23764"/>
    <n v="8294"/>
    <s v="profit"/>
  </r>
  <r>
    <x v="108"/>
    <s v="november"/>
    <s v="Horizon Creative Solutions"/>
    <s v="Fashion "/>
    <x v="10"/>
    <s v="Delhi"/>
    <s v="Female"/>
    <n v="70"/>
    <n v="871"/>
    <n v="862"/>
    <n v="60970"/>
    <n v="60340"/>
    <n v="-630"/>
    <s v="loss"/>
  </r>
  <r>
    <x v="109"/>
    <s v="may"/>
    <s v="Royal Taste Foods"/>
    <s v="Electronic"/>
    <x v="7"/>
    <s v="West Bengal"/>
    <s v="Female"/>
    <n v="27"/>
    <n v="722"/>
    <n v="1497"/>
    <n v="19494"/>
    <n v="40419"/>
    <n v="20925"/>
    <s v="profit"/>
  </r>
  <r>
    <x v="110"/>
    <s v="may"/>
    <s v="Harmony Homes"/>
    <s v="Electronic"/>
    <x v="7"/>
    <s v="Karnataka"/>
    <s v="Female"/>
    <n v="25"/>
    <n v="982"/>
    <n v="1395"/>
    <n v="24550"/>
    <n v="34875"/>
    <n v="10325"/>
    <s v="profit"/>
  </r>
  <r>
    <x v="111"/>
    <s v="may"/>
    <s v="Urban Edge Consulting"/>
    <s v="Electronic"/>
    <x v="7"/>
    <s v="Delhi"/>
    <s v="Female"/>
    <n v="25"/>
    <n v="982"/>
    <n v="1389"/>
    <n v="24550"/>
    <n v="34725"/>
    <n v="10175"/>
    <s v="profit"/>
  </r>
  <r>
    <x v="112"/>
    <s v="may"/>
    <s v="Prime Tech Innovations"/>
    <s v="Electronic"/>
    <x v="7"/>
    <s v="Maharashtra"/>
    <s v="Female"/>
    <n v="25"/>
    <n v="810"/>
    <n v="1086"/>
    <n v="20250"/>
    <n v="27150"/>
    <n v="6900"/>
    <s v="profit"/>
  </r>
  <r>
    <x v="113"/>
    <s v="november"/>
    <s v="Urban Spectrum Solutions"/>
    <s v="Electronic"/>
    <x v="4"/>
    <s v="Telangana"/>
    <s v="Male"/>
    <n v="20"/>
    <n v="773"/>
    <n v="823"/>
    <n v="15460"/>
    <n v="16460"/>
    <n v="1000"/>
    <s v="profit"/>
  </r>
  <r>
    <x v="114"/>
    <s v="may"/>
    <s v="Legacy Designs"/>
    <s v="Electronic"/>
    <x v="7"/>
    <s v="West Bengal"/>
    <s v="Female"/>
    <n v="26"/>
    <n v="781"/>
    <n v="1019"/>
    <n v="20306"/>
    <n v="26494"/>
    <n v="6188"/>
    <s v="profit"/>
  </r>
  <r>
    <x v="115"/>
    <s v="may"/>
    <s v="Virtue Enterprises"/>
    <s v="Electronic"/>
    <x v="7"/>
    <s v="Tamil Nadu"/>
    <s v="Female"/>
    <n v="26"/>
    <n v="630"/>
    <n v="767"/>
    <n v="16380"/>
    <n v="19942"/>
    <n v="3562"/>
    <s v="profit"/>
  </r>
  <r>
    <x v="116"/>
    <s v="may"/>
    <s v="Radiant Health Club"/>
    <s v="Electronic"/>
    <x v="7"/>
    <s v="Karnataka"/>
    <s v="Female"/>
    <n v="23"/>
    <n v="972"/>
    <n v="782"/>
    <n v="22356"/>
    <n v="17986"/>
    <n v="-4370"/>
    <s v="loss"/>
  </r>
  <r>
    <x v="117"/>
    <s v="november"/>
    <s v="Legacy Wellness Solutions"/>
    <s v="Electronic"/>
    <x v="4"/>
    <s v="Gujarat"/>
    <s v="Female"/>
    <n v="23"/>
    <n v="906"/>
    <n v="1275"/>
    <n v="20838"/>
    <n v="29325"/>
    <n v="8487"/>
    <s v="profit"/>
  </r>
  <r>
    <x v="118"/>
    <s v="may"/>
    <s v="Bright Horizon Ventures"/>
    <s v="Electronic"/>
    <x v="7"/>
    <s v="Telangana"/>
    <s v="Male"/>
    <n v="30"/>
    <n v="987"/>
    <n v="1366"/>
    <n v="29610"/>
    <n v="40980"/>
    <n v="11370"/>
    <s v="profit"/>
  </r>
  <r>
    <x v="119"/>
    <s v="november"/>
    <s v="Horizon Media Solutions"/>
    <s v="Electronic"/>
    <x v="4"/>
    <s v="Uttar Pradesh"/>
    <s v="Female"/>
    <n v="24"/>
    <n v="927"/>
    <n v="1379"/>
    <n v="22248"/>
    <n v="33096"/>
    <n v="10848"/>
    <s v="profit"/>
  </r>
  <r>
    <x v="120"/>
    <s v="may"/>
    <s v="Modern Lifestyle Products"/>
    <s v="Electronic"/>
    <x v="7"/>
    <s v="Gujarat"/>
    <s v="Male"/>
    <n v="25"/>
    <n v="877"/>
    <n v="797"/>
    <n v="21925"/>
    <n v="19925"/>
    <n v="-2000"/>
    <s v="loss"/>
  </r>
  <r>
    <x v="121"/>
    <s v="may"/>
    <s v="Nexus Trading Co."/>
    <s v="Electronic"/>
    <x v="7"/>
    <s v="Maharashtra"/>
    <s v="Male"/>
    <n v="26"/>
    <n v="596"/>
    <n v="1136"/>
    <n v="15496"/>
    <n v="29536"/>
    <n v="14040"/>
    <s v="profit"/>
  </r>
  <r>
    <x v="122"/>
    <s v="july"/>
    <s v="Radiance Health and Wellness"/>
    <s v="Electronic"/>
    <x v="7"/>
    <s v="Uttar Pradesh"/>
    <s v="Male"/>
    <n v="26"/>
    <n v="771"/>
    <n v="1172"/>
    <n v="20046"/>
    <n v="30472"/>
    <n v="10426"/>
    <s v="profit"/>
  </r>
  <r>
    <x v="123"/>
    <s v="july"/>
    <s v="Legacy Auto Works"/>
    <s v="Electronic"/>
    <x v="7"/>
    <s v="Tamil Nadu"/>
    <s v="Male"/>
    <n v="30"/>
    <n v="859"/>
    <n v="1123"/>
    <n v="25770"/>
    <n v="33690"/>
    <n v="7920"/>
    <s v="profit"/>
  </r>
  <r>
    <x v="124"/>
    <s v="july"/>
    <s v="Prime Essence Creations"/>
    <s v="Electronic"/>
    <x v="7"/>
    <s v="Tamil Nadu"/>
    <s v="Male"/>
    <n v="30"/>
    <n v="726"/>
    <n v="964"/>
    <n v="21780"/>
    <n v="28920"/>
    <n v="7140"/>
    <s v="profit"/>
  </r>
  <r>
    <x v="125"/>
    <s v="july"/>
    <s v="Quantum Ventures"/>
    <s v="Electronic"/>
    <x v="7"/>
    <s v="Rajasthan"/>
    <s v="Male"/>
    <n v="29"/>
    <n v="861"/>
    <n v="820"/>
    <n v="24969"/>
    <n v="23780"/>
    <n v="-1189"/>
    <s v="loss"/>
  </r>
  <r>
    <x v="126"/>
    <s v="july"/>
    <s v="Urban Legends Apparel"/>
    <s v="Electronic"/>
    <x v="7"/>
    <s v="Jharkhand"/>
    <s v="Female"/>
    <n v="24"/>
    <n v="978"/>
    <n v="773"/>
    <n v="23472"/>
    <n v="18552"/>
    <n v="-4920"/>
    <s v="loss"/>
  </r>
  <r>
    <x v="127"/>
    <s v="july"/>
    <s v="Pure Bliss Beverages"/>
    <s v="Electronic"/>
    <x v="7"/>
    <s v="Kerala"/>
    <s v="Female"/>
    <n v="30"/>
    <n v="514"/>
    <n v="1333"/>
    <n v="15420"/>
    <n v="39990"/>
    <n v="24570"/>
    <s v="profit"/>
  </r>
  <r>
    <x v="128"/>
    <s v="july"/>
    <s v="Noble Heights Builders"/>
    <s v="Electronic"/>
    <x v="7"/>
    <s v="Maharashtra"/>
    <s v="Female"/>
    <n v="26"/>
    <n v="656"/>
    <n v="908"/>
    <n v="17056"/>
    <n v="23608"/>
    <n v="6552"/>
    <s v="profit"/>
  </r>
  <r>
    <x v="129"/>
    <s v="november"/>
    <s v="Urban Vision Solutions"/>
    <s v="Electronic"/>
    <x v="7"/>
    <s v="Uttar Pradesh"/>
    <s v="Female"/>
    <n v="28"/>
    <n v="866"/>
    <n v="1102"/>
    <n v="24248"/>
    <n v="30856"/>
    <n v="6608"/>
    <s v="profit"/>
  </r>
  <r>
    <x v="130"/>
    <s v="july"/>
    <s v="Radiant Foods"/>
    <s v="Electronic"/>
    <x v="7"/>
    <s v="Himachal Pradesh"/>
    <s v="Female"/>
    <n v="28"/>
    <n v="866"/>
    <n v="1080"/>
    <n v="24248"/>
    <n v="30240"/>
    <n v="5992"/>
    <s v="profit"/>
  </r>
  <r>
    <x v="131"/>
    <s v="july"/>
    <s v="Zenith Financial Services"/>
    <s v="Electronic"/>
    <x v="7"/>
    <s v="Uttarakhand"/>
    <s v="Female"/>
    <n v="23"/>
    <n v="969"/>
    <n v="1075"/>
    <n v="22287"/>
    <n v="24725"/>
    <n v="2438"/>
    <s v="profit"/>
  </r>
  <r>
    <x v="132"/>
    <s v="december"/>
    <s v="Pinnacle Travel Solutions"/>
    <s v="Electronic"/>
    <x v="7"/>
    <s v="Rajasthan"/>
    <s v="Male"/>
    <n v="29"/>
    <n v="639"/>
    <n v="1257"/>
    <n v="18531"/>
    <n v="36453"/>
    <n v="17922"/>
    <s v="profit"/>
  </r>
  <r>
    <x v="133"/>
    <s v="july"/>
    <s v="Apex Travel Ventures"/>
    <s v="Electronic"/>
    <x v="7"/>
    <s v="Assam"/>
    <s v="Female"/>
    <n v="21"/>
    <n v="626"/>
    <n v="772"/>
    <n v="13146"/>
    <n v="16212"/>
    <n v="3066"/>
    <s v="profit"/>
  </r>
  <r>
    <x v="134"/>
    <s v="august"/>
    <s v="Future Vision Realty"/>
    <s v="Electronic"/>
    <x v="7"/>
    <s v="Maharashtra"/>
    <s v="Male"/>
    <n v="26"/>
    <n v="715"/>
    <n v="1113"/>
    <n v="18590"/>
    <n v="28938"/>
    <n v="10348"/>
    <s v="profit"/>
  </r>
  <r>
    <x v="135"/>
    <s v="august"/>
    <s v="Urban Pulse Media"/>
    <s v="Electronic"/>
    <x v="7"/>
    <s v="Chandigarh"/>
    <s v="Male"/>
    <n v="27"/>
    <n v="611"/>
    <n v="1309"/>
    <n v="16497"/>
    <n v="35343"/>
    <n v="18846"/>
    <s v="profit"/>
  </r>
  <r>
    <x v="136"/>
    <s v="august"/>
    <s v="True Essence Health"/>
    <s v="Electronic"/>
    <x v="7"/>
    <s v="Madhya Pradesh"/>
    <s v="Female"/>
    <n v="29"/>
    <n v="544"/>
    <n v="1436"/>
    <n v="15776"/>
    <n v="41644"/>
    <n v="25868"/>
    <s v="profit"/>
  </r>
  <r>
    <x v="137"/>
    <s v="december"/>
    <s v="Harmony Health Solutions"/>
    <s v="Electronic"/>
    <x v="7"/>
    <s v="Himachal Pradesh"/>
    <s v="Male"/>
    <n v="23"/>
    <n v="771"/>
    <n v="1430"/>
    <n v="17733"/>
    <n v="32890"/>
    <n v="15157"/>
    <s v="profit"/>
  </r>
  <r>
    <x v="138"/>
    <s v="august"/>
    <s v="Radiant Vision Realty"/>
    <s v="Electronic"/>
    <x v="7"/>
    <s v="Bihar"/>
    <s v="Male"/>
    <n v="30"/>
    <n v="652"/>
    <n v="1151"/>
    <n v="19560"/>
    <n v="34530"/>
    <n v="14970"/>
    <s v="profit"/>
  </r>
  <r>
    <x v="139"/>
    <s v="august"/>
    <s v="Harmony Consulting Group"/>
    <s v="Electronic"/>
    <x v="7"/>
    <s v="Gujarat"/>
    <s v="Male"/>
    <n v="22"/>
    <n v="681"/>
    <n v="1087"/>
    <n v="14982"/>
    <n v="23914"/>
    <n v="8932"/>
    <s v="profit"/>
  </r>
  <r>
    <x v="140"/>
    <s v="december"/>
    <s v="Modern Vision Solutions"/>
    <s v="Fashion "/>
    <x v="6"/>
    <s v="Punjab"/>
    <s v="Male"/>
    <n v="66"/>
    <n v="888"/>
    <n v="809"/>
    <n v="58608"/>
    <n v="53394"/>
    <n v="-5214"/>
    <s v="loss"/>
  </r>
  <r>
    <x v="141"/>
    <s v="august"/>
    <s v="Zenith Tech Ventures"/>
    <s v="Electronic"/>
    <x v="7"/>
    <s v="Uttar Pradesh"/>
    <s v="Male"/>
    <n v="28"/>
    <n v="923"/>
    <n v="1395"/>
    <n v="25844"/>
    <n v="39060"/>
    <n v="13216"/>
    <s v="profit"/>
  </r>
  <r>
    <x v="142"/>
    <s v="august"/>
    <s v="Stellar Health Services"/>
    <s v="Electronic"/>
    <x v="7"/>
    <s v="Uttar Pradesh"/>
    <s v="Female"/>
    <n v="26"/>
    <n v="999"/>
    <n v="1112"/>
    <n v="25974"/>
    <n v="28912"/>
    <n v="2938"/>
    <s v="profit"/>
  </r>
  <r>
    <x v="143"/>
    <s v="august"/>
    <s v="Pure Path Foods"/>
    <s v="Electronic"/>
    <x v="7"/>
    <s v="Tamil Nadu"/>
    <s v="Female"/>
    <n v="30"/>
    <n v="792"/>
    <n v="1010"/>
    <n v="23760"/>
    <n v="30300"/>
    <n v="6540"/>
    <s v="profit"/>
  </r>
  <r>
    <x v="144"/>
    <s v="august"/>
    <s v="Bright Horizon Realty"/>
    <s v="Electronic"/>
    <x v="7"/>
    <s v="Rajasthan"/>
    <s v="Female"/>
    <n v="22"/>
    <n v="774"/>
    <n v="1387"/>
    <n v="17028"/>
    <n v="30514"/>
    <n v="13486"/>
    <s v="profit"/>
  </r>
  <r>
    <x v="145"/>
    <s v="december"/>
    <s v="Radiant Educational Solutions"/>
    <s v="Fashion "/>
    <x v="6"/>
    <s v="Uttar Pradesh"/>
    <s v="Female"/>
    <n v="56"/>
    <n v="516"/>
    <n v="1316"/>
    <n v="28896"/>
    <n v="73696"/>
    <n v="44800"/>
    <s v="profit"/>
  </r>
  <r>
    <x v="146"/>
    <s v="october"/>
    <s v="Crystal Clear Consulting"/>
    <s v="Electronic"/>
    <x v="9"/>
    <s v="Rajasthan"/>
    <s v="Female"/>
    <n v="20"/>
    <n v="999"/>
    <n v="1191"/>
    <n v="19980"/>
    <n v="23820"/>
    <n v="3840"/>
    <s v="profit"/>
  </r>
  <r>
    <x v="147"/>
    <s v="october"/>
    <s v="Zenith Innovations"/>
    <s v="Electronic"/>
    <x v="9"/>
    <s v="Jharkhand"/>
    <s v="Male"/>
    <n v="29"/>
    <n v="661"/>
    <n v="1400"/>
    <n v="19169"/>
    <n v="40600"/>
    <n v="21431"/>
    <s v="profit"/>
  </r>
  <r>
    <x v="148"/>
    <s v="october"/>
    <s v="True Essence Innovations"/>
    <s v="Electronic"/>
    <x v="3"/>
    <s v="Assam"/>
    <s v="Male"/>
    <n v="30"/>
    <n v="539"/>
    <n v="1364"/>
    <n v="16170"/>
    <n v="40920"/>
    <n v="24750"/>
    <s v="profit"/>
  </r>
  <r>
    <x v="149"/>
    <s v="december"/>
    <s v="Zenith Creative Solutions"/>
    <s v="Fashion "/>
    <x v="6"/>
    <s v="Uttar Pradesh"/>
    <s v="Female"/>
    <n v="60"/>
    <n v="901"/>
    <n v="1148"/>
    <n v="54060"/>
    <n v="68880"/>
    <n v="14820"/>
    <s v="profit"/>
  </r>
  <r>
    <x v="150"/>
    <s v="november"/>
    <s v="Pinnacle Media Group"/>
    <s v="Electronic"/>
    <x v="3"/>
    <s v="Punjab"/>
    <s v="Male"/>
    <n v="26"/>
    <n v="726"/>
    <n v="1335"/>
    <n v="18876"/>
    <n v="34710"/>
    <n v="15834"/>
    <s v="profit"/>
  </r>
  <r>
    <x v="151"/>
    <s v="december"/>
    <s v="Pure Vision Solutions"/>
    <s v="Fashion "/>
    <x v="8"/>
    <s v="Kerala"/>
    <s v="Female"/>
    <n v="50"/>
    <n v="749"/>
    <n v="1269"/>
    <n v="37450"/>
    <n v="63450"/>
    <n v="26000"/>
    <s v="profit"/>
  </r>
  <r>
    <x v="152"/>
    <s v="november"/>
    <s v="Legacy Design Co."/>
    <s v="Electronic"/>
    <x v="3"/>
    <s v="Chhattisgarh"/>
    <s v="Male"/>
    <n v="29"/>
    <n v="510"/>
    <n v="1131"/>
    <n v="14790"/>
    <n v="32799"/>
    <n v="18009"/>
    <s v="profit"/>
  </r>
  <r>
    <x v="153"/>
    <s v="november"/>
    <s v="Apex Health Products"/>
    <s v="Electronic"/>
    <x v="3"/>
    <s v="West Bengal"/>
    <s v="Female"/>
    <n v="27"/>
    <n v="752"/>
    <n v="1258"/>
    <n v="20304"/>
    <n v="33966"/>
    <n v="13662"/>
    <s v="profit"/>
  </r>
  <r>
    <x v="154"/>
    <s v="november"/>
    <s v="Zenith Travel Ventures"/>
    <s v="Electronic"/>
    <x v="3"/>
    <s v="West Bengal"/>
    <s v="Female"/>
    <n v="28"/>
    <n v="924"/>
    <n v="847"/>
    <n v="25872"/>
    <n v="23716"/>
    <n v="-2156"/>
    <s v="loss"/>
  </r>
  <r>
    <x v="155"/>
    <s v="november"/>
    <s v="Pure Path Consulting"/>
    <s v="Electronic"/>
    <x v="3"/>
    <s v="Madhya Pradesh"/>
    <s v="Female"/>
    <n v="26"/>
    <n v="643"/>
    <n v="1341"/>
    <n v="16718"/>
    <n v="34866"/>
    <n v="18148"/>
    <s v="profit"/>
  </r>
  <r>
    <x v="156"/>
    <s v="december"/>
    <s v="Harmony Edge Solutions"/>
    <s v="Fashion "/>
    <x v="8"/>
    <s v="Punjab"/>
    <s v="Male"/>
    <n v="59"/>
    <n v="774"/>
    <n v="1374"/>
    <n v="45666"/>
    <n v="81066"/>
    <n v="35400"/>
    <s v="profit"/>
  </r>
  <r>
    <x v="157"/>
    <s v="november"/>
    <s v="Harmony Educational Group"/>
    <s v="Electronic"/>
    <x v="4"/>
    <s v="Karnataka"/>
    <s v="Male"/>
    <n v="23"/>
    <n v="584"/>
    <n v="1140"/>
    <n v="13432"/>
    <n v="26220"/>
    <n v="12788"/>
    <s v="profit"/>
  </r>
  <r>
    <x v="158"/>
    <s v="november"/>
    <s v="Radiant Design Studio"/>
    <s v="Electronic"/>
    <x v="4"/>
    <s v="Gujarat"/>
    <s v="Male"/>
    <n v="21"/>
    <n v="608"/>
    <n v="983"/>
    <n v="12768"/>
    <n v="20643"/>
    <n v="7875"/>
    <s v="profit"/>
  </r>
  <r>
    <x v="159"/>
    <s v="november"/>
    <s v="Zenith Health Innovations"/>
    <s v="Electronic"/>
    <x v="4"/>
    <s v="Maharashtra"/>
    <s v="Male"/>
    <n v="30"/>
    <n v="712"/>
    <n v="1311"/>
    <n v="21360"/>
    <n v="39330"/>
    <n v="17970"/>
    <s v="profit"/>
  </r>
  <r>
    <x v="160"/>
    <s v="november"/>
    <s v="Apex Realty Ventures"/>
    <s v="Electronic"/>
    <x v="4"/>
    <s v="Rajasthan"/>
    <s v="Male"/>
    <n v="24"/>
    <n v="672"/>
    <n v="878"/>
    <n v="16128"/>
    <n v="21072"/>
    <n v="4944"/>
    <s v="profit"/>
  </r>
  <r>
    <x v="161"/>
    <s v="november"/>
    <s v="True Value Ventures"/>
    <s v="Electronic"/>
    <x v="4"/>
    <s v="Uttar Pradesh"/>
    <s v="Female"/>
    <n v="29"/>
    <n v="520"/>
    <n v="770"/>
    <n v="15080"/>
    <n v="22330"/>
    <n v="7250"/>
    <s v="profit"/>
  </r>
  <r>
    <x v="162"/>
    <s v="november"/>
    <s v="Crystal Clear Designs"/>
    <s v="Electronic"/>
    <x v="4"/>
    <s v="Maharashtra"/>
    <s v="Male"/>
    <n v="28"/>
    <n v="884"/>
    <n v="1165"/>
    <n v="24752"/>
    <n v="32620"/>
    <n v="7868"/>
    <s v="profit"/>
  </r>
  <r>
    <x v="163"/>
    <s v="january"/>
    <s v="Pinnacle Media Solutions"/>
    <s v="Decor"/>
    <x v="0"/>
    <s v="Karnataka"/>
    <s v="Female"/>
    <n v="11"/>
    <n v="562"/>
    <n v="800"/>
    <n v="6182"/>
    <n v="8800"/>
    <n v="2618"/>
    <s v="profit"/>
  </r>
  <r>
    <x v="164"/>
    <s v="november"/>
    <s v="Pinnacle Innovations Co."/>
    <s v="Electronic"/>
    <x v="4"/>
    <s v="Madhya Pradesh"/>
    <s v="Male"/>
    <n v="25"/>
    <n v="990"/>
    <n v="868"/>
    <n v="24750"/>
    <n v="21700"/>
    <n v="-3050"/>
    <s v="loss"/>
  </r>
  <r>
    <x v="165"/>
    <s v="january"/>
    <s v="Radiant Tech Solutions"/>
    <s v="Decor"/>
    <x v="0"/>
    <s v="Maharashtra"/>
    <s v="Female"/>
    <n v="15"/>
    <n v="992"/>
    <n v="1404"/>
    <n v="14880"/>
    <n v="21060"/>
    <n v="6180"/>
    <s v="profit"/>
  </r>
  <r>
    <x v="166"/>
    <s v="november"/>
    <s v="Modern Pathways"/>
    <s v="Electronic"/>
    <x v="4"/>
    <s v="Maharashtra"/>
    <s v="Male"/>
    <n v="22"/>
    <n v="524"/>
    <n v="1156"/>
    <n v="11528"/>
    <n v="25432"/>
    <n v="13904"/>
    <s v="profit"/>
  </r>
  <r>
    <x v="167"/>
    <s v="january"/>
    <s v="Elite Creative Solutions"/>
    <s v="Decor"/>
    <x v="0"/>
    <s v="Chhattisgarh"/>
    <s v="Female"/>
    <n v="11"/>
    <n v="668"/>
    <n v="1096"/>
    <n v="7348"/>
    <n v="12056"/>
    <n v="4708"/>
    <s v="profit"/>
  </r>
  <r>
    <x v="168"/>
    <s v="november"/>
    <s v="Stellar Finance Co."/>
    <s v="Electronic"/>
    <x v="4"/>
    <s v="Chandigarh"/>
    <s v="Male"/>
    <n v="26"/>
    <n v="997"/>
    <n v="982"/>
    <n v="25922"/>
    <n v="25532"/>
    <n v="-390"/>
    <s v="loss"/>
  </r>
  <r>
    <x v="169"/>
    <s v="november"/>
    <s v="Radiant Spectrum Group"/>
    <s v="Electronic"/>
    <x v="4"/>
    <s v="Madhya Pradesh"/>
    <s v="Male"/>
    <n v="27"/>
    <n v="922"/>
    <n v="1284"/>
    <n v="24894"/>
    <n v="34668"/>
    <n v="9774"/>
    <s v="profit"/>
  </r>
  <r>
    <x v="170"/>
    <s v="november"/>
    <s v="Harmony Design Ventures"/>
    <s v="Electronic"/>
    <x v="4"/>
    <s v="Andhra Pradesh"/>
    <s v="Female"/>
    <n v="21"/>
    <n v="978"/>
    <n v="1139"/>
    <n v="20538"/>
    <n v="23919"/>
    <n v="3381"/>
    <s v="profit"/>
  </r>
  <r>
    <x v="171"/>
    <s v="november"/>
    <s v="Elite Edge Products"/>
    <s v="Electronic"/>
    <x v="4"/>
    <s v="Bihar"/>
    <s v="Female"/>
    <n v="24"/>
    <n v="830"/>
    <n v="1355"/>
    <n v="19920"/>
    <n v="32520"/>
    <n v="12600"/>
    <s v="profit"/>
  </r>
  <r>
    <x v="172"/>
    <s v="november"/>
    <s v="Zenith Consulting Co."/>
    <s v="Electronic"/>
    <x v="7"/>
    <s v="Gujarat"/>
    <s v="Female"/>
    <n v="21"/>
    <n v="751"/>
    <n v="1498"/>
    <n v="15771"/>
    <n v="31458"/>
    <n v="15687"/>
    <s v="profit"/>
  </r>
  <r>
    <x v="173"/>
    <s v="november"/>
    <s v="Apex Wellness Products"/>
    <s v="Electronic"/>
    <x v="7"/>
    <s v="Uttar Pradesh"/>
    <s v="Female"/>
    <n v="26"/>
    <n v="520"/>
    <n v="1261"/>
    <n v="13520"/>
    <n v="32786"/>
    <n v="19266"/>
    <s v="profit"/>
  </r>
  <r>
    <x v="174"/>
    <s v="january"/>
    <s v="Pinnacle Design Solutions"/>
    <s v="Fashion "/>
    <x v="8"/>
    <s v="Rajasthan"/>
    <s v="Male"/>
    <n v="56"/>
    <n v="685"/>
    <n v="771"/>
    <n v="38360"/>
    <n v="43176"/>
    <n v="4816"/>
    <s v="profit"/>
  </r>
  <r>
    <x v="175"/>
    <s v="december"/>
    <s v="Pure Harmony Innovations"/>
    <s v="Electronic"/>
    <x v="7"/>
    <s v="Tamil Nadu"/>
    <s v="Female"/>
    <n v="21"/>
    <n v="605"/>
    <n v="1264"/>
    <n v="12705"/>
    <n v="26544"/>
    <n v="13839"/>
    <s v="profit"/>
  </r>
  <r>
    <x v="176"/>
    <s v="december"/>
    <s v="Legacy Media Group"/>
    <s v="Electronic"/>
    <x v="7"/>
    <s v="Tamil Nadu"/>
    <s v="Female"/>
    <n v="20"/>
    <n v="666"/>
    <n v="1087"/>
    <n v="13320"/>
    <n v="21740"/>
    <n v="8420"/>
    <s v="profit"/>
  </r>
  <r>
    <x v="177"/>
    <s v="december"/>
    <s v="Horizon Tech Innovations"/>
    <s v="Electronic"/>
    <x v="7"/>
    <s v="Uttar Pradesh"/>
    <s v="Male"/>
    <n v="23"/>
    <n v="632"/>
    <n v="762"/>
    <n v="14536"/>
    <n v="17526"/>
    <n v="2990"/>
    <s v="profit"/>
  </r>
  <r>
    <x v="178"/>
    <s v="december"/>
    <s v="Crystal Spectrum Consulting"/>
    <s v="Electronic"/>
    <x v="7"/>
    <s v="Jharkhand"/>
    <s v="Male"/>
    <n v="21"/>
    <n v="540"/>
    <n v="812"/>
    <n v="11340"/>
    <n v="17052"/>
    <n v="5712"/>
    <s v="profit"/>
  </r>
  <r>
    <x v="179"/>
    <s v="december"/>
    <s v="Stellar Creative Co."/>
    <s v="Electronic"/>
    <x v="7"/>
    <s v="Kerala"/>
    <s v="Male"/>
    <n v="30"/>
    <n v="557"/>
    <n v="886"/>
    <n v="16710"/>
    <n v="26580"/>
    <n v="9870"/>
    <s v="profit"/>
  </r>
  <r>
    <x v="180"/>
    <s v="january"/>
    <s v="Pure Harmony Solutions"/>
    <s v="Decor"/>
    <x v="2"/>
    <s v="Uttarakhand"/>
    <s v="Female"/>
    <n v="20"/>
    <n v="803"/>
    <n v="941"/>
    <n v="16060"/>
    <n v="18820"/>
    <n v="2760"/>
    <s v="profit"/>
  </r>
  <r>
    <x v="181"/>
    <s v="december"/>
    <s v="Radiance Media Ventures"/>
    <s v="Electronic"/>
    <x v="7"/>
    <s v="Maharashtra"/>
    <s v="Female"/>
    <n v="24"/>
    <n v="651"/>
    <n v="1386"/>
    <n v="15624"/>
    <n v="33264"/>
    <n v="17640"/>
    <s v="profit"/>
  </r>
  <r>
    <x v="182"/>
    <s v="december"/>
    <s v="Zenith Edge Services"/>
    <s v="Electronic"/>
    <x v="7"/>
    <s v="Uttarakhand"/>
    <s v="Male"/>
    <n v="20"/>
    <n v="565"/>
    <n v="943"/>
    <n v="11300"/>
    <n v="18860"/>
    <n v="7560"/>
    <s v="profit"/>
  </r>
  <r>
    <x v="183"/>
    <s v="february"/>
    <s v="Stellar Consulting Services"/>
    <s v="Electronic"/>
    <x v="7"/>
    <s v="Maharashtra"/>
    <s v="Female"/>
    <n v="22"/>
    <n v="810"/>
    <n v="1201"/>
    <n v="17820"/>
    <n v="26422"/>
    <n v="8602"/>
    <s v="profit"/>
  </r>
  <r>
    <x v="184"/>
    <s v="february"/>
    <s v="Radiant Ventures"/>
    <s v="Electronic"/>
    <x v="7"/>
    <s v="Himachal Pradesh"/>
    <s v="Female"/>
    <n v="23"/>
    <n v="827"/>
    <n v="1185"/>
    <n v="19021"/>
    <n v="27255"/>
    <n v="8234"/>
    <s v="profit"/>
  </r>
  <r>
    <x v="185"/>
    <s v="february"/>
    <s v="Harmony Tech Co."/>
    <s v="Electronic"/>
    <x v="7"/>
    <s v="Uttarakhand"/>
    <s v="Female"/>
    <n v="23"/>
    <n v="570"/>
    <n v="1230"/>
    <n v="13110"/>
    <n v="28290"/>
    <n v="15180"/>
    <s v="profit"/>
  </r>
  <r>
    <x v="186"/>
    <s v="january"/>
    <s v="Zenith Path Solutions"/>
    <s v="Decor"/>
    <x v="2"/>
    <s v="Madhya Pradesh"/>
    <s v="Female"/>
    <n v="19"/>
    <n v="911"/>
    <n v="1116"/>
    <n v="17309"/>
    <n v="21204"/>
    <n v="3895"/>
    <s v="profit"/>
  </r>
  <r>
    <x v="187"/>
    <s v="february"/>
    <s v="Zenith Creative Ventures"/>
    <s v="Electronic"/>
    <x v="7"/>
    <s v="Assam"/>
    <s v="Male"/>
    <n v="21"/>
    <n v="938"/>
    <n v="1275"/>
    <n v="19698"/>
    <n v="26775"/>
    <n v="7077"/>
    <s v="profit"/>
  </r>
  <r>
    <x v="188"/>
    <s v="february"/>
    <s v="Apex Health Services"/>
    <s v="Electronic"/>
    <x v="7"/>
    <s v="Punjab"/>
    <s v="Male"/>
    <n v="24"/>
    <n v="993"/>
    <n v="987"/>
    <n v="23832"/>
    <n v="23688"/>
    <n v="-144"/>
    <s v="loss"/>
  </r>
  <r>
    <x v="189"/>
    <s v="february"/>
    <s v="Pure Vision Media"/>
    <s v="Electronic"/>
    <x v="7"/>
    <s v="Chhattisgarh"/>
    <s v="Male"/>
    <n v="20"/>
    <n v="534"/>
    <n v="1233"/>
    <n v="10680"/>
    <n v="24660"/>
    <n v="13980"/>
    <s v="profit"/>
  </r>
  <r>
    <x v="190"/>
    <s v="january"/>
    <s v="Legacy Media Solutions"/>
    <s v="Decor"/>
    <x v="2"/>
    <s v="Jharkhand"/>
    <s v="Male"/>
    <n v="10"/>
    <n v="911"/>
    <n v="1097"/>
    <n v="9110"/>
    <n v="10970"/>
    <n v="1860"/>
    <s v="profit"/>
  </r>
  <r>
    <x v="191"/>
    <s v="february"/>
    <s v="Legacy Innovations Group"/>
    <s v="Electronic"/>
    <x v="7"/>
    <s v="West Bengal"/>
    <s v="Male"/>
    <n v="23"/>
    <n v="761"/>
    <n v="901"/>
    <n v="17503"/>
    <n v="20723"/>
    <n v="3220"/>
    <s v="profit"/>
  </r>
  <r>
    <x v="192"/>
    <s v="february"/>
    <s v="Pinnacle Consulting Co."/>
    <s v="Electronic"/>
    <x v="7"/>
    <s v="West Bengal"/>
    <s v="Male"/>
    <n v="23"/>
    <n v="701"/>
    <n v="1322"/>
    <n v="16123"/>
    <n v="30406"/>
    <n v="14283"/>
    <s v="profit"/>
  </r>
  <r>
    <x v="193"/>
    <s v="february"/>
    <s v="Stellar Finance Group"/>
    <s v="Electronic"/>
    <x v="7"/>
    <s v="Madhya Pradesh"/>
    <s v="Female"/>
    <n v="25"/>
    <n v="541"/>
    <n v="1090"/>
    <n v="13525"/>
    <n v="27250"/>
    <n v="13725"/>
    <s v="profit"/>
  </r>
  <r>
    <x v="194"/>
    <s v="february"/>
    <s v="Harmony Ventures Group"/>
    <s v="Electronic"/>
    <x v="7"/>
    <s v="Gujarat"/>
    <s v="Female"/>
    <n v="28"/>
    <n v="708"/>
    <n v="1358"/>
    <n v="19824"/>
    <n v="38024"/>
    <n v="18200"/>
    <s v="profit"/>
  </r>
  <r>
    <x v="78"/>
    <s v="april"/>
    <s v="Bharat Innovations"/>
    <s v="Electronic"/>
    <x v="3"/>
    <s v="Delhi"/>
    <s v="Male"/>
    <n v="28"/>
    <n v="826"/>
    <n v="929"/>
    <n v="23128"/>
    <n v="26012"/>
    <n v="2884"/>
    <s v="profit"/>
  </r>
  <r>
    <x v="79"/>
    <s v="april"/>
    <s v="Green Leaf Enterprises"/>
    <s v="Electronic"/>
    <x v="9"/>
    <s v="Maharashtra"/>
    <s v="Male"/>
    <n v="25"/>
    <n v="952"/>
    <n v="1261"/>
    <n v="23800"/>
    <n v="31525"/>
    <n v="7725"/>
    <s v="profit"/>
  </r>
  <r>
    <x v="80"/>
    <s v="april"/>
    <s v="Urban Pulse Technologies"/>
    <s v="Electronic"/>
    <x v="9"/>
    <s v="West Bengal"/>
    <s v="Male"/>
    <n v="20"/>
    <n v="940"/>
    <n v="1259"/>
    <n v="18800"/>
    <n v="25180"/>
    <n v="6380"/>
    <s v="profit"/>
  </r>
  <r>
    <x v="82"/>
    <s v="april"/>
    <s v="Mystic India Exports"/>
    <s v="Electronic"/>
    <x v="9"/>
    <s v="Tamil Nadu"/>
    <s v="Male"/>
    <n v="22"/>
    <n v="785"/>
    <n v="1292"/>
    <n v="17270"/>
    <n v="28424"/>
    <n v="11154"/>
    <s v="profit"/>
  </r>
  <r>
    <x v="83"/>
    <s v="april"/>
    <s v="Pure Essence Skincare"/>
    <s v="Electronic"/>
    <x v="3"/>
    <s v="Rajasthan"/>
    <s v="Female"/>
    <n v="21"/>
    <n v="879"/>
    <n v="1019"/>
    <n v="18459"/>
    <n v="21399"/>
    <n v="2940"/>
    <s v="profit"/>
  </r>
  <r>
    <x v="84"/>
    <s v="april"/>
    <s v="Zenith Construction Co."/>
    <s v="Electronic"/>
    <x v="3"/>
    <s v="Gujarat"/>
    <s v="Female"/>
    <n v="28"/>
    <n v="937"/>
    <n v="872"/>
    <n v="26236"/>
    <n v="24416"/>
    <n v="-1820"/>
    <s v="loss"/>
  </r>
  <r>
    <x v="195"/>
    <s v="february"/>
    <s v="Radiant Solutions Co."/>
    <s v="Electronic"/>
    <x v="7"/>
    <s v="Jharkhand"/>
    <s v="Female"/>
    <n v="26"/>
    <n v="751"/>
    <n v="1292"/>
    <n v="19526"/>
    <n v="33592"/>
    <n v="14066"/>
    <s v="profit"/>
  </r>
  <r>
    <x v="85"/>
    <s v="april"/>
    <s v="Radiant Health Systems"/>
    <s v="Electronic"/>
    <x v="3"/>
    <s v="Uttar Pradesh"/>
    <s v="Female"/>
    <n v="22"/>
    <n v="832"/>
    <n v="769"/>
    <n v="18304"/>
    <n v="16918"/>
    <n v="-1386"/>
    <s v="loss"/>
  </r>
  <r>
    <x v="87"/>
    <s v="april"/>
    <s v="Divine Creations"/>
    <s v="Electronic"/>
    <x v="3"/>
    <s v="Uttar Pradesh"/>
    <s v="Female"/>
    <n v="28"/>
    <n v="832"/>
    <n v="1028"/>
    <n v="23296"/>
    <n v="28784"/>
    <n v="5488"/>
    <s v="profit"/>
  </r>
  <r>
    <x v="88"/>
    <s v="april"/>
    <s v="True Path Logistics"/>
    <s v="Electronic"/>
    <x v="3"/>
    <s v="Madhya Pradesh"/>
    <s v="Female"/>
    <n v="22"/>
    <n v="622"/>
    <n v="822"/>
    <n v="13684"/>
    <n v="18084"/>
    <n v="4400"/>
    <s v="profit"/>
  </r>
  <r>
    <x v="196"/>
    <s v="february"/>
    <s v="Modern Travel Solutions"/>
    <s v="Fashion "/>
    <x v="6"/>
    <s v="Tamil Nadu"/>
    <s v="Female"/>
    <n v="55"/>
    <n v="856"/>
    <n v="756"/>
    <n v="47080"/>
    <n v="41580"/>
    <n v="-5500"/>
    <s v="loss"/>
  </r>
  <r>
    <x v="90"/>
    <s v="april"/>
    <s v="Prestige Automobiles"/>
    <s v="Electronic"/>
    <x v="4"/>
    <s v="Uttar Pradesh"/>
    <s v="Male"/>
    <n v="23"/>
    <n v="663"/>
    <n v="1153"/>
    <n v="15249"/>
    <n v="26519"/>
    <n v="11270"/>
    <s v="profit"/>
  </r>
  <r>
    <x v="92"/>
    <s v="april"/>
    <s v="Natural Bliss Beverages"/>
    <s v="Electronic"/>
    <x v="4"/>
    <s v="Tamil Nadu"/>
    <s v="Male"/>
    <n v="23"/>
    <n v="779"/>
    <n v="1415"/>
    <n v="17917"/>
    <n v="32545"/>
    <n v="14628"/>
    <s v="profit"/>
  </r>
  <r>
    <x v="94"/>
    <s v="april"/>
    <s v="Modern Trends Fashion"/>
    <s v="Electronic"/>
    <x v="4"/>
    <s v="Uttar Pradesh"/>
    <s v="Female"/>
    <n v="29"/>
    <n v="952"/>
    <n v="1428"/>
    <n v="27608"/>
    <n v="41412"/>
    <n v="13804"/>
    <s v="profit"/>
  </r>
  <r>
    <x v="95"/>
    <s v="april"/>
    <s v="Heritage Crafts"/>
    <s v="Electronic"/>
    <x v="4"/>
    <s v="Jharkhand"/>
    <s v="Female"/>
    <n v="26"/>
    <n v="983"/>
    <n v="1270"/>
    <n v="25558"/>
    <n v="33020"/>
    <n v="7462"/>
    <s v="profit"/>
  </r>
  <r>
    <x v="96"/>
    <s v="april"/>
    <s v="Future Insights Analytics"/>
    <s v="Electronic"/>
    <x v="4"/>
    <s v="Kerala"/>
    <s v="Female"/>
    <n v="28"/>
    <n v="814"/>
    <n v="1343"/>
    <n v="22792"/>
    <n v="37604"/>
    <n v="14812"/>
    <s v="profit"/>
  </r>
  <r>
    <x v="97"/>
    <s v="april"/>
    <s v="Emerald Estate Developers"/>
    <s v="Electronic"/>
    <x v="4"/>
    <s v="Maharashtra"/>
    <s v="Female"/>
    <n v="26"/>
    <n v="835"/>
    <n v="973"/>
    <n v="21710"/>
    <n v="25298"/>
    <n v="3588"/>
    <s v="profit"/>
  </r>
  <r>
    <x v="197"/>
    <s v="february"/>
    <s v="Zenith Tech Solutions"/>
    <s v="Fashion "/>
    <x v="6"/>
    <s v="Himachal Pradesh"/>
    <s v="Male"/>
    <n v="88"/>
    <n v="635"/>
    <n v="1370"/>
    <n v="55880"/>
    <n v="120560"/>
    <n v="64680"/>
    <s v="profit"/>
  </r>
  <r>
    <x v="98"/>
    <s v="april"/>
    <s v="Starlight Media Group"/>
    <s v="Electronic"/>
    <x v="4"/>
    <s v="Himachal Pradesh"/>
    <s v="Female"/>
    <n v="24"/>
    <n v="631"/>
    <n v="1304"/>
    <n v="15144"/>
    <n v="31296"/>
    <n v="16152"/>
    <s v="profit"/>
  </r>
  <r>
    <x v="99"/>
    <s v="may"/>
    <s v="Supreme Electronics"/>
    <s v="Electronic"/>
    <x v="4"/>
    <s v="Uttarakhand"/>
    <s v="Female"/>
    <n v="24"/>
    <n v="833"/>
    <n v="1280"/>
    <n v="19992"/>
    <n v="30720"/>
    <n v="10728"/>
    <s v="profit"/>
  </r>
  <r>
    <x v="100"/>
    <s v="may"/>
    <s v="Optimum Wellness"/>
    <s v="Electronic"/>
    <x v="4"/>
    <s v="Assam"/>
    <s v="Male"/>
    <n v="21"/>
    <n v="680"/>
    <n v="1049"/>
    <n v="14280"/>
    <n v="22029"/>
    <n v="7749"/>
    <s v="profit"/>
  </r>
  <r>
    <x v="101"/>
    <s v="may"/>
    <s v="Zenith Books Publishing"/>
    <s v="Electronic"/>
    <x v="4"/>
    <s v="Punjab"/>
    <s v="Male"/>
    <n v="23"/>
    <n v="667"/>
    <n v="962"/>
    <n v="15341"/>
    <n v="22126"/>
    <n v="6785"/>
    <s v="profit"/>
  </r>
  <r>
    <x v="102"/>
    <s v="may"/>
    <s v="Pinnacle Innovations"/>
    <s v="Electronic"/>
    <x v="4"/>
    <s v="Chhattisgarh"/>
    <s v="Male"/>
    <n v="24"/>
    <n v="504"/>
    <n v="1283"/>
    <n v="12096"/>
    <n v="30792"/>
    <n v="18696"/>
    <s v="profit"/>
  </r>
  <r>
    <x v="103"/>
    <s v="may"/>
    <s v="Apex Travel Services"/>
    <s v="Electronic"/>
    <x v="4"/>
    <s v="West Bengal"/>
    <s v="Male"/>
    <n v="26"/>
    <n v="985"/>
    <n v="1407"/>
    <n v="25610"/>
    <n v="36582"/>
    <n v="10972"/>
    <s v="profit"/>
  </r>
  <r>
    <x v="104"/>
    <s v="may"/>
    <s v="Golden Era Realty"/>
    <s v="Electronic"/>
    <x v="4"/>
    <s v="West Bengal"/>
    <s v="Female"/>
    <n v="27"/>
    <n v="890"/>
    <n v="853"/>
    <n v="24030"/>
    <n v="23031"/>
    <n v="-999"/>
    <s v="loss"/>
  </r>
  <r>
    <x v="106"/>
    <s v="may"/>
    <s v="Radiant Jewelry"/>
    <s v="Electronic"/>
    <x v="7"/>
    <s v="Madhya Pradesh"/>
    <s v="Female"/>
    <n v="21"/>
    <n v="722"/>
    <n v="1247"/>
    <n v="15162"/>
    <n v="26187"/>
    <n v="11025"/>
    <s v="profit"/>
  </r>
  <r>
    <x v="107"/>
    <s v="may"/>
    <s v="Infinity Ventures"/>
    <s v="Electronic"/>
    <x v="7"/>
    <s v="Jharkhand"/>
    <s v="Female"/>
    <n v="22"/>
    <n v="725"/>
    <n v="765"/>
    <n v="15950"/>
    <n v="16830"/>
    <n v="880"/>
    <s v="profit"/>
  </r>
  <r>
    <x v="109"/>
    <s v="may"/>
    <s v="Royal Taste Foods"/>
    <s v="Electronic"/>
    <x v="7"/>
    <s v="West Bengal"/>
    <s v="Female"/>
    <n v="26"/>
    <n v="509"/>
    <n v="1120"/>
    <n v="13234"/>
    <n v="29120"/>
    <n v="15886"/>
    <s v="profit"/>
  </r>
  <r>
    <x v="6"/>
    <s v="april"/>
    <s v="Apex Solutions"/>
    <s v="Fashion "/>
    <x v="1"/>
    <s v="Gujarat"/>
    <s v="Male"/>
    <n v="55"/>
    <n v="906"/>
    <n v="880"/>
    <n v="49830"/>
    <n v="48400"/>
    <n v="-1430"/>
    <s v="loss"/>
  </r>
  <r>
    <x v="110"/>
    <s v="may"/>
    <s v="Harmony Homes"/>
    <s v="Electronic"/>
    <x v="7"/>
    <s v="Karnataka"/>
    <s v="Female"/>
    <n v="28"/>
    <n v="905"/>
    <n v="958"/>
    <n v="25340"/>
    <n v="26824"/>
    <n v="1484"/>
    <s v="profit"/>
  </r>
  <r>
    <x v="111"/>
    <s v="may"/>
    <s v="Urban Edge Consulting"/>
    <s v="Electronic"/>
    <x v="7"/>
    <s v="Delhi"/>
    <s v="Female"/>
    <n v="22"/>
    <n v="866"/>
    <n v="1453"/>
    <n v="19052"/>
    <n v="31966"/>
    <n v="12914"/>
    <s v="profit"/>
  </r>
  <r>
    <x v="112"/>
    <s v="may"/>
    <s v="Prime Tech Innovations"/>
    <s v="Electronic"/>
    <x v="7"/>
    <s v="Maharashtra"/>
    <s v="Female"/>
    <n v="23"/>
    <n v="816"/>
    <n v="1273"/>
    <n v="18768"/>
    <n v="29279"/>
    <n v="10511"/>
    <s v="profit"/>
  </r>
  <r>
    <x v="114"/>
    <s v="may"/>
    <s v="Legacy Designs"/>
    <s v="Electronic"/>
    <x v="7"/>
    <s v="West Bengal"/>
    <s v="Female"/>
    <n v="30"/>
    <n v="738"/>
    <n v="1216"/>
    <n v="22140"/>
    <n v="36480"/>
    <n v="14340"/>
    <s v="profit"/>
  </r>
  <r>
    <x v="115"/>
    <s v="may"/>
    <s v="Virtue Enterprises"/>
    <s v="Electronic"/>
    <x v="7"/>
    <s v="Tamil Nadu"/>
    <s v="Female"/>
    <n v="24"/>
    <n v="653"/>
    <n v="1293"/>
    <n v="15672"/>
    <n v="31032"/>
    <n v="15360"/>
    <s v="profit"/>
  </r>
  <r>
    <x v="12"/>
    <s v="april"/>
    <s v="Metro Tech Solutions"/>
    <s v="Electronic"/>
    <x v="3"/>
    <s v="Maharashtra"/>
    <s v="Female"/>
    <n v="22"/>
    <n v="692"/>
    <n v="906"/>
    <n v="15224"/>
    <n v="19932"/>
    <n v="4708"/>
    <s v="profit"/>
  </r>
  <r>
    <x v="116"/>
    <s v="may"/>
    <s v="Radiant Health Club"/>
    <s v="Electronic"/>
    <x v="7"/>
    <s v="Karnataka"/>
    <s v="Female"/>
    <n v="30"/>
    <n v="583"/>
    <n v="1500"/>
    <n v="17490"/>
    <n v="45000"/>
    <n v="27510"/>
    <s v="profit"/>
  </r>
  <r>
    <x v="118"/>
    <s v="may"/>
    <s v="Bright Horizon Ventures"/>
    <s v="Electronic"/>
    <x v="7"/>
    <s v="Telangana"/>
    <s v="Male"/>
    <n v="26"/>
    <n v="1000"/>
    <n v="765"/>
    <n v="26000"/>
    <n v="19890"/>
    <n v="-6110"/>
    <s v="loss"/>
  </r>
  <r>
    <x v="120"/>
    <s v="may"/>
    <s v="Modern Lifestyle Products"/>
    <s v="Electronic"/>
    <x v="7"/>
    <s v="Gujarat"/>
    <s v="Male"/>
    <n v="27"/>
    <n v="913"/>
    <n v="1197"/>
    <n v="24651"/>
    <n v="32319"/>
    <n v="7668"/>
    <s v="profit"/>
  </r>
  <r>
    <x v="121"/>
    <s v="may"/>
    <s v="Nexus Trading Co."/>
    <s v="Electronic"/>
    <x v="7"/>
    <s v="Maharashtra"/>
    <s v="Male"/>
    <n v="29"/>
    <n v="735"/>
    <n v="1388"/>
    <n v="21315"/>
    <n v="40252"/>
    <n v="18937"/>
    <s v="profit"/>
  </r>
  <r>
    <x v="122"/>
    <s v="july"/>
    <s v="Radiance Health and Wellness"/>
    <s v="Electronic"/>
    <x v="7"/>
    <s v="Uttar Pradesh"/>
    <s v="Male"/>
    <n v="29"/>
    <n v="965"/>
    <n v="1195"/>
    <n v="27985"/>
    <n v="34655"/>
    <n v="6670"/>
    <s v="profit"/>
  </r>
  <r>
    <x v="123"/>
    <s v="july"/>
    <s v="Legacy Auto Works"/>
    <s v="Electronic"/>
    <x v="7"/>
    <s v="Tamil Nadu"/>
    <s v="Male"/>
    <n v="24"/>
    <n v="970"/>
    <n v="1256"/>
    <n v="23280"/>
    <n v="30144"/>
    <n v="6864"/>
    <s v="profit"/>
  </r>
  <r>
    <x v="124"/>
    <s v="july"/>
    <s v="Prime Essence Creations"/>
    <s v="Electronic"/>
    <x v="7"/>
    <s v="Tamil Nadu"/>
    <s v="Male"/>
    <n v="22"/>
    <n v="974"/>
    <n v="1329"/>
    <n v="21428"/>
    <n v="29238"/>
    <n v="7810"/>
    <s v="profit"/>
  </r>
  <r>
    <x v="125"/>
    <s v="july"/>
    <s v="Quantum Ventures"/>
    <s v="Electronic"/>
    <x v="7"/>
    <s v="Rajasthan"/>
    <s v="Male"/>
    <n v="21"/>
    <n v="915"/>
    <n v="1442"/>
    <n v="19215"/>
    <n v="30282"/>
    <n v="11067"/>
    <s v="profit"/>
  </r>
  <r>
    <x v="126"/>
    <s v="july"/>
    <s v="Urban Legends Apparel"/>
    <s v="Electronic"/>
    <x v="7"/>
    <s v="Jharkhand"/>
    <s v="Female"/>
    <n v="27"/>
    <n v="605"/>
    <n v="826"/>
    <n v="16335"/>
    <n v="22302"/>
    <n v="5967"/>
    <s v="profit"/>
  </r>
  <r>
    <x v="22"/>
    <s v="april"/>
    <s v="Elite Marketing Solutions"/>
    <s v="Electronic"/>
    <x v="4"/>
    <s v="Tamil Nadu"/>
    <s v="Male"/>
    <n v="29"/>
    <n v="893"/>
    <n v="865"/>
    <n v="25897"/>
    <n v="25085"/>
    <n v="-812"/>
    <s v="loss"/>
  </r>
  <r>
    <x v="127"/>
    <s v="july"/>
    <s v="Pure Bliss Beverages"/>
    <s v="Electronic"/>
    <x v="7"/>
    <s v="Kerala"/>
    <s v="Female"/>
    <n v="29"/>
    <n v="689"/>
    <n v="783"/>
    <n v="19981"/>
    <n v="22707"/>
    <n v="2726"/>
    <s v="profit"/>
  </r>
  <r>
    <x v="24"/>
    <s v="april"/>
    <s v="Crystal Clear Solutions"/>
    <s v="Electronic"/>
    <x v="4"/>
    <s v="Rajasthan"/>
    <s v="Female"/>
    <n v="24"/>
    <n v="859"/>
    <n v="1473"/>
    <n v="20616"/>
    <n v="35352"/>
    <n v="14736"/>
    <s v="profit"/>
  </r>
  <r>
    <x v="128"/>
    <s v="july"/>
    <s v="Noble Heights Builders"/>
    <s v="Electronic"/>
    <x v="7"/>
    <s v="Maharashtra"/>
    <s v="Female"/>
    <n v="25"/>
    <n v="861"/>
    <n v="843"/>
    <n v="21525"/>
    <n v="21075"/>
    <n v="-450"/>
    <s v="loss"/>
  </r>
  <r>
    <x v="130"/>
    <s v="july"/>
    <s v="Radiant Foods"/>
    <s v="Electronic"/>
    <x v="7"/>
    <s v="Himachal Pradesh"/>
    <s v="Female"/>
    <n v="22"/>
    <n v="629"/>
    <n v="1263"/>
    <n v="13838"/>
    <n v="27786"/>
    <n v="13948"/>
    <s v="profit"/>
  </r>
  <r>
    <x v="131"/>
    <s v="july"/>
    <s v="Zenith Financial Services"/>
    <s v="Electronic"/>
    <x v="7"/>
    <s v="Uttarakhand"/>
    <s v="Female"/>
    <n v="22"/>
    <n v="779"/>
    <n v="1301"/>
    <n v="17138"/>
    <n v="28622"/>
    <n v="11484"/>
    <s v="profit"/>
  </r>
  <r>
    <x v="133"/>
    <s v="july"/>
    <s v="Apex Travel Ventures"/>
    <s v="Electronic"/>
    <x v="7"/>
    <s v="Assam"/>
    <s v="Female"/>
    <n v="23"/>
    <n v="730"/>
    <n v="1189"/>
    <n v="16790"/>
    <n v="27347"/>
    <n v="10557"/>
    <s v="profit"/>
  </r>
  <r>
    <x v="134"/>
    <s v="august"/>
    <s v="Future Vision Realty"/>
    <s v="Electronic"/>
    <x v="7"/>
    <s v="Maharashtra"/>
    <s v="Male"/>
    <n v="26"/>
    <n v="847"/>
    <n v="1116"/>
    <n v="22022"/>
    <n v="29016"/>
    <n v="6994"/>
    <s v="profit"/>
  </r>
  <r>
    <x v="135"/>
    <s v="august"/>
    <s v="Urban Pulse Media"/>
    <s v="Electronic"/>
    <x v="7"/>
    <s v="Chandigarh"/>
    <s v="Male"/>
    <n v="24"/>
    <n v="942"/>
    <n v="1313"/>
    <n v="22608"/>
    <n v="31512"/>
    <n v="8904"/>
    <s v="profit"/>
  </r>
  <r>
    <x v="136"/>
    <s v="august"/>
    <s v="True Essence Health"/>
    <s v="Electronic"/>
    <x v="7"/>
    <s v="Madhya Pradesh"/>
    <s v="Female"/>
    <n v="20"/>
    <n v="751"/>
    <n v="861"/>
    <n v="15020"/>
    <n v="17220"/>
    <n v="2200"/>
    <s v="profit"/>
  </r>
  <r>
    <x v="138"/>
    <s v="august"/>
    <s v="Radiant Vision Realty"/>
    <s v="Electronic"/>
    <x v="7"/>
    <s v="Bihar"/>
    <s v="Male"/>
    <n v="28"/>
    <n v="855"/>
    <n v="930"/>
    <n v="23940"/>
    <n v="26040"/>
    <n v="2100"/>
    <s v="profit"/>
  </r>
  <r>
    <x v="139"/>
    <s v="august"/>
    <s v="Harmony Consulting Group"/>
    <s v="Electronic"/>
    <x v="7"/>
    <s v="Gujarat"/>
    <s v="Male"/>
    <n v="22"/>
    <n v="806"/>
    <n v="1391"/>
    <n v="17732"/>
    <n v="30602"/>
    <n v="12870"/>
    <s v="profit"/>
  </r>
  <r>
    <x v="141"/>
    <s v="august"/>
    <s v="Zenith Tech Ventures"/>
    <s v="Electronic"/>
    <x v="7"/>
    <s v="Uttar Pradesh"/>
    <s v="Male"/>
    <n v="30"/>
    <n v="624"/>
    <n v="999"/>
    <n v="18720"/>
    <n v="29970"/>
    <n v="11250"/>
    <s v="profit"/>
  </r>
  <r>
    <x v="142"/>
    <s v="august"/>
    <s v="Stellar Health Services"/>
    <s v="Electronic"/>
    <x v="7"/>
    <s v="Uttar Pradesh"/>
    <s v="Female"/>
    <n v="25"/>
    <n v="533"/>
    <n v="860"/>
    <n v="13325"/>
    <n v="21500"/>
    <n v="8175"/>
    <s v="profit"/>
  </r>
  <r>
    <x v="143"/>
    <s v="august"/>
    <s v="Pure Path Foods"/>
    <s v="Electronic"/>
    <x v="7"/>
    <s v="Tamil Nadu"/>
    <s v="Female"/>
    <n v="20"/>
    <n v="681"/>
    <n v="823"/>
    <n v="13620"/>
    <n v="16460"/>
    <n v="2840"/>
    <s v="profit"/>
  </r>
  <r>
    <x v="144"/>
    <s v="august"/>
    <s v="Bright Horizon Realty"/>
    <s v="Electronic"/>
    <x v="7"/>
    <s v="Rajasthan"/>
    <s v="Female"/>
    <n v="23"/>
    <n v="577"/>
    <n v="1125"/>
    <n v="13271"/>
    <n v="25875"/>
    <n v="12604"/>
    <s v="profit"/>
  </r>
  <r>
    <x v="146"/>
    <s v="october"/>
    <s v="Crystal Clear Consulting"/>
    <s v="Electronic"/>
    <x v="9"/>
    <s v="Rajasthan"/>
    <s v="Female"/>
    <n v="28"/>
    <n v="537"/>
    <n v="828"/>
    <n v="15036"/>
    <n v="23184"/>
    <n v="8148"/>
    <s v="profit"/>
  </r>
  <r>
    <x v="147"/>
    <s v="october"/>
    <s v="Zenith Innovations"/>
    <s v="Electronic"/>
    <x v="9"/>
    <s v="Jharkhand"/>
    <s v="Male"/>
    <n v="23"/>
    <n v="746"/>
    <n v="1410"/>
    <n v="17158"/>
    <n v="32430"/>
    <n v="15272"/>
    <s v="profit"/>
  </r>
  <r>
    <x v="148"/>
    <s v="october"/>
    <s v="True Essence Innovations"/>
    <s v="Electronic"/>
    <x v="3"/>
    <s v="Assam"/>
    <s v="Male"/>
    <n v="29"/>
    <n v="895"/>
    <n v="882"/>
    <n v="25955"/>
    <n v="25578"/>
    <n v="-377"/>
    <s v="loss"/>
  </r>
  <r>
    <x v="150"/>
    <s v="november"/>
    <s v="Pinnacle Media Group"/>
    <s v="Electronic"/>
    <x v="3"/>
    <s v="Punjab"/>
    <s v="Male"/>
    <n v="26"/>
    <n v="728"/>
    <n v="1466"/>
    <n v="18928"/>
    <n v="38116"/>
    <n v="19188"/>
    <s v="profit"/>
  </r>
  <r>
    <x v="152"/>
    <s v="november"/>
    <s v="Legacy Design Co."/>
    <s v="Electronic"/>
    <x v="3"/>
    <s v="Chhattisgarh"/>
    <s v="Male"/>
    <n v="22"/>
    <n v="586"/>
    <n v="1206"/>
    <n v="12892"/>
    <n v="26532"/>
    <n v="13640"/>
    <s v="profit"/>
  </r>
  <r>
    <x v="153"/>
    <s v="november"/>
    <s v="Apex Health Products"/>
    <s v="Electronic"/>
    <x v="3"/>
    <s v="West Bengal"/>
    <s v="Female"/>
    <n v="29"/>
    <n v="724"/>
    <n v="858"/>
    <n v="20996"/>
    <n v="24882"/>
    <n v="3886"/>
    <s v="profit"/>
  </r>
  <r>
    <x v="154"/>
    <s v="november"/>
    <s v="Zenith Travel Ventures"/>
    <s v="Electronic"/>
    <x v="3"/>
    <s v="West Bengal"/>
    <s v="Female"/>
    <n v="20"/>
    <n v="941"/>
    <n v="1181"/>
    <n v="18820"/>
    <n v="23620"/>
    <n v="4800"/>
    <s v="profit"/>
  </r>
  <r>
    <x v="155"/>
    <s v="november"/>
    <s v="Pure Path Consulting"/>
    <s v="Electronic"/>
    <x v="3"/>
    <s v="Madhya Pradesh"/>
    <s v="Female"/>
    <n v="22"/>
    <n v="618"/>
    <n v="1373"/>
    <n v="13596"/>
    <n v="30206"/>
    <n v="16610"/>
    <s v="profit"/>
  </r>
  <r>
    <x v="157"/>
    <s v="november"/>
    <s v="Harmony Educational Group"/>
    <s v="Electronic"/>
    <x v="4"/>
    <s v="Karnataka"/>
    <s v="Male"/>
    <n v="28"/>
    <n v="896"/>
    <n v="1363"/>
    <n v="25088"/>
    <n v="38164"/>
    <n v="13076"/>
    <s v="profit"/>
  </r>
  <r>
    <x v="158"/>
    <s v="november"/>
    <s v="Radiant Design Studio"/>
    <s v="Electronic"/>
    <x v="4"/>
    <s v="Gujarat"/>
    <s v="Male"/>
    <n v="28"/>
    <n v="986"/>
    <n v="866"/>
    <n v="27608"/>
    <n v="24248"/>
    <n v="-3360"/>
    <s v="loss"/>
  </r>
  <r>
    <x v="159"/>
    <s v="november"/>
    <s v="Zenith Health Innovations"/>
    <s v="Electronic"/>
    <x v="4"/>
    <s v="Maharashtra"/>
    <s v="Male"/>
    <n v="27"/>
    <n v="951"/>
    <n v="1255"/>
    <n v="25677"/>
    <n v="33885"/>
    <n v="8208"/>
    <s v="profit"/>
  </r>
  <r>
    <x v="49"/>
    <s v="may"/>
    <s v="Absolute Solutions"/>
    <s v="Fashion "/>
    <x v="6"/>
    <s v="Gujarat"/>
    <s v="Male"/>
    <n v="63"/>
    <n v="929"/>
    <n v="1320"/>
    <n v="58527"/>
    <n v="83160"/>
    <n v="24633"/>
    <s v="profit"/>
  </r>
  <r>
    <x v="160"/>
    <s v="november"/>
    <s v="Apex Realty Ventures"/>
    <s v="Electronic"/>
    <x v="4"/>
    <s v="Rajasthan"/>
    <s v="Male"/>
    <n v="22"/>
    <n v="783"/>
    <n v="886"/>
    <n v="17226"/>
    <n v="19492"/>
    <n v="2266"/>
    <s v="profit"/>
  </r>
  <r>
    <x v="161"/>
    <s v="november"/>
    <s v="True Value Ventures"/>
    <s v="Electronic"/>
    <x v="4"/>
    <s v="Uttar Pradesh"/>
    <s v="Female"/>
    <n v="21"/>
    <n v="547"/>
    <n v="784"/>
    <n v="11487"/>
    <n v="16464"/>
    <n v="4977"/>
    <s v="profit"/>
  </r>
  <r>
    <x v="162"/>
    <s v="november"/>
    <s v="Crystal Clear Designs"/>
    <s v="Electronic"/>
    <x v="4"/>
    <s v="Maharashtra"/>
    <s v="Male"/>
    <n v="20"/>
    <n v="737"/>
    <n v="932"/>
    <n v="14740"/>
    <n v="18640"/>
    <n v="3900"/>
    <s v="profit"/>
  </r>
  <r>
    <x v="164"/>
    <s v="november"/>
    <s v="Pinnacle Innovations Co."/>
    <s v="Electronic"/>
    <x v="4"/>
    <s v="Madhya Pradesh"/>
    <s v="Male"/>
    <n v="25"/>
    <n v="924"/>
    <n v="1062"/>
    <n v="23100"/>
    <n v="26550"/>
    <n v="3450"/>
    <s v="profit"/>
  </r>
  <r>
    <x v="166"/>
    <s v="november"/>
    <s v="Modern Pathways"/>
    <s v="Electronic"/>
    <x v="4"/>
    <s v="Maharashtra"/>
    <s v="Male"/>
    <n v="28"/>
    <n v="665"/>
    <n v="1467"/>
    <n v="18620"/>
    <n v="41076"/>
    <n v="22456"/>
    <s v="profit"/>
  </r>
  <r>
    <x v="168"/>
    <s v="november"/>
    <s v="Stellar Finance Co."/>
    <s v="Electronic"/>
    <x v="4"/>
    <s v="Chandigarh"/>
    <s v="Male"/>
    <n v="24"/>
    <n v="839"/>
    <n v="1092"/>
    <n v="20136"/>
    <n v="26208"/>
    <n v="6072"/>
    <s v="profit"/>
  </r>
  <r>
    <x v="169"/>
    <s v="november"/>
    <s v="Radiant Spectrum Group"/>
    <s v="Electronic"/>
    <x v="4"/>
    <s v="Madhya Pradesh"/>
    <s v="Male"/>
    <n v="30"/>
    <n v="790"/>
    <n v="1245"/>
    <n v="23700"/>
    <n v="37350"/>
    <n v="13650"/>
    <s v="profit"/>
  </r>
  <r>
    <x v="170"/>
    <s v="november"/>
    <s v="Harmony Design Ventures"/>
    <s v="Electronic"/>
    <x v="4"/>
    <s v="Andhra Pradesh"/>
    <s v="Female"/>
    <n v="30"/>
    <n v="651"/>
    <n v="1277"/>
    <n v="19530"/>
    <n v="38310"/>
    <n v="18780"/>
    <s v="profit"/>
  </r>
  <r>
    <x v="58"/>
    <s v="may"/>
    <s v="Synergy Tech Solutions"/>
    <s v="Fashion "/>
    <x v="6"/>
    <s v="Bihar"/>
    <s v="Male"/>
    <n v="67"/>
    <n v="796"/>
    <n v="1347"/>
    <n v="53332"/>
    <n v="90249"/>
    <n v="36917"/>
    <s v="profit"/>
  </r>
  <r>
    <x v="171"/>
    <s v="november"/>
    <s v="Elite Edge Products"/>
    <s v="Electronic"/>
    <x v="4"/>
    <s v="Bihar"/>
    <s v="Female"/>
    <n v="23"/>
    <n v="531"/>
    <n v="1072"/>
    <n v="12213"/>
    <n v="24656"/>
    <n v="12443"/>
    <s v="profit"/>
  </r>
  <r>
    <x v="172"/>
    <s v="november"/>
    <s v="Zenith Consulting Co."/>
    <s v="Electronic"/>
    <x v="7"/>
    <s v="Gujarat"/>
    <s v="Female"/>
    <n v="30"/>
    <n v="591"/>
    <n v="949"/>
    <n v="17730"/>
    <n v="28470"/>
    <n v="10740"/>
    <s v="profit"/>
  </r>
  <r>
    <x v="173"/>
    <s v="november"/>
    <s v="Apex Wellness Products"/>
    <s v="Electronic"/>
    <x v="7"/>
    <s v="Uttar Pradesh"/>
    <s v="Female"/>
    <n v="29"/>
    <n v="621"/>
    <n v="1485"/>
    <n v="18009"/>
    <n v="43065"/>
    <n v="25056"/>
    <s v="profit"/>
  </r>
  <r>
    <x v="175"/>
    <s v="december"/>
    <s v="Pure Harmony Innovations"/>
    <s v="Electronic"/>
    <x v="7"/>
    <s v="Tamil Nadu"/>
    <s v="Female"/>
    <n v="30"/>
    <n v="857"/>
    <n v="1455"/>
    <n v="25710"/>
    <n v="43650"/>
    <n v="17940"/>
    <s v="profit"/>
  </r>
  <r>
    <x v="176"/>
    <s v="december"/>
    <s v="Legacy Media Group"/>
    <s v="Electronic"/>
    <x v="7"/>
    <s v="Tamil Nadu"/>
    <s v="Female"/>
    <n v="20"/>
    <n v="897"/>
    <n v="1024"/>
    <n v="17940"/>
    <n v="20480"/>
    <n v="2540"/>
    <s v="profit"/>
  </r>
  <r>
    <x v="177"/>
    <s v="december"/>
    <s v="Horizon Tech Innovations"/>
    <s v="Electronic"/>
    <x v="7"/>
    <s v="Uttar Pradesh"/>
    <s v="Male"/>
    <n v="22"/>
    <n v="781"/>
    <n v="1423"/>
    <n v="17182"/>
    <n v="31306"/>
    <n v="14124"/>
    <s v="profit"/>
  </r>
  <r>
    <x v="178"/>
    <s v="december"/>
    <s v="Crystal Spectrum Consulting"/>
    <s v="Electronic"/>
    <x v="7"/>
    <s v="Jharkhand"/>
    <s v="Male"/>
    <n v="20"/>
    <n v="854"/>
    <n v="956"/>
    <n v="17080"/>
    <n v="19120"/>
    <n v="2040"/>
    <s v="profit"/>
  </r>
  <r>
    <x v="179"/>
    <s v="december"/>
    <s v="Stellar Creative Co."/>
    <s v="Electronic"/>
    <x v="7"/>
    <s v="Kerala"/>
    <s v="Male"/>
    <n v="26"/>
    <n v="909"/>
    <n v="1206"/>
    <n v="23634"/>
    <n v="31356"/>
    <n v="7722"/>
    <s v="profit"/>
  </r>
  <r>
    <x v="181"/>
    <s v="december"/>
    <s v="Radiance Media Ventures"/>
    <s v="Electronic"/>
    <x v="7"/>
    <s v="Maharashtra"/>
    <s v="Female"/>
    <n v="20"/>
    <n v="976"/>
    <n v="905"/>
    <n v="19520"/>
    <n v="18100"/>
    <n v="-1420"/>
    <s v="loss"/>
  </r>
  <r>
    <x v="182"/>
    <s v="december"/>
    <s v="Zenith Edge Services"/>
    <s v="Electronic"/>
    <x v="7"/>
    <s v="Uttarakhand"/>
    <s v="Male"/>
    <n v="24"/>
    <n v="787"/>
    <n v="1122"/>
    <n v="18888"/>
    <n v="26928"/>
    <n v="8040"/>
    <s v="profit"/>
  </r>
  <r>
    <x v="183"/>
    <s v="february"/>
    <s v="Stellar Consulting Services"/>
    <s v="Electronic"/>
    <x v="7"/>
    <s v="Maharashtra"/>
    <s v="Female"/>
    <n v="23"/>
    <n v="755"/>
    <n v="806"/>
    <n v="17365"/>
    <n v="18538"/>
    <n v="1173"/>
    <s v="profit"/>
  </r>
  <r>
    <x v="184"/>
    <s v="february"/>
    <s v="Radiant Ventures"/>
    <s v="Electronic"/>
    <x v="7"/>
    <s v="Himachal Pradesh"/>
    <s v="Female"/>
    <n v="26"/>
    <n v="573"/>
    <n v="1309"/>
    <n v="14898"/>
    <n v="34034"/>
    <n v="19136"/>
    <s v="profit"/>
  </r>
  <r>
    <x v="185"/>
    <s v="february"/>
    <s v="Harmony Tech Co."/>
    <s v="Electronic"/>
    <x v="7"/>
    <s v="Uttarakhand"/>
    <s v="Female"/>
    <n v="30"/>
    <n v="946"/>
    <n v="1089"/>
    <n v="28380"/>
    <n v="32670"/>
    <n v="4290"/>
    <s v="profit"/>
  </r>
  <r>
    <x v="187"/>
    <s v="february"/>
    <s v="Zenith Creative Ventures"/>
    <s v="Electronic"/>
    <x v="7"/>
    <s v="Assam"/>
    <s v="Male"/>
    <n v="22"/>
    <n v="679"/>
    <n v="1463"/>
    <n v="14938"/>
    <n v="32186"/>
    <n v="17248"/>
    <s v="profit"/>
  </r>
  <r>
    <x v="188"/>
    <s v="february"/>
    <s v="Apex Health Services"/>
    <s v="Electronic"/>
    <x v="7"/>
    <s v="Punjab"/>
    <s v="Male"/>
    <n v="25"/>
    <n v="975"/>
    <n v="935"/>
    <n v="24375"/>
    <n v="23375"/>
    <n v="-1000"/>
    <s v="loss"/>
  </r>
  <r>
    <x v="189"/>
    <s v="february"/>
    <s v="Pure Vision Media"/>
    <s v="Electronic"/>
    <x v="7"/>
    <s v="Chhattisgarh"/>
    <s v="Male"/>
    <n v="24"/>
    <n v="642"/>
    <n v="996"/>
    <n v="15408"/>
    <n v="23904"/>
    <n v="8496"/>
    <s v="profit"/>
  </r>
  <r>
    <x v="63"/>
    <s v="june"/>
    <s v="Radiant Enterprise Solutions"/>
    <s v="Decor"/>
    <x v="0"/>
    <s v="West Bengal"/>
    <s v="Female"/>
    <n v="14"/>
    <n v="603"/>
    <n v="1104"/>
    <n v="8442"/>
    <n v="15456"/>
    <n v="7014"/>
    <s v="profit"/>
  </r>
  <r>
    <x v="191"/>
    <s v="february"/>
    <s v="Legacy Innovations Group"/>
    <s v="Electronic"/>
    <x v="7"/>
    <s v="West Bengal"/>
    <s v="Male"/>
    <n v="29"/>
    <n v="598"/>
    <n v="923"/>
    <n v="17342"/>
    <n v="26767"/>
    <n v="9425"/>
    <s v="profit"/>
  </r>
  <r>
    <x v="192"/>
    <s v="february"/>
    <s v="Pinnacle Consulting Co."/>
    <s v="Electronic"/>
    <x v="7"/>
    <s v="West Bengal"/>
    <s v="Male"/>
    <n v="22"/>
    <n v="719"/>
    <n v="1079"/>
    <n v="15818"/>
    <n v="23738"/>
    <n v="7920"/>
    <s v="profit"/>
  </r>
  <r>
    <x v="193"/>
    <s v="february"/>
    <s v="Stellar Finance Group"/>
    <s v="Electronic"/>
    <x v="7"/>
    <s v="Madhya Pradesh"/>
    <s v="Female"/>
    <n v="30"/>
    <n v="716"/>
    <n v="956"/>
    <n v="21480"/>
    <n v="28680"/>
    <n v="7200"/>
    <s v="profit"/>
  </r>
  <r>
    <x v="194"/>
    <s v="february"/>
    <s v="Harmony Ventures Group"/>
    <s v="Electronic"/>
    <x v="7"/>
    <s v="Gujarat"/>
    <s v="Female"/>
    <n v="29"/>
    <n v="623"/>
    <n v="919"/>
    <n v="18067"/>
    <n v="26651"/>
    <n v="8584"/>
    <s v="profit"/>
  </r>
  <r>
    <x v="78"/>
    <s v="april"/>
    <s v="Bharat Innovations"/>
    <s v="Electronic"/>
    <x v="3"/>
    <s v="Delhi"/>
    <s v="Male"/>
    <n v="21"/>
    <n v="553"/>
    <n v="1459"/>
    <n v="11613"/>
    <n v="30639"/>
    <n v="19026"/>
    <s v="profit"/>
  </r>
  <r>
    <x v="64"/>
    <s v="june"/>
    <s v="Infinite Solutions"/>
    <s v="Fashion "/>
    <x v="6"/>
    <s v="Maharashtra"/>
    <s v="Female"/>
    <n v="77"/>
    <n v="923"/>
    <n v="1132"/>
    <n v="71071"/>
    <n v="87164"/>
    <n v="16093"/>
    <s v="profit"/>
  </r>
  <r>
    <x v="79"/>
    <s v="april"/>
    <s v="Green Leaf Enterprises"/>
    <s v="Electronic"/>
    <x v="9"/>
    <s v="Maharashtra"/>
    <s v="Male"/>
    <n v="30"/>
    <n v="719"/>
    <n v="1162"/>
    <n v="21570"/>
    <n v="34860"/>
    <n v="13290"/>
    <s v="profit"/>
  </r>
  <r>
    <x v="80"/>
    <s v="april"/>
    <s v="Urban Pulse Technologies"/>
    <s v="Electronic"/>
    <x v="9"/>
    <s v="West Bengal"/>
    <s v="Male"/>
    <n v="25"/>
    <n v="980"/>
    <n v="926"/>
    <n v="24500"/>
    <n v="23150"/>
    <n v="-1350"/>
    <s v="loss"/>
  </r>
  <r>
    <x v="82"/>
    <s v="april"/>
    <s v="Mystic India Exports"/>
    <s v="Electronic"/>
    <x v="9"/>
    <s v="Tamil Nadu"/>
    <s v="Male"/>
    <n v="22"/>
    <n v="718"/>
    <n v="1335"/>
    <n v="15796"/>
    <n v="29370"/>
    <n v="13574"/>
    <s v="profit"/>
  </r>
  <r>
    <x v="83"/>
    <s v="april"/>
    <s v="Pure Essence Skincare"/>
    <s v="Electronic"/>
    <x v="3"/>
    <s v="Rajasthan"/>
    <s v="Female"/>
    <n v="30"/>
    <n v="520"/>
    <n v="1251"/>
    <n v="15600"/>
    <n v="37530"/>
    <n v="21930"/>
    <s v="profit"/>
  </r>
  <r>
    <x v="84"/>
    <s v="april"/>
    <s v="Zenith Construction Co."/>
    <s v="Electronic"/>
    <x v="3"/>
    <s v="Gujarat"/>
    <s v="Female"/>
    <n v="26"/>
    <n v="808"/>
    <n v="1135"/>
    <n v="21008"/>
    <n v="29510"/>
    <n v="8502"/>
    <s v="profit"/>
  </r>
  <r>
    <x v="85"/>
    <s v="april"/>
    <s v="Radiant Health Systems"/>
    <s v="Electronic"/>
    <x v="3"/>
    <s v="Uttar Pradesh"/>
    <s v="Female"/>
    <n v="23"/>
    <n v="504"/>
    <n v="1328"/>
    <n v="11592"/>
    <n v="30544"/>
    <n v="18952"/>
    <s v="profit"/>
  </r>
  <r>
    <x v="87"/>
    <s v="april"/>
    <s v="Divine Creations"/>
    <s v="Electronic"/>
    <x v="3"/>
    <s v="Uttar Pradesh"/>
    <s v="Female"/>
    <n v="28"/>
    <n v="918"/>
    <n v="808"/>
    <n v="25704"/>
    <n v="22624"/>
    <n v="-3080"/>
    <s v="loss"/>
  </r>
  <r>
    <x v="88"/>
    <s v="april"/>
    <s v="True Path Logistics"/>
    <s v="Electronic"/>
    <x v="3"/>
    <s v="Madhya Pradesh"/>
    <s v="Female"/>
    <n v="27"/>
    <n v="966"/>
    <n v="850"/>
    <n v="26082"/>
    <n v="22950"/>
    <n v="-3132"/>
    <s v="loss"/>
  </r>
  <r>
    <x v="90"/>
    <s v="april"/>
    <s v="Prestige Automobiles"/>
    <s v="Electronic"/>
    <x v="4"/>
    <s v="Uttar Pradesh"/>
    <s v="Male"/>
    <n v="20"/>
    <n v="664"/>
    <n v="924"/>
    <n v="13280"/>
    <n v="18480"/>
    <n v="5200"/>
    <s v="profit"/>
  </r>
  <r>
    <x v="92"/>
    <s v="april"/>
    <s v="Natural Bliss Beverages"/>
    <s v="Electronic"/>
    <x v="4"/>
    <s v="Tamil Nadu"/>
    <s v="Male"/>
    <n v="26"/>
    <n v="608"/>
    <n v="1125"/>
    <n v="15808"/>
    <n v="29250"/>
    <n v="13442"/>
    <s v="profit"/>
  </r>
  <r>
    <x v="65"/>
    <s v="july"/>
    <s v="Synergy Solutions Group"/>
    <s v="Decor"/>
    <x v="2"/>
    <s v="Maharashtra"/>
    <s v="Female"/>
    <n v="19"/>
    <n v="860"/>
    <n v="1234"/>
    <n v="16340"/>
    <n v="23446"/>
    <n v="7106"/>
    <s v="profit"/>
  </r>
  <r>
    <x v="94"/>
    <s v="april"/>
    <s v="Modern Trends Fashion"/>
    <s v="Electronic"/>
    <x v="4"/>
    <s v="Uttar Pradesh"/>
    <s v="Female"/>
    <n v="24"/>
    <n v="826"/>
    <n v="975"/>
    <n v="19824"/>
    <n v="23400"/>
    <n v="3576"/>
    <s v="profit"/>
  </r>
  <r>
    <x v="95"/>
    <s v="april"/>
    <s v="Heritage Crafts"/>
    <s v="Electronic"/>
    <x v="4"/>
    <s v="Jharkhand"/>
    <s v="Female"/>
    <n v="24"/>
    <n v="877"/>
    <n v="762"/>
    <n v="21048"/>
    <n v="18288"/>
    <n v="-2760"/>
    <s v="loss"/>
  </r>
  <r>
    <x v="96"/>
    <s v="april"/>
    <s v="Future Insights Analytics"/>
    <s v="Electronic"/>
    <x v="4"/>
    <s v="Kerala"/>
    <s v="Female"/>
    <n v="23"/>
    <n v="736"/>
    <n v="872"/>
    <n v="16928"/>
    <n v="20056"/>
    <n v="3128"/>
    <s v="profit"/>
  </r>
  <r>
    <x v="97"/>
    <s v="april"/>
    <s v="Emerald Estate Developers"/>
    <s v="Electronic"/>
    <x v="4"/>
    <s v="Maharashtra"/>
    <s v="Female"/>
    <n v="27"/>
    <n v="828"/>
    <n v="1008"/>
    <n v="22356"/>
    <n v="27216"/>
    <n v="4860"/>
    <s v="profit"/>
  </r>
  <r>
    <x v="98"/>
    <s v="april"/>
    <s v="Starlight Media Group"/>
    <s v="Electronic"/>
    <x v="4"/>
    <s v="Himachal Pradesh"/>
    <s v="Female"/>
    <n v="28"/>
    <n v="901"/>
    <n v="1260"/>
    <n v="25228"/>
    <n v="35280"/>
    <n v="10052"/>
    <s v="profit"/>
  </r>
  <r>
    <x v="99"/>
    <s v="may"/>
    <s v="Supreme Electronics"/>
    <s v="Electronic"/>
    <x v="4"/>
    <s v="Uttarakhand"/>
    <s v="Female"/>
    <n v="28"/>
    <n v="796"/>
    <n v="1407"/>
    <n v="22288"/>
    <n v="39396"/>
    <n v="17108"/>
    <s v="profit"/>
  </r>
  <r>
    <x v="100"/>
    <s v="may"/>
    <s v="Optimum Wellness"/>
    <s v="Electronic"/>
    <x v="4"/>
    <s v="Assam"/>
    <s v="Male"/>
    <n v="27"/>
    <n v="794"/>
    <n v="905"/>
    <n v="21438"/>
    <n v="24435"/>
    <n v="2997"/>
    <s v="profit"/>
  </r>
  <r>
    <x v="101"/>
    <s v="may"/>
    <s v="Zenith Books Publishing"/>
    <s v="Electronic"/>
    <x v="4"/>
    <s v="Punjab"/>
    <s v="Male"/>
    <n v="20"/>
    <n v="812"/>
    <n v="1248"/>
    <n v="16240"/>
    <n v="24960"/>
    <n v="8720"/>
    <s v="profit"/>
  </r>
  <r>
    <x v="102"/>
    <s v="may"/>
    <s v="Pinnacle Innovations"/>
    <s v="Electronic"/>
    <x v="4"/>
    <s v="Chhattisgarh"/>
    <s v="Male"/>
    <n v="20"/>
    <n v="908"/>
    <n v="1130"/>
    <n v="18160"/>
    <n v="22600"/>
    <n v="4440"/>
    <s v="profit"/>
  </r>
  <r>
    <x v="103"/>
    <s v="may"/>
    <s v="Apex Travel Services"/>
    <s v="Electronic"/>
    <x v="4"/>
    <s v="West Bengal"/>
    <s v="Male"/>
    <n v="23"/>
    <n v="846"/>
    <n v="1143"/>
    <n v="19458"/>
    <n v="26289"/>
    <n v="6831"/>
    <s v="profit"/>
  </r>
  <r>
    <x v="104"/>
    <s v="may"/>
    <s v="Golden Era Realty"/>
    <s v="Electronic"/>
    <x v="4"/>
    <s v="West Bengal"/>
    <s v="Female"/>
    <n v="25"/>
    <n v="627"/>
    <n v="1071"/>
    <n v="15675"/>
    <n v="26775"/>
    <n v="11100"/>
    <s v="profit"/>
  </r>
  <r>
    <x v="106"/>
    <s v="may"/>
    <s v="Radiant Jewelry"/>
    <s v="Electronic"/>
    <x v="7"/>
    <s v="Madhya Pradesh"/>
    <s v="Female"/>
    <n v="27"/>
    <n v="817"/>
    <n v="977"/>
    <n v="22059"/>
    <n v="26379"/>
    <n v="4320"/>
    <s v="profit"/>
  </r>
  <r>
    <x v="66"/>
    <s v="july"/>
    <s v="Horizon Tech Solutions"/>
    <s v="Electronic"/>
    <x v="7"/>
    <s v="Uttar Pradesh"/>
    <s v="Female"/>
    <n v="29"/>
    <n v="929"/>
    <n v="1429"/>
    <n v="26941"/>
    <n v="41441"/>
    <n v="14500"/>
    <s v="profit"/>
  </r>
  <r>
    <x v="107"/>
    <s v="may"/>
    <s v="Infinity Ventures"/>
    <s v="Electronic"/>
    <x v="7"/>
    <s v="Jharkhand"/>
    <s v="Female"/>
    <n v="27"/>
    <n v="675"/>
    <n v="1138"/>
    <n v="18225"/>
    <n v="30726"/>
    <n v="12501"/>
    <s v="profit"/>
  </r>
  <r>
    <x v="109"/>
    <s v="may"/>
    <s v="Royal Taste Foods"/>
    <s v="Electronic"/>
    <x v="7"/>
    <s v="West Bengal"/>
    <s v="Female"/>
    <n v="22"/>
    <n v="695"/>
    <n v="830"/>
    <n v="15290"/>
    <n v="18260"/>
    <n v="2970"/>
    <s v="profit"/>
  </r>
  <r>
    <x v="110"/>
    <s v="may"/>
    <s v="Harmony Homes"/>
    <s v="Electronic"/>
    <x v="7"/>
    <s v="Karnataka"/>
    <s v="Female"/>
    <n v="21"/>
    <n v="781"/>
    <n v="816"/>
    <n v="16401"/>
    <n v="17136"/>
    <n v="735"/>
    <s v="profit"/>
  </r>
  <r>
    <x v="111"/>
    <s v="may"/>
    <s v="Urban Edge Consulting"/>
    <s v="Electronic"/>
    <x v="7"/>
    <s v="Delhi"/>
    <s v="Female"/>
    <n v="25"/>
    <n v="517"/>
    <n v="939"/>
    <n v="12925"/>
    <n v="23475"/>
    <n v="10550"/>
    <s v="profit"/>
  </r>
  <r>
    <x v="112"/>
    <s v="may"/>
    <s v="Prime Tech Innovations"/>
    <s v="Electronic"/>
    <x v="7"/>
    <s v="Maharashtra"/>
    <s v="Female"/>
    <n v="24"/>
    <n v="730"/>
    <n v="886"/>
    <n v="17520"/>
    <n v="21264"/>
    <n v="3744"/>
    <s v="profit"/>
  </r>
  <r>
    <x v="114"/>
    <s v="may"/>
    <s v="Legacy Designs"/>
    <s v="Electronic"/>
    <x v="7"/>
    <s v="West Bengal"/>
    <s v="Female"/>
    <n v="23"/>
    <n v="811"/>
    <n v="1142"/>
    <n v="18653"/>
    <n v="26266"/>
    <n v="7613"/>
    <s v="profit"/>
  </r>
  <r>
    <x v="115"/>
    <s v="may"/>
    <s v="Virtue Enterprises"/>
    <s v="Electronic"/>
    <x v="7"/>
    <s v="Tamil Nadu"/>
    <s v="Female"/>
    <n v="21"/>
    <n v="967"/>
    <n v="888"/>
    <n v="20307"/>
    <n v="18648"/>
    <n v="-1659"/>
    <s v="loss"/>
  </r>
  <r>
    <x v="116"/>
    <s v="may"/>
    <s v="Radiant Health Club"/>
    <s v="Electronic"/>
    <x v="7"/>
    <s v="Karnataka"/>
    <s v="Female"/>
    <n v="29"/>
    <n v="655"/>
    <n v="950"/>
    <n v="18995"/>
    <n v="27550"/>
    <n v="8555"/>
    <s v="profit"/>
  </r>
  <r>
    <x v="118"/>
    <s v="may"/>
    <s v="Bright Horizon Ventures"/>
    <s v="Electronic"/>
    <x v="7"/>
    <s v="Telangana"/>
    <s v="Male"/>
    <n v="30"/>
    <n v="616"/>
    <n v="804"/>
    <n v="18480"/>
    <n v="24120"/>
    <n v="5640"/>
    <s v="profit"/>
  </r>
  <r>
    <x v="120"/>
    <s v="may"/>
    <s v="Modern Lifestyle Products"/>
    <s v="Electronic"/>
    <x v="7"/>
    <s v="Gujarat"/>
    <s v="Male"/>
    <n v="30"/>
    <n v="709"/>
    <n v="1209"/>
    <n v="21270"/>
    <n v="36270"/>
    <n v="15000"/>
    <s v="profit"/>
  </r>
  <r>
    <x v="121"/>
    <s v="may"/>
    <s v="Nexus Trading Co."/>
    <s v="Electronic"/>
    <x v="7"/>
    <s v="Maharashtra"/>
    <s v="Male"/>
    <n v="23"/>
    <n v="875"/>
    <n v="843"/>
    <n v="20125"/>
    <n v="19389"/>
    <n v="-736"/>
    <s v="loss"/>
  </r>
  <r>
    <x v="122"/>
    <s v="july"/>
    <s v="Radiance Health and Wellness"/>
    <s v="Electronic"/>
    <x v="7"/>
    <s v="Uttar Pradesh"/>
    <s v="Male"/>
    <n v="26"/>
    <n v="766"/>
    <n v="836"/>
    <n v="19916"/>
    <n v="21736"/>
    <n v="1820"/>
    <s v="profit"/>
  </r>
  <r>
    <x v="123"/>
    <s v="july"/>
    <s v="Legacy Auto Works"/>
    <s v="Electronic"/>
    <x v="7"/>
    <s v="Tamil Nadu"/>
    <s v="Male"/>
    <n v="23"/>
    <n v="589"/>
    <n v="982"/>
    <n v="13547"/>
    <n v="22586"/>
    <n v="9039"/>
    <s v="profit"/>
  </r>
  <r>
    <x v="124"/>
    <s v="july"/>
    <s v="Prime Essence Creations"/>
    <s v="Electronic"/>
    <x v="7"/>
    <s v="Tamil Nadu"/>
    <s v="Male"/>
    <n v="24"/>
    <n v="718"/>
    <n v="1218"/>
    <n v="17232"/>
    <n v="29232"/>
    <n v="12000"/>
    <s v="profit"/>
  </r>
  <r>
    <x v="125"/>
    <s v="july"/>
    <s v="Quantum Ventures"/>
    <s v="Electronic"/>
    <x v="7"/>
    <s v="Rajasthan"/>
    <s v="Male"/>
    <n v="22"/>
    <n v="877"/>
    <n v="1120"/>
    <n v="19294"/>
    <n v="24640"/>
    <n v="5346"/>
    <s v="profit"/>
  </r>
  <r>
    <x v="126"/>
    <s v="july"/>
    <s v="Urban Legends Apparel"/>
    <s v="Electronic"/>
    <x v="7"/>
    <s v="Jharkhand"/>
    <s v="Female"/>
    <n v="23"/>
    <n v="641"/>
    <n v="1445"/>
    <n v="14743"/>
    <n v="33235"/>
    <n v="18492"/>
    <s v="profit"/>
  </r>
  <r>
    <x v="127"/>
    <s v="july"/>
    <s v="Pure Bliss Beverages"/>
    <s v="Electronic"/>
    <x v="7"/>
    <s v="Kerala"/>
    <s v="Female"/>
    <n v="30"/>
    <n v="916"/>
    <n v="1497"/>
    <n v="27480"/>
    <n v="44910"/>
    <n v="17430"/>
    <s v="profit"/>
  </r>
  <r>
    <x v="128"/>
    <s v="july"/>
    <s v="Noble Heights Builders"/>
    <s v="Electronic"/>
    <x v="7"/>
    <s v="Maharashtra"/>
    <s v="Female"/>
    <n v="28"/>
    <n v="588"/>
    <n v="784"/>
    <n v="16464"/>
    <n v="21952"/>
    <n v="5488"/>
    <s v="profit"/>
  </r>
  <r>
    <x v="67"/>
    <s v="august"/>
    <s v="Apex Wellness Solutions"/>
    <s v="Fashion "/>
    <x v="8"/>
    <s v="Karnataka"/>
    <s v="Male"/>
    <n v="60"/>
    <n v="642"/>
    <n v="1497"/>
    <n v="38520"/>
    <n v="89820"/>
    <n v="51300"/>
    <s v="profit"/>
  </r>
  <r>
    <x v="130"/>
    <s v="july"/>
    <s v="Radiant Foods"/>
    <s v="Electronic"/>
    <x v="7"/>
    <s v="Himachal Pradesh"/>
    <s v="Female"/>
    <n v="26"/>
    <n v="969"/>
    <n v="1087"/>
    <n v="25194"/>
    <n v="28262"/>
    <n v="3068"/>
    <s v="profit"/>
  </r>
  <r>
    <x v="131"/>
    <s v="july"/>
    <s v="Zenith Financial Services"/>
    <s v="Electronic"/>
    <x v="7"/>
    <s v="Uttarakhand"/>
    <s v="Female"/>
    <n v="25"/>
    <n v="839"/>
    <n v="1233"/>
    <n v="20975"/>
    <n v="30825"/>
    <n v="9850"/>
    <s v="profit"/>
  </r>
  <r>
    <x v="133"/>
    <s v="july"/>
    <s v="Apex Travel Ventures"/>
    <s v="Electronic"/>
    <x v="7"/>
    <s v="Assam"/>
    <s v="Female"/>
    <n v="25"/>
    <n v="536"/>
    <n v="1407"/>
    <n v="13400"/>
    <n v="35175"/>
    <n v="21775"/>
    <s v="profit"/>
  </r>
  <r>
    <x v="134"/>
    <s v="august"/>
    <s v="Future Vision Realty"/>
    <s v="Electronic"/>
    <x v="7"/>
    <s v="Maharashtra"/>
    <s v="Male"/>
    <n v="27"/>
    <n v="966"/>
    <n v="1255"/>
    <n v="26082"/>
    <n v="33885"/>
    <n v="7803"/>
    <s v="profit"/>
  </r>
  <r>
    <x v="68"/>
    <s v="august"/>
    <s v="Radiance Tech Solutions"/>
    <s v="Decor"/>
    <x v="2"/>
    <s v="Gujarat"/>
    <s v="Female"/>
    <n v="20"/>
    <n v="525"/>
    <n v="1122"/>
    <n v="10500"/>
    <n v="22440"/>
    <n v="11940"/>
    <s v="profit"/>
  </r>
  <r>
    <x v="135"/>
    <s v="august"/>
    <s v="Urban Pulse Media"/>
    <s v="Electronic"/>
    <x v="7"/>
    <s v="Chandigarh"/>
    <s v="Male"/>
    <n v="23"/>
    <n v="694"/>
    <n v="1309"/>
    <n v="15962"/>
    <n v="30107"/>
    <n v="14145"/>
    <s v="profit"/>
  </r>
  <r>
    <x v="136"/>
    <s v="august"/>
    <s v="True Essence Health"/>
    <s v="Electronic"/>
    <x v="7"/>
    <s v="Madhya Pradesh"/>
    <s v="Female"/>
    <n v="22"/>
    <n v="749"/>
    <n v="850"/>
    <n v="16478"/>
    <n v="18700"/>
    <n v="2222"/>
    <s v="profit"/>
  </r>
  <r>
    <x v="138"/>
    <s v="august"/>
    <s v="Radiant Vision Realty"/>
    <s v="Electronic"/>
    <x v="7"/>
    <s v="Bihar"/>
    <s v="Male"/>
    <n v="24"/>
    <n v="845"/>
    <n v="1429"/>
    <n v="20280"/>
    <n v="34296"/>
    <n v="14016"/>
    <s v="profit"/>
  </r>
  <r>
    <x v="139"/>
    <s v="august"/>
    <s v="Harmony Consulting Group"/>
    <s v="Electronic"/>
    <x v="7"/>
    <s v="Gujarat"/>
    <s v="Male"/>
    <n v="29"/>
    <n v="872"/>
    <n v="1351"/>
    <n v="25288"/>
    <n v="39179"/>
    <n v="13891"/>
    <s v="profit"/>
  </r>
  <r>
    <x v="141"/>
    <s v="august"/>
    <s v="Zenith Tech Ventures"/>
    <s v="Electronic"/>
    <x v="7"/>
    <s v="Uttar Pradesh"/>
    <s v="Male"/>
    <n v="27"/>
    <n v="674"/>
    <n v="1119"/>
    <n v="18198"/>
    <n v="30213"/>
    <n v="12015"/>
    <s v="profit"/>
  </r>
  <r>
    <x v="142"/>
    <s v="august"/>
    <s v="Stellar Health Services"/>
    <s v="Electronic"/>
    <x v="7"/>
    <s v="Uttar Pradesh"/>
    <s v="Female"/>
    <n v="27"/>
    <n v="583"/>
    <n v="1379"/>
    <n v="15741"/>
    <n v="37233"/>
    <n v="21492"/>
    <s v="profit"/>
  </r>
  <r>
    <x v="143"/>
    <s v="august"/>
    <s v="Pure Path Foods"/>
    <s v="Electronic"/>
    <x v="7"/>
    <s v="Tamil Nadu"/>
    <s v="Female"/>
    <n v="21"/>
    <n v="929"/>
    <n v="910"/>
    <n v="19509"/>
    <n v="19110"/>
    <n v="-399"/>
    <s v="loss"/>
  </r>
  <r>
    <x v="69"/>
    <s v="august"/>
    <s v="Apex Enterprise Solutions"/>
    <s v="Electronic"/>
    <x v="7"/>
    <s v="Andhra Pradesh"/>
    <s v="Male"/>
    <n v="23"/>
    <n v="884"/>
    <n v="1392"/>
    <n v="20332"/>
    <n v="32016"/>
    <n v="11684"/>
    <s v="profit"/>
  </r>
  <r>
    <x v="144"/>
    <s v="august"/>
    <s v="Bright Horizon Realty"/>
    <s v="Electronic"/>
    <x v="7"/>
    <s v="Rajasthan"/>
    <s v="Female"/>
    <n v="28"/>
    <n v="873"/>
    <n v="809"/>
    <n v="24444"/>
    <n v="22652"/>
    <n v="-1792"/>
    <s v="loss"/>
  </r>
  <r>
    <x v="146"/>
    <s v="october"/>
    <s v="Crystal Clear Consulting"/>
    <s v="Electronic"/>
    <x v="9"/>
    <s v="Rajasthan"/>
    <s v="Female"/>
    <n v="21"/>
    <n v="541"/>
    <n v="1339"/>
    <n v="11361"/>
    <n v="28119"/>
    <n v="16758"/>
    <s v="profit"/>
  </r>
  <r>
    <x v="147"/>
    <s v="october"/>
    <s v="Zenith Innovations"/>
    <s v="Electronic"/>
    <x v="9"/>
    <s v="Jharkhand"/>
    <s v="Male"/>
    <n v="22"/>
    <n v="725"/>
    <n v="1268"/>
    <n v="15950"/>
    <n v="27896"/>
    <n v="11946"/>
    <s v="profit"/>
  </r>
  <r>
    <x v="148"/>
    <s v="october"/>
    <s v="True Essence Innovations"/>
    <s v="Electronic"/>
    <x v="3"/>
    <s v="Assam"/>
    <s v="Male"/>
    <n v="21"/>
    <n v="596"/>
    <n v="838"/>
    <n v="12516"/>
    <n v="17598"/>
    <n v="5082"/>
    <s v="profit"/>
  </r>
  <r>
    <x v="150"/>
    <s v="november"/>
    <s v="Pinnacle Media Group"/>
    <s v="Electronic"/>
    <x v="3"/>
    <s v="Punjab"/>
    <s v="Male"/>
    <n v="30"/>
    <n v="910"/>
    <n v="1290"/>
    <n v="27300"/>
    <n v="38700"/>
    <n v="11400"/>
    <s v="profit"/>
  </r>
  <r>
    <x v="70"/>
    <s v="august"/>
    <s v="Prestige Solutions"/>
    <s v="Electronic"/>
    <x v="7"/>
    <s v="Tamil Nadu"/>
    <s v="Female"/>
    <n v="20"/>
    <n v="997"/>
    <n v="784"/>
    <n v="19940"/>
    <n v="15680"/>
    <n v="-4260"/>
    <s v="loss"/>
  </r>
  <r>
    <x v="152"/>
    <s v="november"/>
    <s v="Legacy Design Co."/>
    <s v="Electronic"/>
    <x v="3"/>
    <s v="Chhattisgarh"/>
    <s v="Male"/>
    <n v="25"/>
    <n v="532"/>
    <n v="1358"/>
    <n v="13300"/>
    <n v="33950"/>
    <n v="20650"/>
    <s v="profit"/>
  </r>
  <r>
    <x v="153"/>
    <s v="november"/>
    <s v="Apex Health Products"/>
    <s v="Electronic"/>
    <x v="3"/>
    <s v="West Bengal"/>
    <s v="Female"/>
    <n v="29"/>
    <n v="813"/>
    <n v="1241"/>
    <n v="23577"/>
    <n v="35989"/>
    <n v="12412"/>
    <s v="profit"/>
  </r>
  <r>
    <x v="154"/>
    <s v="november"/>
    <s v="Zenith Travel Ventures"/>
    <s v="Electronic"/>
    <x v="3"/>
    <s v="West Bengal"/>
    <s v="Female"/>
    <n v="28"/>
    <n v="858"/>
    <n v="1127"/>
    <n v="24024"/>
    <n v="31556"/>
    <n v="7532"/>
    <s v="profit"/>
  </r>
  <r>
    <x v="155"/>
    <s v="november"/>
    <s v="Pure Path Consulting"/>
    <s v="Electronic"/>
    <x v="3"/>
    <s v="Madhya Pradesh"/>
    <s v="Female"/>
    <n v="24"/>
    <n v="641"/>
    <n v="1337"/>
    <n v="15384"/>
    <n v="32088"/>
    <n v="16704"/>
    <s v="profit"/>
  </r>
  <r>
    <x v="157"/>
    <s v="november"/>
    <s v="Harmony Educational Group"/>
    <s v="Electronic"/>
    <x v="4"/>
    <s v="Karnataka"/>
    <s v="Male"/>
    <n v="25"/>
    <n v="709"/>
    <n v="1386"/>
    <n v="17725"/>
    <n v="34650"/>
    <n v="16925"/>
    <s v="profit"/>
  </r>
  <r>
    <x v="158"/>
    <s v="november"/>
    <s v="Radiant Design Studio"/>
    <s v="Electronic"/>
    <x v="4"/>
    <s v="Gujarat"/>
    <s v="Male"/>
    <n v="25"/>
    <n v="802"/>
    <n v="1126"/>
    <n v="20050"/>
    <n v="28150"/>
    <n v="8100"/>
    <s v="profit"/>
  </r>
  <r>
    <x v="159"/>
    <s v="november"/>
    <s v="Zenith Health Innovations"/>
    <s v="Electronic"/>
    <x v="4"/>
    <s v="Maharashtra"/>
    <s v="Male"/>
    <n v="23"/>
    <n v="893"/>
    <n v="761"/>
    <n v="20539"/>
    <n v="17503"/>
    <n v="-3036"/>
    <s v="loss"/>
  </r>
  <r>
    <x v="160"/>
    <s v="november"/>
    <s v="Apex Realty Ventures"/>
    <s v="Electronic"/>
    <x v="4"/>
    <s v="Rajasthan"/>
    <s v="Male"/>
    <n v="29"/>
    <n v="852"/>
    <n v="1452"/>
    <n v="24708"/>
    <n v="42108"/>
    <n v="17400"/>
    <s v="profit"/>
  </r>
  <r>
    <x v="71"/>
    <s v="august"/>
    <s v="Urban Wave Solutions"/>
    <s v="Fashion "/>
    <x v="6"/>
    <s v="Punjab"/>
    <s v="Male"/>
    <n v="64"/>
    <n v="580"/>
    <n v="1164"/>
    <n v="37120"/>
    <n v="74496"/>
    <n v="37376"/>
    <s v="profit"/>
  </r>
  <r>
    <x v="161"/>
    <s v="november"/>
    <s v="True Value Ventures"/>
    <s v="Electronic"/>
    <x v="4"/>
    <s v="Uttar Pradesh"/>
    <s v="Female"/>
    <n v="23"/>
    <n v="747"/>
    <n v="1340"/>
    <n v="17181"/>
    <n v="30820"/>
    <n v="13639"/>
    <s v="profit"/>
  </r>
  <r>
    <x v="162"/>
    <s v="november"/>
    <s v="Crystal Clear Designs"/>
    <s v="Electronic"/>
    <x v="4"/>
    <s v="Maharashtra"/>
    <s v="Male"/>
    <n v="26"/>
    <n v="625"/>
    <n v="1298"/>
    <n v="16250"/>
    <n v="33748"/>
    <n v="17498"/>
    <s v="profit"/>
  </r>
  <r>
    <x v="164"/>
    <s v="november"/>
    <s v="Pinnacle Innovations Co."/>
    <s v="Electronic"/>
    <x v="4"/>
    <s v="Madhya Pradesh"/>
    <s v="Male"/>
    <n v="23"/>
    <n v="706"/>
    <n v="988"/>
    <n v="16238"/>
    <n v="22724"/>
    <n v="6486"/>
    <s v="profit"/>
  </r>
  <r>
    <x v="166"/>
    <s v="november"/>
    <s v="Modern Pathways"/>
    <s v="Electronic"/>
    <x v="4"/>
    <s v="Maharashtra"/>
    <s v="Male"/>
    <n v="28"/>
    <n v="858"/>
    <n v="1113"/>
    <n v="24024"/>
    <n v="31164"/>
    <n v="7140"/>
    <s v="profit"/>
  </r>
  <r>
    <x v="72"/>
    <s v="september"/>
    <s v="Visionary Realty Solutions"/>
    <s v="Fashion "/>
    <x v="8"/>
    <s v="Jharkhand"/>
    <s v="Female"/>
    <n v="52"/>
    <n v="893"/>
    <n v="1055"/>
    <n v="46436"/>
    <n v="54860"/>
    <n v="8424"/>
    <s v="profit"/>
  </r>
  <r>
    <x v="168"/>
    <s v="november"/>
    <s v="Stellar Finance Co."/>
    <s v="Electronic"/>
    <x v="4"/>
    <s v="Chandigarh"/>
    <s v="Male"/>
    <n v="24"/>
    <n v="736"/>
    <n v="1406"/>
    <n v="17664"/>
    <n v="33744"/>
    <n v="16080"/>
    <s v="profit"/>
  </r>
  <r>
    <x v="169"/>
    <s v="november"/>
    <s v="Radiant Spectrum Group"/>
    <s v="Electronic"/>
    <x v="4"/>
    <s v="Madhya Pradesh"/>
    <s v="Male"/>
    <n v="20"/>
    <n v="599"/>
    <n v="1023"/>
    <n v="11980"/>
    <n v="20460"/>
    <n v="8480"/>
    <s v="profit"/>
  </r>
  <r>
    <x v="170"/>
    <s v="november"/>
    <s v="Harmony Design Ventures"/>
    <s v="Electronic"/>
    <x v="4"/>
    <s v="Andhra Pradesh"/>
    <s v="Female"/>
    <n v="22"/>
    <n v="524"/>
    <n v="1147"/>
    <n v="11528"/>
    <n v="25234"/>
    <n v="13706"/>
    <s v="profit"/>
  </r>
  <r>
    <x v="171"/>
    <s v="november"/>
    <s v="Elite Edge Products"/>
    <s v="Electronic"/>
    <x v="4"/>
    <s v="Bihar"/>
    <s v="Female"/>
    <n v="27"/>
    <n v="744"/>
    <n v="1253"/>
    <n v="20088"/>
    <n v="33831"/>
    <n v="13743"/>
    <s v="profit"/>
  </r>
  <r>
    <x v="172"/>
    <s v="november"/>
    <s v="Zenith Consulting Co."/>
    <s v="Electronic"/>
    <x v="7"/>
    <s v="Gujarat"/>
    <s v="Female"/>
    <n v="27"/>
    <n v="826"/>
    <n v="917"/>
    <n v="22302"/>
    <n v="24759"/>
    <n v="2457"/>
    <s v="profit"/>
  </r>
  <r>
    <x v="173"/>
    <s v="november"/>
    <s v="Apex Wellness Products"/>
    <s v="Electronic"/>
    <x v="7"/>
    <s v="Uttar Pradesh"/>
    <s v="Female"/>
    <n v="27"/>
    <n v="573"/>
    <n v="1266"/>
    <n v="15471"/>
    <n v="34182"/>
    <n v="18711"/>
    <s v="profit"/>
  </r>
  <r>
    <x v="175"/>
    <s v="december"/>
    <s v="Pure Harmony Innovations"/>
    <s v="Electronic"/>
    <x v="7"/>
    <s v="Tamil Nadu"/>
    <s v="Female"/>
    <n v="28"/>
    <n v="798"/>
    <n v="1131"/>
    <n v="22344"/>
    <n v="31668"/>
    <n v="9324"/>
    <s v="profit"/>
  </r>
  <r>
    <x v="176"/>
    <s v="december"/>
    <s v="Legacy Media Group"/>
    <s v="Electronic"/>
    <x v="7"/>
    <s v="Tamil Nadu"/>
    <s v="Female"/>
    <n v="25"/>
    <n v="982"/>
    <n v="1479"/>
    <n v="24550"/>
    <n v="36975"/>
    <n v="12425"/>
    <s v="profit"/>
  </r>
  <r>
    <x v="73"/>
    <s v="september"/>
    <s v="Pure Essence Solutions"/>
    <s v="Decor"/>
    <x v="2"/>
    <s v="Gujarat"/>
    <s v="Female"/>
    <n v="19"/>
    <n v="938"/>
    <n v="1348"/>
    <n v="17822"/>
    <n v="25612"/>
    <n v="7790"/>
    <s v="profit"/>
  </r>
  <r>
    <x v="177"/>
    <s v="december"/>
    <s v="Horizon Tech Innovations"/>
    <s v="Electronic"/>
    <x v="7"/>
    <s v="Uttar Pradesh"/>
    <s v="Male"/>
    <n v="29"/>
    <n v="841"/>
    <n v="854"/>
    <n v="24389"/>
    <n v="24766"/>
    <n v="377"/>
    <s v="profit"/>
  </r>
  <r>
    <x v="178"/>
    <s v="december"/>
    <s v="Crystal Spectrum Consulting"/>
    <s v="Electronic"/>
    <x v="7"/>
    <s v="Jharkhand"/>
    <s v="Male"/>
    <n v="21"/>
    <n v="691"/>
    <n v="1142"/>
    <n v="14511"/>
    <n v="23982"/>
    <n v="9471"/>
    <s v="profit"/>
  </r>
  <r>
    <x v="179"/>
    <s v="december"/>
    <s v="Stellar Creative Co."/>
    <s v="Electronic"/>
    <x v="7"/>
    <s v="Kerala"/>
    <s v="Male"/>
    <n v="24"/>
    <n v="526"/>
    <n v="808"/>
    <n v="12624"/>
    <n v="19392"/>
    <n v="6768"/>
    <s v="profit"/>
  </r>
  <r>
    <x v="181"/>
    <s v="december"/>
    <s v="Radiance Media Ventures"/>
    <s v="Electronic"/>
    <x v="7"/>
    <s v="Maharashtra"/>
    <s v="Female"/>
    <n v="29"/>
    <n v="932"/>
    <n v="1316"/>
    <n v="27028"/>
    <n v="38164"/>
    <n v="11136"/>
    <s v="profit"/>
  </r>
  <r>
    <x v="74"/>
    <s v="september"/>
    <s v="Crystal Health Solutions"/>
    <s v="Decor"/>
    <x v="2"/>
    <s v="Uttar Pradesh"/>
    <s v="Male"/>
    <n v="17"/>
    <n v="614"/>
    <n v="1273"/>
    <n v="10438"/>
    <n v="21641"/>
    <n v="11203"/>
    <s v="profit"/>
  </r>
  <r>
    <x v="182"/>
    <s v="december"/>
    <s v="Zenith Edge Services"/>
    <s v="Electronic"/>
    <x v="7"/>
    <s v="Uttarakhand"/>
    <s v="Male"/>
    <n v="22"/>
    <n v="603"/>
    <n v="794"/>
    <n v="13266"/>
    <n v="17468"/>
    <n v="4202"/>
    <s v="profit"/>
  </r>
  <r>
    <x v="183"/>
    <s v="february"/>
    <s v="Stellar Consulting Services"/>
    <s v="Electronic"/>
    <x v="7"/>
    <s v="Maharashtra"/>
    <s v="Female"/>
    <n v="30"/>
    <n v="946"/>
    <n v="1109"/>
    <n v="28380"/>
    <n v="33270"/>
    <n v="4890"/>
    <s v="profit"/>
  </r>
  <r>
    <x v="184"/>
    <s v="february"/>
    <s v="Radiant Ventures"/>
    <s v="Electronic"/>
    <x v="7"/>
    <s v="Himachal Pradesh"/>
    <s v="Female"/>
    <n v="24"/>
    <n v="580"/>
    <n v="809"/>
    <n v="13920"/>
    <n v="19416"/>
    <n v="5496"/>
    <s v="profit"/>
  </r>
  <r>
    <x v="185"/>
    <s v="february"/>
    <s v="Harmony Tech Co."/>
    <s v="Electronic"/>
    <x v="7"/>
    <s v="Uttarakhand"/>
    <s v="Female"/>
    <n v="30"/>
    <n v="732"/>
    <n v="944"/>
    <n v="21960"/>
    <n v="28320"/>
    <n v="6360"/>
    <s v="profit"/>
  </r>
  <r>
    <x v="187"/>
    <s v="february"/>
    <s v="Zenith Creative Ventures"/>
    <s v="Electronic"/>
    <x v="7"/>
    <s v="Assam"/>
    <s v="Male"/>
    <n v="20"/>
    <n v="552"/>
    <n v="1261"/>
    <n v="11040"/>
    <n v="25220"/>
    <n v="14180"/>
    <s v="profit"/>
  </r>
  <r>
    <x v="188"/>
    <s v="february"/>
    <s v="Apex Health Services"/>
    <s v="Electronic"/>
    <x v="7"/>
    <s v="Punjab"/>
    <s v="Male"/>
    <n v="21"/>
    <n v="876"/>
    <n v="1452"/>
    <n v="18396"/>
    <n v="30492"/>
    <n v="12096"/>
    <s v="profit"/>
  </r>
  <r>
    <x v="189"/>
    <s v="february"/>
    <s v="Pure Vision Media"/>
    <s v="Electronic"/>
    <x v="7"/>
    <s v="Chhattisgarh"/>
    <s v="Male"/>
    <n v="27"/>
    <n v="636"/>
    <n v="1284"/>
    <n v="17172"/>
    <n v="34668"/>
    <n v="17496"/>
    <s v="profit"/>
  </r>
  <r>
    <x v="191"/>
    <s v="february"/>
    <s v="Legacy Innovations Group"/>
    <s v="Electronic"/>
    <x v="7"/>
    <s v="West Bengal"/>
    <s v="Male"/>
    <n v="21"/>
    <n v="974"/>
    <n v="1363"/>
    <n v="20454"/>
    <n v="28623"/>
    <n v="8169"/>
    <s v="profit"/>
  </r>
  <r>
    <x v="75"/>
    <s v="september"/>
    <s v="Stellar Travel Solutions"/>
    <s v="Decor"/>
    <x v="0"/>
    <s v="Uttar Pradesh"/>
    <s v="Female"/>
    <n v="10"/>
    <n v="572"/>
    <n v="801"/>
    <n v="5720"/>
    <n v="8010"/>
    <n v="2290"/>
    <s v="profit"/>
  </r>
  <r>
    <x v="192"/>
    <s v="february"/>
    <s v="Pinnacle Consulting Co."/>
    <s v="Electronic"/>
    <x v="7"/>
    <s v="West Bengal"/>
    <s v="Male"/>
    <n v="30"/>
    <n v="518"/>
    <n v="858"/>
    <n v="15540"/>
    <n v="25740"/>
    <n v="10200"/>
    <s v="profit"/>
  </r>
  <r>
    <x v="76"/>
    <s v="september"/>
    <s v="Pure Harmony Solutions"/>
    <s v="Decor"/>
    <x v="0"/>
    <s v="Tamil Nadu"/>
    <s v="Female"/>
    <n v="12"/>
    <n v="674"/>
    <n v="1265"/>
    <n v="8088"/>
    <n v="15180"/>
    <n v="7092"/>
    <s v="profit"/>
  </r>
  <r>
    <x v="193"/>
    <s v="february"/>
    <s v="Stellar Finance Group"/>
    <s v="Electronic"/>
    <x v="7"/>
    <s v="Madhya Pradesh"/>
    <s v="Female"/>
    <n v="21"/>
    <n v="531"/>
    <n v="955"/>
    <n v="11151"/>
    <n v="20055"/>
    <n v="8904"/>
    <s v="profit"/>
  </r>
  <r>
    <x v="194"/>
    <s v="february"/>
    <s v="Harmony Ventures Group"/>
    <s v="Electronic"/>
    <x v="7"/>
    <s v="Gujarat"/>
    <s v="Female"/>
    <n v="26"/>
    <n v="842"/>
    <n v="1074"/>
    <n v="21892"/>
    <n v="27924"/>
    <n v="6032"/>
    <s v="profit"/>
  </r>
  <r>
    <x v="198"/>
    <s v="april"/>
    <s v="Golden Horizon Ventures"/>
    <s v="Fashion "/>
    <x v="1"/>
    <s v="Karnataka"/>
    <s v="Male"/>
    <n v="95"/>
    <n v="936"/>
    <n v="1350"/>
    <n v="88920"/>
    <n v="128250"/>
    <n v="39330"/>
    <s v="profit"/>
  </r>
  <r>
    <x v="199"/>
    <s v="april"/>
    <s v="Eternal Traditions"/>
    <s v="Fashion "/>
    <x v="1"/>
    <s v="Telangana"/>
    <s v="Male"/>
    <n v="84"/>
    <n v="784"/>
    <n v="965"/>
    <n v="65856"/>
    <n v="81060"/>
    <n v="15204"/>
    <s v="profit"/>
  </r>
  <r>
    <x v="200"/>
    <s v="april"/>
    <s v="Harmony Foods"/>
    <s v="Fashion "/>
    <x v="1"/>
    <s v="Maharashtra"/>
    <s v="Male"/>
    <n v="51"/>
    <n v="847"/>
    <n v="972"/>
    <n v="43197"/>
    <n v="49572"/>
    <n v="6375"/>
    <s v="profit"/>
  </r>
  <r>
    <x v="77"/>
    <s v="october"/>
    <s v="Modern Spectrum Solutions"/>
    <s v="Fashion "/>
    <x v="6"/>
    <s v="Maharashtra"/>
    <s v="Female"/>
    <n v="52"/>
    <n v="546"/>
    <n v="1482"/>
    <n v="28392"/>
    <n v="77064"/>
    <n v="48672"/>
    <s v="profit"/>
  </r>
  <r>
    <x v="201"/>
    <s v="april"/>
    <s v="Sacred Roots Apparel"/>
    <s v="Fashion "/>
    <x v="10"/>
    <s v="Maharashtra"/>
    <s v="Female"/>
    <n v="68"/>
    <n v="534"/>
    <n v="1085"/>
    <n v="36312"/>
    <n v="73780"/>
    <n v="37468"/>
    <s v="profit"/>
  </r>
  <r>
    <x v="202"/>
    <s v="april"/>
    <s v="Quantum Finance Services"/>
    <s v="Fashion "/>
    <x v="10"/>
    <s v="Chandigarh"/>
    <s v="Female"/>
    <n v="68"/>
    <n v="575"/>
    <n v="1242"/>
    <n v="39100"/>
    <n v="84456"/>
    <n v="45356"/>
    <s v="profit"/>
  </r>
  <r>
    <x v="203"/>
    <s v="april"/>
    <s v="Brilliant Minds Academy"/>
    <s v="Fashion "/>
    <x v="10"/>
    <s v="Madhya Pradesh"/>
    <s v="Female"/>
    <n v="79"/>
    <n v="537"/>
    <n v="850"/>
    <n v="42423"/>
    <n v="67150"/>
    <n v="24727"/>
    <s v="profit"/>
  </r>
  <r>
    <x v="204"/>
    <s v="april"/>
    <s v="Visionary Holdings"/>
    <s v="Fashion "/>
    <x v="10"/>
    <s v="Andhra Pradesh"/>
    <s v="Female"/>
    <n v="65"/>
    <n v="935"/>
    <n v="752"/>
    <n v="60775"/>
    <n v="48880"/>
    <n v="-11895"/>
    <s v="loss"/>
  </r>
  <r>
    <x v="205"/>
    <s v="april"/>
    <s v="Stellar Design Studio"/>
    <s v="Fashion "/>
    <x v="10"/>
    <s v="Bihar"/>
    <s v="Female"/>
    <n v="66"/>
    <n v="709"/>
    <n v="1021"/>
    <n v="46794"/>
    <n v="67386"/>
    <n v="20592"/>
    <s v="profit"/>
  </r>
  <r>
    <x v="206"/>
    <s v="april"/>
    <s v="Classic Cuisines"/>
    <s v="Fashion "/>
    <x v="10"/>
    <s v="Gujarat"/>
    <s v="Male"/>
    <n v="70"/>
    <n v="751"/>
    <n v="1485"/>
    <n v="52570"/>
    <n v="103950"/>
    <n v="51380"/>
    <s v="profit"/>
  </r>
  <r>
    <x v="81"/>
    <s v="october"/>
    <s v="Apex Creative Solutions"/>
    <s v="Fashion "/>
    <x v="8"/>
    <s v="West Bengal"/>
    <s v="Male"/>
    <n v="86"/>
    <n v="717"/>
    <n v="1445"/>
    <n v="61662"/>
    <n v="124270"/>
    <n v="62608"/>
    <s v="profit"/>
  </r>
  <r>
    <x v="207"/>
    <s v="april"/>
    <s v="Bold Ventures"/>
    <s v="Fashion "/>
    <x v="10"/>
    <s v="Uttar Pradesh"/>
    <s v="Male"/>
    <n v="75"/>
    <n v="686"/>
    <n v="1254"/>
    <n v="51450"/>
    <n v="94050"/>
    <n v="42600"/>
    <s v="profit"/>
  </r>
  <r>
    <x v="208"/>
    <s v="may"/>
    <s v="Radiance Spa"/>
    <s v="Fashion "/>
    <x v="6"/>
    <s v="Rajasthan"/>
    <s v="Male"/>
    <n v="91"/>
    <n v="518"/>
    <n v="1465"/>
    <n v="47138"/>
    <n v="133315"/>
    <n v="86177"/>
    <s v="profit"/>
  </r>
  <r>
    <x v="209"/>
    <s v="may"/>
    <s v="Verve Fitness Studio"/>
    <s v="Fashion "/>
    <x v="6"/>
    <s v="Uttar Pradesh"/>
    <s v="Female"/>
    <n v="96"/>
    <n v="791"/>
    <n v="931"/>
    <n v="75936"/>
    <n v="89376"/>
    <n v="13440"/>
    <s v="profit"/>
  </r>
  <r>
    <x v="210"/>
    <s v="may"/>
    <s v="Sparkle Cleaners"/>
    <s v="Fashion "/>
    <x v="6"/>
    <s v="Uttar Pradesh"/>
    <s v="Female"/>
    <n v="69"/>
    <n v="864"/>
    <n v="935"/>
    <n v="59616"/>
    <n v="64515"/>
    <n v="4899"/>
    <s v="profit"/>
  </r>
  <r>
    <x v="86"/>
    <s v="october"/>
    <s v="Radiance Solutions Group"/>
    <s v="Decor"/>
    <x v="2"/>
    <s v="Bihar"/>
    <s v="Female"/>
    <n v="20"/>
    <n v="784"/>
    <n v="1320"/>
    <n v="15680"/>
    <n v="26400"/>
    <n v="10720"/>
    <s v="profit"/>
  </r>
  <r>
    <x v="211"/>
    <s v="may"/>
    <s v="Global Reach Logistics"/>
    <s v="Fashion "/>
    <x v="6"/>
    <s v="Maharashtra"/>
    <s v="Female"/>
    <n v="55"/>
    <n v="782"/>
    <n v="1335"/>
    <n v="43010"/>
    <n v="73425"/>
    <n v="30415"/>
    <s v="profit"/>
  </r>
  <r>
    <x v="212"/>
    <s v="may"/>
    <s v="Noble Path Finance"/>
    <s v="Fashion "/>
    <x v="6"/>
    <s v="Madhya Pradesh"/>
    <s v="Female"/>
    <n v="71"/>
    <n v="653"/>
    <n v="963"/>
    <n v="46363"/>
    <n v="68373"/>
    <n v="22010"/>
    <s v="profit"/>
  </r>
  <r>
    <x v="89"/>
    <s v="october"/>
    <s v="Modern Edge Solutions"/>
    <s v="Decor"/>
    <x v="2"/>
    <s v="Uttar Pradesh"/>
    <s v="Female"/>
    <n v="19"/>
    <n v="664"/>
    <n v="1091"/>
    <n v="12616"/>
    <n v="20729"/>
    <n v="8113"/>
    <s v="profit"/>
  </r>
  <r>
    <x v="213"/>
    <s v="may"/>
    <s v="Dynamic Events Management"/>
    <s v="Fashion "/>
    <x v="6"/>
    <s v="Maharashtra"/>
    <s v="Female"/>
    <n v="88"/>
    <n v="959"/>
    <n v="985"/>
    <n v="84392"/>
    <n v="86680"/>
    <n v="2288"/>
    <s v="profit"/>
  </r>
  <r>
    <x v="91"/>
    <s v="october"/>
    <s v="Horizon Health Solutions"/>
    <s v="Electronic"/>
    <x v="3"/>
    <s v="Tamil Nadu"/>
    <s v="Female"/>
    <n v="26"/>
    <n v="674"/>
    <n v="857"/>
    <n v="17524"/>
    <n v="22282"/>
    <n v="4758"/>
    <s v="profit"/>
  </r>
  <r>
    <x v="214"/>
    <s v="may"/>
    <s v="Crystal Waters Resort"/>
    <s v="Fashion "/>
    <x v="6"/>
    <s v="Chandigarh"/>
    <s v="Female"/>
    <n v="72"/>
    <n v="805"/>
    <n v="826"/>
    <n v="57960"/>
    <n v="59472"/>
    <n v="1512"/>
    <s v="profit"/>
  </r>
  <r>
    <x v="93"/>
    <s v="october"/>
    <s v="Apex Marketing Solutions"/>
    <s v="Electronic"/>
    <x v="9"/>
    <s v="Uttar Pradesh"/>
    <s v="Male"/>
    <n v="29"/>
    <n v="774"/>
    <n v="793"/>
    <n v="22446"/>
    <n v="22997"/>
    <n v="551"/>
    <s v="profit"/>
  </r>
  <r>
    <x v="215"/>
    <s v="may"/>
    <s v="Excellence Tutors"/>
    <s v="Fashion "/>
    <x v="6"/>
    <s v="Madhya Pradesh"/>
    <s v="Female"/>
    <n v="53"/>
    <n v="665"/>
    <n v="1206"/>
    <n v="35245"/>
    <n v="63918"/>
    <n v="28673"/>
    <s v="profit"/>
  </r>
  <r>
    <x v="216"/>
    <s v="may"/>
    <s v="Horizon Builders"/>
    <s v="Fashion "/>
    <x v="6"/>
    <s v="Andhra Pradesh"/>
    <s v="Male"/>
    <n v="88"/>
    <n v="607"/>
    <n v="1268"/>
    <n v="53416"/>
    <n v="111584"/>
    <n v="58168"/>
    <s v="profit"/>
  </r>
  <r>
    <x v="217"/>
    <s v="may"/>
    <s v="Classic Heritage Crafts"/>
    <s v="Fashion "/>
    <x v="6"/>
    <s v="Gujarat"/>
    <s v="Male"/>
    <n v="99"/>
    <n v="657"/>
    <n v="1033"/>
    <n v="65043"/>
    <n v="102267"/>
    <n v="37224"/>
    <s v="profit"/>
  </r>
  <r>
    <x v="218"/>
    <s v="may"/>
    <s v="Prime Focus Media"/>
    <s v="Fashion "/>
    <x v="8"/>
    <s v="Uttar Pradesh"/>
    <s v="Male"/>
    <n v="88"/>
    <n v="977"/>
    <n v="1402"/>
    <n v="85976"/>
    <n v="123376"/>
    <n v="37400"/>
    <s v="profit"/>
  </r>
  <r>
    <x v="219"/>
    <s v="june"/>
    <s v="Noble Nutraceuticals"/>
    <s v="Fashion "/>
    <x v="8"/>
    <s v="Uttar Pradesh"/>
    <s v="Female"/>
    <n v="81"/>
    <n v="528"/>
    <n v="872"/>
    <n v="42768"/>
    <n v="70632"/>
    <n v="27864"/>
    <s v="profit"/>
  </r>
  <r>
    <x v="220"/>
    <s v="june"/>
    <s v="Supreme Travel Agency"/>
    <s v="Fashion "/>
    <x v="8"/>
    <s v="Tamil Nadu"/>
    <s v="Male"/>
    <n v="74"/>
    <n v="870"/>
    <n v="1490"/>
    <n v="64380"/>
    <n v="110260"/>
    <n v="45880"/>
    <s v="profit"/>
  </r>
  <r>
    <x v="221"/>
    <s v="june"/>
    <s v="Future Vision Tech"/>
    <s v="Fashion "/>
    <x v="8"/>
    <s v="Tamil Nadu"/>
    <s v="Male"/>
    <n v="83"/>
    <n v="655"/>
    <n v="1422"/>
    <n v="54365"/>
    <n v="118026"/>
    <n v="63661"/>
    <s v="profit"/>
  </r>
  <r>
    <x v="222"/>
    <s v="june"/>
    <s v="Urban Groove Apparel"/>
    <s v="Fashion "/>
    <x v="8"/>
    <s v="Rajasthan"/>
    <s v="Male"/>
    <n v="99"/>
    <n v="649"/>
    <n v="1415"/>
    <n v="64251"/>
    <n v="140085"/>
    <n v="75834"/>
    <s v="profit"/>
  </r>
  <r>
    <x v="223"/>
    <s v="june"/>
    <s v="Echo Real Estate"/>
    <s v="Fashion "/>
    <x v="8"/>
    <s v="Uttar Pradesh"/>
    <s v="Male"/>
    <n v="97"/>
    <n v="917"/>
    <n v="844"/>
    <n v="88949"/>
    <n v="81868"/>
    <n v="-7081"/>
    <s v="loss"/>
  </r>
  <r>
    <x v="224"/>
    <s v="june"/>
    <s v="Pinnacle Health Products"/>
    <s v="Fashion "/>
    <x v="8"/>
    <s v="Jharkhand"/>
    <s v="Female"/>
    <n v="57"/>
    <n v="793"/>
    <n v="761"/>
    <n v="45201"/>
    <n v="43377"/>
    <n v="-1824"/>
    <s v="loss"/>
  </r>
  <r>
    <x v="225"/>
    <s v="june"/>
    <s v="Apex Auto Care"/>
    <s v="Fashion "/>
    <x v="8"/>
    <s v="Kerala"/>
    <s v="Female"/>
    <n v="84"/>
    <n v="931"/>
    <n v="1475"/>
    <n v="78204"/>
    <n v="123900"/>
    <n v="45696"/>
    <s v="profit"/>
  </r>
  <r>
    <x v="105"/>
    <s v="november"/>
    <s v="Radiance Solutions Co."/>
    <s v="Fashion "/>
    <x v="10"/>
    <s v="Jharkhand"/>
    <s v="Female"/>
    <n v="74"/>
    <n v="714"/>
    <n v="1148"/>
    <n v="52836"/>
    <n v="84952"/>
    <n v="32116"/>
    <s v="profit"/>
  </r>
  <r>
    <x v="226"/>
    <s v="june"/>
    <s v="Royal Glow Cosmetics"/>
    <s v="Fashion "/>
    <x v="8"/>
    <s v="Maharashtra"/>
    <s v="Female"/>
    <n v="76"/>
    <n v="901"/>
    <n v="1471"/>
    <n v="68476"/>
    <n v="111796"/>
    <n v="43320"/>
    <s v="profit"/>
  </r>
  <r>
    <x v="227"/>
    <s v="june"/>
    <s v="Zenith Culinary Arts"/>
    <s v="Fashion "/>
    <x v="8"/>
    <s v="Himachal Pradesh"/>
    <s v="Female"/>
    <n v="93"/>
    <n v="658"/>
    <n v="1303"/>
    <n v="61194"/>
    <n v="121179"/>
    <n v="59985"/>
    <s v="profit"/>
  </r>
  <r>
    <x v="108"/>
    <s v="november"/>
    <s v="Horizon Creative Solutions"/>
    <s v="Fashion "/>
    <x v="10"/>
    <s v="Delhi"/>
    <s v="Female"/>
    <n v="73"/>
    <n v="957"/>
    <n v="814"/>
    <n v="69861"/>
    <n v="59422"/>
    <n v="-10439"/>
    <s v="loss"/>
  </r>
  <r>
    <x v="228"/>
    <s v="june"/>
    <s v="Visionary Tours"/>
    <s v="Fashion "/>
    <x v="8"/>
    <s v="Uttarakhand"/>
    <s v="Female"/>
    <n v="68"/>
    <n v="651"/>
    <n v="1061"/>
    <n v="44268"/>
    <n v="72148"/>
    <n v="27880"/>
    <s v="profit"/>
  </r>
  <r>
    <x v="229"/>
    <s v="june"/>
    <s v="Elite Essence Products"/>
    <s v="Fashion "/>
    <x v="6"/>
    <s v="West Bengal"/>
    <s v="Male"/>
    <n v="98"/>
    <n v="596"/>
    <n v="1155"/>
    <n v="58408"/>
    <n v="113190"/>
    <n v="54782"/>
    <s v="profit"/>
  </r>
  <r>
    <x v="230"/>
    <s v="june"/>
    <s v="Dynamic Creations"/>
    <s v="Fashion "/>
    <x v="6"/>
    <s v="Karnataka"/>
    <s v="Male"/>
    <n v="84"/>
    <n v="911"/>
    <n v="1370"/>
    <n v="76524"/>
    <n v="115080"/>
    <n v="38556"/>
    <s v="profit"/>
  </r>
  <r>
    <x v="231"/>
    <s v="june"/>
    <s v="Quantum Design Studio"/>
    <s v="Fashion "/>
    <x v="6"/>
    <s v="Delhi"/>
    <s v="Male"/>
    <n v="81"/>
    <n v="702"/>
    <n v="1494"/>
    <n v="56862"/>
    <n v="121014"/>
    <n v="64152"/>
    <s v="profit"/>
  </r>
  <r>
    <x v="113"/>
    <s v="november"/>
    <s v="Urban Spectrum Solutions"/>
    <s v="Electronic"/>
    <x v="4"/>
    <s v="Telangana"/>
    <s v="Male"/>
    <n v="24"/>
    <n v="553"/>
    <n v="964"/>
    <n v="13272"/>
    <n v="23136"/>
    <n v="9864"/>
    <s v="profit"/>
  </r>
  <r>
    <x v="232"/>
    <s v="june"/>
    <s v="Apex Construction"/>
    <s v="Fashion "/>
    <x v="6"/>
    <s v="West Bengal"/>
    <s v="Female"/>
    <n v="58"/>
    <n v="510"/>
    <n v="1456"/>
    <n v="29580"/>
    <n v="84448"/>
    <n v="54868"/>
    <s v="profit"/>
  </r>
  <r>
    <x v="233"/>
    <s v="june"/>
    <s v="Legacy Innovations"/>
    <s v="Fashion "/>
    <x v="8"/>
    <s v="Tamil Nadu"/>
    <s v="Female"/>
    <n v="59"/>
    <n v="506"/>
    <n v="1498"/>
    <n v="29854"/>
    <n v="88382"/>
    <n v="58528"/>
    <s v="profit"/>
  </r>
  <r>
    <x v="234"/>
    <s v="june"/>
    <s v="Pure Harmony Foods"/>
    <s v="Fashion "/>
    <x v="8"/>
    <s v="Karnataka"/>
    <s v="Male"/>
    <n v="51"/>
    <n v="868"/>
    <n v="938"/>
    <n v="44268"/>
    <n v="47838"/>
    <n v="3570"/>
    <s v="profit"/>
  </r>
  <r>
    <x v="117"/>
    <s v="november"/>
    <s v="Legacy Wellness Solutions"/>
    <s v="Electronic"/>
    <x v="4"/>
    <s v="Gujarat"/>
    <s v="Female"/>
    <n v="22"/>
    <n v="688"/>
    <n v="985"/>
    <n v="15136"/>
    <n v="21670"/>
    <n v="6534"/>
    <s v="profit"/>
  </r>
  <r>
    <x v="235"/>
    <s v="june"/>
    <s v="Zenith Security Systems"/>
    <s v="Fashion "/>
    <x v="8"/>
    <s v="Telangana"/>
    <s v="Male"/>
    <n v="76"/>
    <n v="602"/>
    <n v="1356"/>
    <n v="45752"/>
    <n v="103056"/>
    <n v="57304"/>
    <s v="profit"/>
  </r>
  <r>
    <x v="119"/>
    <s v="november"/>
    <s v="Horizon Media Solutions"/>
    <s v="Electronic"/>
    <x v="4"/>
    <s v="Uttar Pradesh"/>
    <s v="Female"/>
    <n v="27"/>
    <n v="933"/>
    <n v="983"/>
    <n v="25191"/>
    <n v="26541"/>
    <n v="1350"/>
    <s v="profit"/>
  </r>
  <r>
    <x v="236"/>
    <s v="june"/>
    <s v="Crystal Clear Beverages"/>
    <s v="Fashion "/>
    <x v="8"/>
    <s v="Gujarat"/>
    <s v="Male"/>
    <n v="55"/>
    <n v="928"/>
    <n v="1264"/>
    <n v="51040"/>
    <n v="69520"/>
    <n v="18480"/>
    <s v="profit"/>
  </r>
  <r>
    <x v="237"/>
    <s v="june"/>
    <s v="Metro Line Tech"/>
    <s v="Fashion "/>
    <x v="8"/>
    <s v="Maharashtra"/>
    <s v="Male"/>
    <n v="74"/>
    <n v="758"/>
    <n v="765"/>
    <n v="56092"/>
    <n v="56610"/>
    <n v="518"/>
    <s v="profit"/>
  </r>
  <r>
    <x v="238"/>
    <s v="june"/>
    <s v="Urban Pulse Consulting"/>
    <s v="Fashion "/>
    <x v="8"/>
    <s v="Rajasthan"/>
    <s v="Male"/>
    <n v="88"/>
    <n v="566"/>
    <n v="1093"/>
    <n v="49808"/>
    <n v="96184"/>
    <n v="46376"/>
    <s v="profit"/>
  </r>
  <r>
    <x v="239"/>
    <s v="july"/>
    <s v="Legacy Design Group"/>
    <s v="Fashion "/>
    <x v="6"/>
    <s v="Punjab"/>
    <s v="Female"/>
    <n v="58"/>
    <n v="898"/>
    <n v="1068"/>
    <n v="52084"/>
    <n v="61944"/>
    <n v="9860"/>
    <s v="profit"/>
  </r>
  <r>
    <x v="240"/>
    <s v="july"/>
    <s v="Supreme Wellness"/>
    <s v="Fashion "/>
    <x v="6"/>
    <s v="Chhattisgarh"/>
    <s v="Female"/>
    <n v="83"/>
    <n v="943"/>
    <n v="867"/>
    <n v="78269"/>
    <n v="71961"/>
    <n v="-6308"/>
    <s v="loss"/>
  </r>
  <r>
    <x v="241"/>
    <s v="july"/>
    <s v="Harmony Tech Innovations"/>
    <s v="Fashion "/>
    <x v="6"/>
    <s v="West Bengal"/>
    <s v="Female"/>
    <n v="85"/>
    <n v="641"/>
    <n v="892"/>
    <n v="54485"/>
    <n v="75820"/>
    <n v="21335"/>
    <s v="profit"/>
  </r>
  <r>
    <x v="242"/>
    <s v="july"/>
    <s v="Stellar Education Services"/>
    <s v="Fashion "/>
    <x v="6"/>
    <s v="West Bengal"/>
    <s v="Female"/>
    <n v="57"/>
    <n v="784"/>
    <n v="859"/>
    <n v="44688"/>
    <n v="48963"/>
    <n v="4275"/>
    <s v="profit"/>
  </r>
  <r>
    <x v="243"/>
    <s v="july"/>
    <s v="Visionary Health Products"/>
    <s v="Fashion "/>
    <x v="6"/>
    <s v="Madhya Pradesh"/>
    <s v="Female"/>
    <n v="98"/>
    <n v="579"/>
    <n v="1046"/>
    <n v="56742"/>
    <n v="102508"/>
    <n v="45766"/>
    <s v="profit"/>
  </r>
  <r>
    <x v="244"/>
    <s v="july"/>
    <s v="Crystal Innovations"/>
    <s v="Fashion "/>
    <x v="6"/>
    <s v="Jharkhand"/>
    <s v="Female"/>
    <n v="98"/>
    <n v="605"/>
    <n v="1155"/>
    <n v="59290"/>
    <n v="113190"/>
    <n v="53900"/>
    <s v="profit"/>
  </r>
  <r>
    <x v="129"/>
    <s v="november"/>
    <s v="Urban Vision Solutions"/>
    <s v="Electronic"/>
    <x v="7"/>
    <s v="Uttar Pradesh"/>
    <s v="Female"/>
    <n v="20"/>
    <n v="989"/>
    <n v="1298"/>
    <n v="19780"/>
    <n v="25960"/>
    <n v="6180"/>
    <s v="profit"/>
  </r>
  <r>
    <x v="245"/>
    <s v="july"/>
    <s v="Future Trends Retail"/>
    <s v="Fashion "/>
    <x v="6"/>
    <s v="West Bengal"/>
    <s v="Female"/>
    <n v="63"/>
    <n v="952"/>
    <n v="824"/>
    <n v="59976"/>
    <n v="51912"/>
    <n v="-8064"/>
    <s v="loss"/>
  </r>
  <r>
    <x v="246"/>
    <s v="july"/>
    <s v="Radiant Horizon Ventures"/>
    <s v="Fashion "/>
    <x v="6"/>
    <s v="Karnataka"/>
    <s v="Female"/>
    <n v="91"/>
    <n v="938"/>
    <n v="1156"/>
    <n v="85358"/>
    <n v="105196"/>
    <n v="19838"/>
    <s v="profit"/>
  </r>
  <r>
    <x v="132"/>
    <s v="december"/>
    <s v="Pinnacle Travel Solutions"/>
    <s v="Electronic"/>
    <x v="7"/>
    <s v="Rajasthan"/>
    <s v="Male"/>
    <n v="26"/>
    <n v="870"/>
    <n v="1123"/>
    <n v="22620"/>
    <n v="29198"/>
    <n v="6578"/>
    <s v="profit"/>
  </r>
  <r>
    <x v="247"/>
    <s v="july"/>
    <s v="Urban Edge Realty"/>
    <s v="Fashion "/>
    <x v="6"/>
    <s v="Delhi"/>
    <s v="Male"/>
    <n v="66"/>
    <n v="512"/>
    <n v="1208"/>
    <n v="33792"/>
    <n v="79728"/>
    <n v="45936"/>
    <s v="profit"/>
  </r>
  <r>
    <x v="248"/>
    <s v="july"/>
    <s v="Prime Focus Innovations"/>
    <s v="Fashion "/>
    <x v="6"/>
    <s v="Maharashtra"/>
    <s v="Male"/>
    <n v="88"/>
    <n v="691"/>
    <n v="1394"/>
    <n v="60808"/>
    <n v="122672"/>
    <n v="61864"/>
    <s v="profit"/>
  </r>
  <r>
    <x v="249"/>
    <s v="august"/>
    <s v="Elite Spectrum Consulting"/>
    <s v="Fashion "/>
    <x v="6"/>
    <s v="West Bengal"/>
    <s v="Male"/>
    <n v="54"/>
    <n v="518"/>
    <n v="1106"/>
    <n v="27972"/>
    <n v="59724"/>
    <n v="31752"/>
    <s v="profit"/>
  </r>
  <r>
    <x v="250"/>
    <s v="august"/>
    <s v="Dynamic Design Studio"/>
    <s v="Fashion "/>
    <x v="6"/>
    <s v="Tamil Nadu"/>
    <s v="Male"/>
    <n v="67"/>
    <n v="780"/>
    <n v="864"/>
    <n v="52260"/>
    <n v="57888"/>
    <n v="5628"/>
    <s v="profit"/>
  </r>
  <r>
    <x v="137"/>
    <s v="december"/>
    <s v="Harmony Health Solutions"/>
    <s v="Electronic"/>
    <x v="7"/>
    <s v="Himachal Pradesh"/>
    <s v="Male"/>
    <n v="23"/>
    <n v="945"/>
    <n v="1268"/>
    <n v="21735"/>
    <n v="29164"/>
    <n v="7429"/>
    <s v="profit"/>
  </r>
  <r>
    <x v="251"/>
    <s v="august"/>
    <s v="Royal Crest Foods"/>
    <s v="Fashion "/>
    <x v="8"/>
    <s v="Telangana"/>
    <s v="Female"/>
    <n v="85"/>
    <n v="853"/>
    <n v="1453"/>
    <n v="72505"/>
    <n v="123505"/>
    <n v="51000"/>
    <s v="profit"/>
  </r>
  <r>
    <x v="252"/>
    <s v="august"/>
    <s v="Zenith Travels"/>
    <s v="Fashion "/>
    <x v="8"/>
    <s v="Gujarat"/>
    <s v="Female"/>
    <n v="69"/>
    <n v="745"/>
    <n v="1075"/>
    <n v="51405"/>
    <n v="74175"/>
    <n v="22770"/>
    <s v="profit"/>
  </r>
  <r>
    <x v="140"/>
    <s v="december"/>
    <s v="Modern Vision Solutions"/>
    <s v="Fashion "/>
    <x v="6"/>
    <s v="Punjab"/>
    <s v="Male"/>
    <n v="78"/>
    <n v="522"/>
    <n v="1064"/>
    <n v="40716"/>
    <n v="82992"/>
    <n v="42276"/>
    <s v="profit"/>
  </r>
  <r>
    <x v="253"/>
    <s v="august"/>
    <s v="Quantum Media Group"/>
    <s v="Fashion "/>
    <x v="6"/>
    <s v="Uttar Pradesh"/>
    <s v="Female"/>
    <n v="63"/>
    <n v="525"/>
    <n v="1182"/>
    <n v="33075"/>
    <n v="74466"/>
    <n v="41391"/>
    <s v="profit"/>
  </r>
  <r>
    <x v="254"/>
    <s v="august"/>
    <s v="Legacy Builders"/>
    <s v="Fashion "/>
    <x v="6"/>
    <s v="Jharkhand"/>
    <s v="Female"/>
    <n v="73"/>
    <n v="709"/>
    <n v="1344"/>
    <n v="51757"/>
    <n v="98112"/>
    <n v="46355"/>
    <s v="profit"/>
  </r>
  <r>
    <x v="255"/>
    <s v="august"/>
    <s v="Apex Spa &amp; Wellness"/>
    <s v="Fashion "/>
    <x v="6"/>
    <s v="Kerala"/>
    <s v="Female"/>
    <n v="74"/>
    <n v="914"/>
    <n v="1031"/>
    <n v="67636"/>
    <n v="76294"/>
    <n v="8658"/>
    <s v="profit"/>
  </r>
  <r>
    <x v="256"/>
    <s v="august"/>
    <s v="Radiant Travel Services"/>
    <s v="Fashion "/>
    <x v="6"/>
    <s v="Maharashtra"/>
    <s v="Female"/>
    <n v="84"/>
    <n v="558"/>
    <n v="1477"/>
    <n v="46872"/>
    <n v="124068"/>
    <n v="77196"/>
    <s v="profit"/>
  </r>
  <r>
    <x v="145"/>
    <s v="december"/>
    <s v="Radiant Educational Solutions"/>
    <s v="Fashion "/>
    <x v="6"/>
    <s v="Uttar Pradesh"/>
    <s v="Female"/>
    <n v="60"/>
    <n v="642"/>
    <n v="1110"/>
    <n v="38520"/>
    <n v="66600"/>
    <n v="28080"/>
    <s v="profit"/>
  </r>
  <r>
    <x v="257"/>
    <s v="august"/>
    <s v="Modern Trends Consulting"/>
    <s v="Fashion "/>
    <x v="6"/>
    <s v="Himachal Pradesh"/>
    <s v="Female"/>
    <n v="99"/>
    <n v="934"/>
    <n v="1318"/>
    <n v="92466"/>
    <n v="130482"/>
    <n v="38016"/>
    <s v="profit"/>
  </r>
  <r>
    <x v="258"/>
    <s v="august"/>
    <s v="Global Horizon Ventures"/>
    <s v="Fashion "/>
    <x v="6"/>
    <s v="Uttarakhand"/>
    <s v="Female"/>
    <n v="52"/>
    <n v="576"/>
    <n v="1419"/>
    <n v="29952"/>
    <n v="73788"/>
    <n v="43836"/>
    <s v="profit"/>
  </r>
  <r>
    <x v="259"/>
    <s v="august"/>
    <s v="Elite Enterprises"/>
    <s v="Fashion "/>
    <x v="6"/>
    <s v="Assam"/>
    <s v="Male"/>
    <n v="98"/>
    <n v="769"/>
    <n v="1277"/>
    <n v="75362"/>
    <n v="125146"/>
    <n v="49784"/>
    <s v="profit"/>
  </r>
  <r>
    <x v="149"/>
    <s v="december"/>
    <s v="Zenith Creative Solutions"/>
    <s v="Fashion "/>
    <x v="6"/>
    <s v="Uttar Pradesh"/>
    <s v="Female"/>
    <n v="86"/>
    <n v="668"/>
    <n v="1278"/>
    <n v="57448"/>
    <n v="109908"/>
    <n v="52460"/>
    <s v="profit"/>
  </r>
  <r>
    <x v="260"/>
    <s v="september"/>
    <s v="Pinnacle Health Innovations"/>
    <s v="Fashion "/>
    <x v="6"/>
    <s v="Chhattisgarh"/>
    <s v="Male"/>
    <n v="73"/>
    <n v="627"/>
    <n v="769"/>
    <n v="45771"/>
    <n v="56137"/>
    <n v="10366"/>
    <s v="profit"/>
  </r>
  <r>
    <x v="151"/>
    <s v="december"/>
    <s v="Pure Vision Solutions"/>
    <s v="Fashion "/>
    <x v="8"/>
    <s v="Kerala"/>
    <s v="Female"/>
    <n v="57"/>
    <n v="995"/>
    <n v="912"/>
    <n v="56715"/>
    <n v="51984"/>
    <n v="-4731"/>
    <s v="loss"/>
  </r>
  <r>
    <x v="261"/>
    <s v="september"/>
    <s v="Horizon Fashion"/>
    <s v="Fashion "/>
    <x v="8"/>
    <s v="West Bengal"/>
    <s v="Male"/>
    <n v="93"/>
    <n v="847"/>
    <n v="1258"/>
    <n v="78771"/>
    <n v="116994"/>
    <n v="38223"/>
    <s v="profit"/>
  </r>
  <r>
    <x v="262"/>
    <s v="september"/>
    <s v="Crystal Essence Beverages"/>
    <s v="Fashion "/>
    <x v="8"/>
    <s v="West Bengal"/>
    <s v="Male"/>
    <n v="84"/>
    <n v="522"/>
    <n v="929"/>
    <n v="43848"/>
    <n v="78036"/>
    <n v="34188"/>
    <s v="profit"/>
  </r>
  <r>
    <x v="263"/>
    <s v="september"/>
    <s v="Dynamic Pathways"/>
    <s v="Fashion "/>
    <x v="8"/>
    <s v="Madhya Pradesh"/>
    <s v="Female"/>
    <n v="85"/>
    <n v="564"/>
    <n v="1049"/>
    <n v="47940"/>
    <n v="89165"/>
    <n v="41225"/>
    <s v="profit"/>
  </r>
  <r>
    <x v="264"/>
    <s v="september"/>
    <s v="Radiance Apparel"/>
    <s v="Fashion "/>
    <x v="8"/>
    <s v="West Bengal"/>
    <s v="Female"/>
    <n v="93"/>
    <n v="579"/>
    <n v="1402"/>
    <n v="53847"/>
    <n v="130386"/>
    <n v="76539"/>
    <s v="profit"/>
  </r>
  <r>
    <x v="156"/>
    <s v="december"/>
    <s v="Harmony Edge Solutions"/>
    <s v="Fashion "/>
    <x v="8"/>
    <s v="Punjab"/>
    <s v="Male"/>
    <n v="93"/>
    <n v="886"/>
    <n v="1199"/>
    <n v="82398"/>
    <n v="111507"/>
    <n v="29109"/>
    <s v="profit"/>
  </r>
  <r>
    <x v="265"/>
    <s v="september"/>
    <s v="Zenith Design Group"/>
    <s v="Fashion "/>
    <x v="8"/>
    <s v="Karnataka"/>
    <s v="Male"/>
    <n v="56"/>
    <n v="724"/>
    <n v="1391"/>
    <n v="40544"/>
    <n v="77896"/>
    <n v="37352"/>
    <s v="profit"/>
  </r>
  <r>
    <x v="266"/>
    <s v="september"/>
    <s v="Modern Horizons Consulting"/>
    <s v="Fashion "/>
    <x v="8"/>
    <s v="Maharashtra"/>
    <s v="Male"/>
    <n v="60"/>
    <n v="783"/>
    <n v="881"/>
    <n v="46980"/>
    <n v="52860"/>
    <n v="5880"/>
    <s v="profit"/>
  </r>
  <r>
    <x v="267"/>
    <s v="september"/>
    <s v="Apex Realty Services"/>
    <s v="Fashion "/>
    <x v="8"/>
    <s v="Madhya Pradesh"/>
    <s v="Male"/>
    <n v="81"/>
    <n v="948"/>
    <n v="904"/>
    <n v="76788"/>
    <n v="73224"/>
    <n v="-3564"/>
    <s v="loss"/>
  </r>
  <r>
    <x v="268"/>
    <s v="september"/>
    <s v="Zenith Educational Group"/>
    <s v="Fashion "/>
    <x v="8"/>
    <s v="Maharashtra"/>
    <s v="Male"/>
    <n v="80"/>
    <n v="771"/>
    <n v="1090"/>
    <n v="61680"/>
    <n v="87200"/>
    <n v="25520"/>
    <s v="profit"/>
  </r>
  <r>
    <x v="269"/>
    <s v="september"/>
    <s v="True Path Ventures"/>
    <s v="Fashion "/>
    <x v="8"/>
    <s v="Chandigarh"/>
    <s v="Female"/>
    <n v="88"/>
    <n v="943"/>
    <n v="1082"/>
    <n v="82984"/>
    <n v="95216"/>
    <n v="12232"/>
    <s v="profit"/>
  </r>
  <r>
    <x v="270"/>
    <s v="september"/>
    <s v="Radiance Media"/>
    <s v="Fashion "/>
    <x v="8"/>
    <s v="Madhya Pradesh"/>
    <s v="Male"/>
    <n v="68"/>
    <n v="909"/>
    <n v="1329"/>
    <n v="61812"/>
    <n v="90372"/>
    <n v="28560"/>
    <s v="profit"/>
  </r>
  <r>
    <x v="163"/>
    <s v="january"/>
    <s v="Pinnacle Media Solutions"/>
    <s v="Decor"/>
    <x v="0"/>
    <s v="Karnataka"/>
    <s v="Female"/>
    <n v="11"/>
    <n v="676"/>
    <n v="1050"/>
    <n v="7436"/>
    <n v="11550"/>
    <n v="4114"/>
    <s v="profit"/>
  </r>
  <r>
    <x v="271"/>
    <s v="september"/>
    <s v="Legacy Health Systems"/>
    <s v="Fashion "/>
    <x v="8"/>
    <s v="Andhra Pradesh"/>
    <s v="Male"/>
    <n v="65"/>
    <n v="568"/>
    <n v="1482"/>
    <n v="36920"/>
    <n v="96330"/>
    <n v="59410"/>
    <s v="profit"/>
  </r>
  <r>
    <x v="165"/>
    <s v="january"/>
    <s v="Radiant Tech Solutions"/>
    <s v="Decor"/>
    <x v="0"/>
    <s v="Maharashtra"/>
    <s v="Female"/>
    <n v="13"/>
    <n v="521"/>
    <n v="1433"/>
    <n v="6773"/>
    <n v="18629"/>
    <n v="11856"/>
    <s v="profit"/>
  </r>
  <r>
    <x v="272"/>
    <s v="september"/>
    <s v="Urban Focus Products"/>
    <s v="Fashion "/>
    <x v="8"/>
    <s v="Bihar"/>
    <s v="Male"/>
    <n v="58"/>
    <n v="758"/>
    <n v="1241"/>
    <n v="43964"/>
    <n v="71978"/>
    <n v="28014"/>
    <s v="profit"/>
  </r>
  <r>
    <x v="167"/>
    <s v="january"/>
    <s v="Elite Creative Solutions"/>
    <s v="Decor"/>
    <x v="0"/>
    <s v="Chhattisgarh"/>
    <s v="Female"/>
    <n v="16"/>
    <n v="887"/>
    <n v="1059"/>
    <n v="14192"/>
    <n v="16944"/>
    <n v="2752"/>
    <s v="profit"/>
  </r>
  <r>
    <x v="273"/>
    <s v="october"/>
    <s v="Visionary Innovations"/>
    <s v="Fashion "/>
    <x v="6"/>
    <s v="Jharkhand"/>
    <s v="Female"/>
    <n v="61"/>
    <n v="604"/>
    <n v="1251"/>
    <n v="36844"/>
    <n v="76311"/>
    <n v="39467"/>
    <s v="profit"/>
  </r>
  <r>
    <x v="274"/>
    <s v="october"/>
    <s v="Horizon Design Studio"/>
    <s v="Fashion "/>
    <x v="6"/>
    <s v="Kerala"/>
    <s v="Female"/>
    <n v="62"/>
    <n v="641"/>
    <n v="869"/>
    <n v="39742"/>
    <n v="53878"/>
    <n v="14136"/>
    <s v="profit"/>
  </r>
  <r>
    <x v="275"/>
    <s v="october"/>
    <s v="Legacy Tech Products"/>
    <s v="Fashion "/>
    <x v="6"/>
    <s v="Himachal Pradesh"/>
    <s v="Female"/>
    <n v="53"/>
    <n v="913"/>
    <n v="1369"/>
    <n v="48389"/>
    <n v="72557"/>
    <n v="24168"/>
    <s v="profit"/>
  </r>
  <r>
    <x v="276"/>
    <s v="october"/>
    <s v="Pinnacle Wellness Services"/>
    <s v="Fashion "/>
    <x v="6"/>
    <s v="Uttarakhand"/>
    <s v="Female"/>
    <n v="56"/>
    <n v="840"/>
    <n v="1353"/>
    <n v="47040"/>
    <n v="75768"/>
    <n v="28728"/>
    <s v="profit"/>
  </r>
  <r>
    <x v="277"/>
    <s v="october"/>
    <s v="Urban Insight Consulting"/>
    <s v="Fashion "/>
    <x v="8"/>
    <s v="Assam"/>
    <s v="Female"/>
    <n v="85"/>
    <n v="541"/>
    <n v="1331"/>
    <n v="45985"/>
    <n v="113135"/>
    <n v="67150"/>
    <s v="profit"/>
  </r>
  <r>
    <x v="278"/>
    <s v="october"/>
    <s v="Crystal Horizons"/>
    <s v="Fashion "/>
    <x v="8"/>
    <s v="Punjab"/>
    <s v="Female"/>
    <n v="56"/>
    <n v="611"/>
    <n v="1240"/>
    <n v="34216"/>
    <n v="69440"/>
    <n v="35224"/>
    <s v="profit"/>
  </r>
  <r>
    <x v="174"/>
    <s v="january"/>
    <s v="Pinnacle Design Solutions"/>
    <s v="Fashion "/>
    <x v="8"/>
    <s v="Rajasthan"/>
    <s v="Male"/>
    <n v="90"/>
    <n v="554"/>
    <n v="940"/>
    <n v="49860"/>
    <n v="84600"/>
    <n v="34740"/>
    <s v="profit"/>
  </r>
  <r>
    <x v="279"/>
    <s v="october"/>
    <s v="Radiant Apparel"/>
    <s v="Fashion "/>
    <x v="8"/>
    <s v="Chhattisgarh"/>
    <s v="Female"/>
    <n v="91"/>
    <n v="867"/>
    <n v="957"/>
    <n v="78897"/>
    <n v="87087"/>
    <n v="8190"/>
    <s v="profit"/>
  </r>
  <r>
    <x v="280"/>
    <s v="october"/>
    <s v="True Value Products"/>
    <s v="Fashion "/>
    <x v="8"/>
    <s v="West Bengal"/>
    <s v="Female"/>
    <n v="95"/>
    <n v="508"/>
    <n v="783"/>
    <n v="48260"/>
    <n v="74385"/>
    <n v="26125"/>
    <s v="profit"/>
  </r>
  <r>
    <x v="281"/>
    <s v="october"/>
    <s v="Zenith Health Products"/>
    <s v="Fashion "/>
    <x v="8"/>
    <s v="Madhya Pradesh"/>
    <s v="Male"/>
    <n v="75"/>
    <n v="549"/>
    <n v="1108"/>
    <n v="41175"/>
    <n v="83100"/>
    <n v="41925"/>
    <s v="profit"/>
  </r>
  <r>
    <x v="282"/>
    <s v="october"/>
    <s v="Stellar Wellness Products"/>
    <s v="Fashion "/>
    <x v="1"/>
    <s v="Kerala"/>
    <s v="Male"/>
    <n v="95"/>
    <n v="845"/>
    <n v="1102"/>
    <n v="80275"/>
    <n v="104690"/>
    <n v="24415"/>
    <s v="profit"/>
  </r>
  <r>
    <x v="283"/>
    <s v="october"/>
    <s v="Radiant Consulting Group"/>
    <s v="Fashion "/>
    <x v="1"/>
    <s v="Maharashtra"/>
    <s v="Male"/>
    <n v="86"/>
    <n v="949"/>
    <n v="924"/>
    <n v="81614"/>
    <n v="79464"/>
    <n v="-2150"/>
    <s v="loss"/>
  </r>
  <r>
    <x v="180"/>
    <s v="january"/>
    <s v="Pure Harmony Solutions"/>
    <s v="Decor"/>
    <x v="2"/>
    <s v="Uttarakhand"/>
    <s v="Female"/>
    <n v="11"/>
    <n v="587"/>
    <n v="1386"/>
    <n v="6457"/>
    <n v="15246"/>
    <n v="8789"/>
    <s v="profit"/>
  </r>
  <r>
    <x v="284"/>
    <s v="october"/>
    <s v="Harmony Ventures Co."/>
    <s v="Fashion "/>
    <x v="1"/>
    <s v="Himachal Pradesh"/>
    <s v="Female"/>
    <n v="73"/>
    <n v="801"/>
    <n v="1092"/>
    <n v="58473"/>
    <n v="79716"/>
    <n v="21243"/>
    <s v="profit"/>
  </r>
  <r>
    <x v="285"/>
    <s v="october"/>
    <s v="Urban Path Technologies"/>
    <s v="Fashion "/>
    <x v="1"/>
    <s v="Uttarakhand"/>
    <s v="Male"/>
    <n v="70"/>
    <n v="699"/>
    <n v="1090"/>
    <n v="48930"/>
    <n v="76300"/>
    <n v="27370"/>
    <s v="profit"/>
  </r>
  <r>
    <x v="286"/>
    <s v="november"/>
    <s v="Modern Vision Ventures"/>
    <s v="Fashion "/>
    <x v="10"/>
    <s v="West Bengal"/>
    <s v="Female"/>
    <n v="67"/>
    <n v="674"/>
    <n v="1413"/>
    <n v="45158"/>
    <n v="94671"/>
    <n v="49513"/>
    <s v="profit"/>
  </r>
  <r>
    <x v="287"/>
    <s v="november"/>
    <s v="Elite Travel Services"/>
    <s v="Fashion "/>
    <x v="10"/>
    <s v="Karnataka"/>
    <s v="Female"/>
    <n v="55"/>
    <n v="599"/>
    <n v="1482"/>
    <n v="32945"/>
    <n v="81510"/>
    <n v="48565"/>
    <s v="profit"/>
  </r>
  <r>
    <x v="288"/>
    <s v="november"/>
    <s v="Crystal Innovations Group"/>
    <s v="Fashion "/>
    <x v="10"/>
    <s v="Maharashtra"/>
    <s v="Female"/>
    <n v="90"/>
    <n v="962"/>
    <n v="1495"/>
    <n v="86580"/>
    <n v="134550"/>
    <n v="47970"/>
    <s v="profit"/>
  </r>
  <r>
    <x v="186"/>
    <s v="january"/>
    <s v="Zenith Path Solutions"/>
    <s v="Decor"/>
    <x v="2"/>
    <s v="Madhya Pradesh"/>
    <s v="Female"/>
    <n v="18"/>
    <n v="910"/>
    <n v="1065"/>
    <n v="16380"/>
    <n v="19170"/>
    <n v="2790"/>
    <s v="profit"/>
  </r>
  <r>
    <x v="289"/>
    <s v="november"/>
    <s v="Pinnacle Fitness Studio"/>
    <s v="Fashion "/>
    <x v="10"/>
    <s v="West Bengal"/>
    <s v="Female"/>
    <n v="71"/>
    <n v="739"/>
    <n v="1353"/>
    <n v="52469"/>
    <n v="96063"/>
    <n v="43594"/>
    <s v="profit"/>
  </r>
  <r>
    <x v="290"/>
    <s v="november"/>
    <s v="Stellar Travel Agency"/>
    <s v="Fashion "/>
    <x v="10"/>
    <s v="Tamil Nadu"/>
    <s v="Female"/>
    <n v="63"/>
    <n v="691"/>
    <n v="1058"/>
    <n v="43533"/>
    <n v="66654"/>
    <n v="23121"/>
    <s v="profit"/>
  </r>
  <r>
    <x v="291"/>
    <s v="december"/>
    <s v="Apex Travel Ventures"/>
    <s v="Fashion "/>
    <x v="6"/>
    <s v="Assam"/>
    <s v="Male"/>
    <n v="99"/>
    <n v="705"/>
    <n v="1356"/>
    <n v="69795"/>
    <n v="134244"/>
    <n v="64449"/>
    <s v="profit"/>
  </r>
  <r>
    <x v="190"/>
    <s v="january"/>
    <s v="Legacy Media Solutions"/>
    <s v="Decor"/>
    <x v="2"/>
    <s v="Jharkhand"/>
    <s v="Male"/>
    <n v="11"/>
    <n v="543"/>
    <n v="1153"/>
    <n v="5973"/>
    <n v="12683"/>
    <n v="6710"/>
    <s v="profit"/>
  </r>
  <r>
    <x v="292"/>
    <s v="december"/>
    <s v="True Path Consulting"/>
    <s v="Fashion "/>
    <x v="6"/>
    <s v="Chhattisgarh"/>
    <s v="Female"/>
    <n v="74"/>
    <n v="922"/>
    <n v="970"/>
    <n v="68228"/>
    <n v="71780"/>
    <n v="3552"/>
    <s v="profit"/>
  </r>
  <r>
    <x v="293"/>
    <s v="december"/>
    <s v="Legacy Finance Group"/>
    <s v="Fashion "/>
    <x v="6"/>
    <s v="West Bengal"/>
    <s v="Female"/>
    <n v="72"/>
    <n v="560"/>
    <n v="918"/>
    <n v="40320"/>
    <n v="66096"/>
    <n v="25776"/>
    <s v="profit"/>
  </r>
  <r>
    <x v="294"/>
    <s v="december"/>
    <s v="Pinnacle Design Ventures"/>
    <s v="Fashion "/>
    <x v="6"/>
    <s v="Gujarat"/>
    <s v="Female"/>
    <n v="59"/>
    <n v="834"/>
    <n v="951"/>
    <n v="49206"/>
    <n v="56109"/>
    <n v="6903"/>
    <s v="profit"/>
  </r>
  <r>
    <x v="295"/>
    <s v="december"/>
    <s v="Stellar Innovations Co."/>
    <s v="Fashion "/>
    <x v="6"/>
    <s v="Uttar Pradesh"/>
    <s v="Female"/>
    <n v="83"/>
    <n v="840"/>
    <n v="828"/>
    <n v="69720"/>
    <n v="68724"/>
    <n v="-996"/>
    <s v="loss"/>
  </r>
  <r>
    <x v="296"/>
    <s v="december"/>
    <s v="Harmony Marketing Co."/>
    <s v="Fashion "/>
    <x v="6"/>
    <s v="Tamil Nadu"/>
    <s v="Female"/>
    <n v="64"/>
    <n v="965"/>
    <n v="1357"/>
    <n v="61760"/>
    <n v="86848"/>
    <n v="25088"/>
    <s v="profit"/>
  </r>
  <r>
    <x v="297"/>
    <s v="december"/>
    <s v="Urban Tech Innovations"/>
    <s v="Fashion "/>
    <x v="6"/>
    <s v="Tamil Nadu"/>
    <s v="Female"/>
    <n v="59"/>
    <n v="671"/>
    <n v="1410"/>
    <n v="39589"/>
    <n v="83190"/>
    <n v="43601"/>
    <s v="profit"/>
  </r>
  <r>
    <x v="298"/>
    <s v="december"/>
    <s v="Crystal Wellness Group"/>
    <s v="Fashion "/>
    <x v="6"/>
    <s v="Rajasthan"/>
    <s v="Female"/>
    <n v="85"/>
    <n v="761"/>
    <n v="926"/>
    <n v="64685"/>
    <n v="78710"/>
    <n v="14025"/>
    <s v="profit"/>
  </r>
  <r>
    <x v="299"/>
    <s v="december"/>
    <s v="Apex Media Co."/>
    <s v="Fashion "/>
    <x v="6"/>
    <s v="Jharkhand"/>
    <s v="Female"/>
    <n v="81"/>
    <n v="522"/>
    <n v="1238"/>
    <n v="42282"/>
    <n v="100278"/>
    <n v="57996"/>
    <s v="profit"/>
  </r>
  <r>
    <x v="300"/>
    <s v="december"/>
    <s v="Legacy Health Ventures"/>
    <s v="Fashion "/>
    <x v="8"/>
    <s v="Maharashtra"/>
    <s v="Female"/>
    <n v="72"/>
    <n v="943"/>
    <n v="1233"/>
    <n v="67896"/>
    <n v="88776"/>
    <n v="20880"/>
    <s v="profit"/>
  </r>
  <r>
    <x v="301"/>
    <s v="december"/>
    <s v="Pinnacle Spectrum Co."/>
    <s v="Fashion "/>
    <x v="8"/>
    <s v="Himachal Pradesh"/>
    <s v="Female"/>
    <n v="67"/>
    <n v="801"/>
    <n v="1220"/>
    <n v="53667"/>
    <n v="81740"/>
    <n v="28073"/>
    <s v="profit"/>
  </r>
  <r>
    <x v="195"/>
    <s v="february"/>
    <s v="Radiant Solutions Co."/>
    <s v="Electronic"/>
    <x v="7"/>
    <s v="Jharkhand"/>
    <s v="Female"/>
    <n v="29"/>
    <n v="725"/>
    <n v="792"/>
    <n v="21025"/>
    <n v="22968"/>
    <n v="1943"/>
    <s v="profit"/>
  </r>
  <r>
    <x v="302"/>
    <s v="december"/>
    <s v="Stellar Travel Products"/>
    <s v="Fashion "/>
    <x v="8"/>
    <s v="Uttarakhand"/>
    <s v="Female"/>
    <n v="57"/>
    <n v="647"/>
    <n v="905"/>
    <n v="36879"/>
    <n v="51585"/>
    <n v="14706"/>
    <s v="profit"/>
  </r>
  <r>
    <x v="303"/>
    <s v="december"/>
    <s v="Radiance Finance Services"/>
    <s v="Fashion "/>
    <x v="8"/>
    <s v="Assam"/>
    <s v="Female"/>
    <n v="91"/>
    <n v="906"/>
    <n v="925"/>
    <n v="82446"/>
    <n v="84175"/>
    <n v="1729"/>
    <s v="profit"/>
  </r>
  <r>
    <x v="304"/>
    <s v="december"/>
    <s v="Modern Travel Agency"/>
    <s v="Fashion "/>
    <x v="8"/>
    <s v="Chhattisgarh"/>
    <s v="Male"/>
    <n v="82"/>
    <n v="955"/>
    <n v="1218"/>
    <n v="78310"/>
    <n v="99876"/>
    <n v="21566"/>
    <s v="profit"/>
  </r>
  <r>
    <x v="196"/>
    <s v="february"/>
    <s v="Modern Travel Solutions"/>
    <s v="Fashion "/>
    <x v="6"/>
    <s v="Tamil Nadu"/>
    <s v="Female"/>
    <n v="59"/>
    <n v="725"/>
    <n v="1113"/>
    <n v="42775"/>
    <n v="65667"/>
    <n v="22892"/>
    <s v="profit"/>
  </r>
  <r>
    <x v="305"/>
    <s v="december"/>
    <s v="Crystal Path Consulting"/>
    <s v="Fashion "/>
    <x v="8"/>
    <s v="West Bengal"/>
    <s v="Male"/>
    <n v="72"/>
    <n v="829"/>
    <n v="1165"/>
    <n v="59688"/>
    <n v="83880"/>
    <n v="24192"/>
    <s v="profit"/>
  </r>
  <r>
    <x v="306"/>
    <s v="december"/>
    <s v="Zenith Educational Services"/>
    <s v="Fashion "/>
    <x v="8"/>
    <s v="West Bengal"/>
    <s v="Male"/>
    <n v="62"/>
    <n v="680"/>
    <n v="912"/>
    <n v="42160"/>
    <n v="56544"/>
    <n v="14384"/>
    <s v="profit"/>
  </r>
  <r>
    <x v="307"/>
    <s v="december"/>
    <s v="Apex Innovations Co."/>
    <s v="Fashion "/>
    <x v="8"/>
    <s v="Madhya Pradesh"/>
    <s v="Male"/>
    <n v="67"/>
    <n v="600"/>
    <n v="1328"/>
    <n v="40200"/>
    <n v="88976"/>
    <n v="48776"/>
    <s v="profit"/>
  </r>
  <r>
    <x v="308"/>
    <s v="january"/>
    <s v="Pure Harmony Health"/>
    <s v="Fashion "/>
    <x v="8"/>
    <s v="Jharkhand"/>
    <s v="Female"/>
    <n v="97"/>
    <n v="946"/>
    <n v="1297"/>
    <n v="91762"/>
    <n v="125809"/>
    <n v="34047"/>
    <s v="profit"/>
  </r>
  <r>
    <x v="309"/>
    <s v="january"/>
    <s v="Apex Travel Innovations"/>
    <s v="Fashion "/>
    <x v="6"/>
    <s v="Gujarat"/>
    <s v="Male"/>
    <n v="62"/>
    <n v="800"/>
    <n v="882"/>
    <n v="49600"/>
    <n v="54684"/>
    <n v="5084"/>
    <s v="profit"/>
  </r>
  <r>
    <x v="310"/>
    <s v="january"/>
    <s v="Modern Health Products"/>
    <s v="Fashion "/>
    <x v="6"/>
    <s v="Uttar Pradesh"/>
    <s v="Male"/>
    <n v="65"/>
    <n v="875"/>
    <n v="1361"/>
    <n v="56875"/>
    <n v="88465"/>
    <n v="31590"/>
    <s v="profit"/>
  </r>
  <r>
    <x v="197"/>
    <s v="february"/>
    <s v="Zenith Tech Solutions"/>
    <s v="Fashion "/>
    <x v="6"/>
    <s v="Himachal Pradesh"/>
    <s v="Male"/>
    <n v="100"/>
    <n v="831"/>
    <n v="1466"/>
    <n v="83100"/>
    <n v="146600"/>
    <n v="63500"/>
    <s v="profit"/>
  </r>
  <r>
    <x v="311"/>
    <s v="january"/>
    <s v="Harmony Finance Group"/>
    <s v="Fashion "/>
    <x v="6"/>
    <s v="Uttar Pradesh"/>
    <s v="Male"/>
    <n v="88"/>
    <n v="823"/>
    <n v="1026"/>
    <n v="72424"/>
    <n v="90288"/>
    <n v="17864"/>
    <s v="profit"/>
  </r>
  <r>
    <x v="312"/>
    <s v="january"/>
    <s v="Pure Vision Consulting"/>
    <s v="Fashion "/>
    <x v="6"/>
    <s v="Tamil Nadu"/>
    <s v="Female"/>
    <n v="54"/>
    <n v="664"/>
    <n v="761"/>
    <n v="35856"/>
    <n v="41094"/>
    <n v="5238"/>
    <s v="profit"/>
  </r>
  <r>
    <x v="313"/>
    <s v="january"/>
    <s v="Legacy Spectrum Co."/>
    <s v="Fashion "/>
    <x v="6"/>
    <s v="Tamil Nadu"/>
    <s v="Male"/>
    <n v="52"/>
    <n v="538"/>
    <n v="1257"/>
    <n v="27976"/>
    <n v="65364"/>
    <n v="37388"/>
    <s v="profit"/>
  </r>
  <r>
    <x v="314"/>
    <s v="january"/>
    <s v="Stellar Media Services"/>
    <s v="Fashion "/>
    <x v="8"/>
    <s v="Uttar Pradesh"/>
    <s v="Male"/>
    <n v="81"/>
    <n v="556"/>
    <n v="1345"/>
    <n v="45036"/>
    <n v="108945"/>
    <n v="63909"/>
    <s v="profit"/>
  </r>
  <r>
    <x v="315"/>
    <s v="january"/>
    <s v="Radiant Innovations Group"/>
    <s v="Fashion "/>
    <x v="8"/>
    <s v="Jharkhand"/>
    <s v="Male"/>
    <n v="72"/>
    <n v="608"/>
    <n v="1209"/>
    <n v="43776"/>
    <n v="87048"/>
    <n v="43272"/>
    <s v="profit"/>
  </r>
  <r>
    <x v="316"/>
    <s v="january"/>
    <s v="Horizon Path Ventures"/>
    <s v="Fashion "/>
    <x v="8"/>
    <s v="Kerala"/>
    <s v="Female"/>
    <n v="61"/>
    <n v="994"/>
    <n v="886"/>
    <n v="60634"/>
    <n v="54046"/>
    <n v="-6588"/>
    <s v="loss"/>
  </r>
  <r>
    <x v="317"/>
    <s v="january"/>
    <s v="Zenith Tech Co."/>
    <s v="Fashion "/>
    <x v="8"/>
    <s v="Maharashtra"/>
    <s v="Female"/>
    <n v="57"/>
    <n v="566"/>
    <n v="830"/>
    <n v="32262"/>
    <n v="47310"/>
    <n v="15048"/>
    <s v="profit"/>
  </r>
  <r>
    <x v="318"/>
    <s v="january"/>
    <s v="Apex Finance Ventures"/>
    <s v="Fashion "/>
    <x v="8"/>
    <s v="Himachal Pradesh"/>
    <s v="Female"/>
    <n v="50"/>
    <n v="714"/>
    <n v="1071"/>
    <n v="35700"/>
    <n v="53550"/>
    <n v="17850"/>
    <s v="profit"/>
  </r>
  <r>
    <x v="319"/>
    <s v="february"/>
    <s v="Zenith Wellness Co."/>
    <s v="Fashion "/>
    <x v="6"/>
    <s v="Uttar Pradesh"/>
    <s v="Female"/>
    <n v="80"/>
    <n v="636"/>
    <n v="1259"/>
    <n v="50880"/>
    <n v="100720"/>
    <n v="49840"/>
    <s v="profit"/>
  </r>
  <r>
    <x v="320"/>
    <s v="february"/>
    <s v="Apex Design Services"/>
    <s v="Fashion "/>
    <x v="6"/>
    <s v="Uttar Pradesh"/>
    <s v="Female"/>
    <n v="50"/>
    <n v="581"/>
    <n v="1380"/>
    <n v="29050"/>
    <n v="69000"/>
    <n v="39950"/>
    <s v="profit"/>
  </r>
  <r>
    <x v="6"/>
    <s v="april"/>
    <s v="Apex Solutions"/>
    <s v="Fashion "/>
    <x v="1"/>
    <s v="Gujarat"/>
    <s v="Male"/>
    <n v="78"/>
    <n v="655"/>
    <n v="790"/>
    <n v="51090"/>
    <n v="61620"/>
    <n v="10530"/>
    <s v="profit"/>
  </r>
  <r>
    <x v="321"/>
    <s v="february"/>
    <s v="Pure Health Ventures"/>
    <s v="Fashion "/>
    <x v="6"/>
    <s v="Tamil Nadu"/>
    <s v="Female"/>
    <n v="78"/>
    <n v="964"/>
    <n v="1264"/>
    <n v="75192"/>
    <n v="98592"/>
    <n v="23400"/>
    <s v="profit"/>
  </r>
  <r>
    <x v="322"/>
    <s v="february"/>
    <s v="Legacy Spectrum Group"/>
    <s v="Fashion "/>
    <x v="6"/>
    <s v="Rajasthan"/>
    <s v="Male"/>
    <n v="97"/>
    <n v="982"/>
    <n v="1243"/>
    <n v="95254"/>
    <n v="120571"/>
    <n v="25317"/>
    <s v="profit"/>
  </r>
  <r>
    <x v="323"/>
    <s v="february"/>
    <s v="Pinnacle Media Ventures"/>
    <s v="Fashion "/>
    <x v="6"/>
    <s v="Uttar Pradesh"/>
    <s v="Male"/>
    <n v="93"/>
    <n v="736"/>
    <n v="864"/>
    <n v="68448"/>
    <n v="80352"/>
    <n v="11904"/>
    <s v="profit"/>
  </r>
  <r>
    <x v="324"/>
    <s v="february"/>
    <s v="Stellar Innovations Group"/>
    <s v="Fashion "/>
    <x v="6"/>
    <s v="Jharkhand"/>
    <s v="Male"/>
    <n v="51"/>
    <n v="608"/>
    <n v="1179"/>
    <n v="31008"/>
    <n v="60129"/>
    <n v="29121"/>
    <s v="profit"/>
  </r>
  <r>
    <x v="325"/>
    <s v="february"/>
    <s v="Radiant Educational Co."/>
    <s v="Fashion "/>
    <x v="6"/>
    <s v="Kerala"/>
    <s v="Male"/>
    <n v="95"/>
    <n v="642"/>
    <n v="796"/>
    <n v="60990"/>
    <n v="75620"/>
    <n v="14630"/>
    <s v="profit"/>
  </r>
  <r>
    <x v="12"/>
    <s v="april"/>
    <s v="Metro Tech Solutions"/>
    <s v="Electronic"/>
    <x v="3"/>
    <s v="Maharashtra"/>
    <s v="Female"/>
    <n v="22"/>
    <n v="755"/>
    <n v="996"/>
    <n v="16610"/>
    <n v="21912"/>
    <n v="5302"/>
    <s v="profit"/>
  </r>
  <r>
    <x v="326"/>
    <s v="february"/>
    <s v="Harmony Edge Ventures"/>
    <s v="Fashion "/>
    <x v="6"/>
    <s v="Maharashtra"/>
    <s v="Female"/>
    <n v="90"/>
    <n v="713"/>
    <n v="1148"/>
    <n v="64170"/>
    <n v="103320"/>
    <n v="39150"/>
    <s v="profit"/>
  </r>
  <r>
    <x v="327"/>
    <s v="february"/>
    <s v="Apex Finance Group"/>
    <s v="Fashion "/>
    <x v="6"/>
    <s v="Uttarakhand"/>
    <s v="Male"/>
    <n v="81"/>
    <n v="813"/>
    <n v="1428"/>
    <n v="65853"/>
    <n v="115668"/>
    <n v="49815"/>
    <s v="profit"/>
  </r>
  <r>
    <x v="328"/>
    <s v="february"/>
    <s v="Pure Harmony Media"/>
    <s v="Fashion "/>
    <x v="6"/>
    <s v="Assam"/>
    <s v="Male"/>
    <n v="57"/>
    <n v="912"/>
    <n v="1246"/>
    <n v="51984"/>
    <n v="71022"/>
    <n v="19038"/>
    <s v="profit"/>
  </r>
  <r>
    <x v="329"/>
    <s v="february"/>
    <s v="Legacy Health Co."/>
    <s v="Fashion "/>
    <x v="8"/>
    <s v="Punjab"/>
    <s v="Male"/>
    <n v="61"/>
    <n v="565"/>
    <n v="1212"/>
    <n v="34465"/>
    <n v="73932"/>
    <n v="39467"/>
    <s v="profit"/>
  </r>
  <r>
    <x v="330"/>
    <s v="february"/>
    <s v="ACCOUNTS EXPERT"/>
    <s v="Fashion "/>
    <x v="11"/>
    <s v="Punjab"/>
    <s v="Male"/>
    <n v="62"/>
    <n v="805"/>
    <n v="1163"/>
    <n v="49910"/>
    <n v="72106"/>
    <n v="22196"/>
    <s v="profit"/>
  </r>
  <r>
    <x v="198"/>
    <s v="april"/>
    <s v="Golden Horizon Ventures"/>
    <s v="Fashion "/>
    <x v="1"/>
    <s v="Karnataka"/>
    <s v="Male"/>
    <n v="74"/>
    <n v="743"/>
    <n v="1265"/>
    <n v="54982"/>
    <n v="93610"/>
    <n v="38628"/>
    <s v="profit"/>
  </r>
  <r>
    <x v="199"/>
    <s v="april"/>
    <s v="Eternal Traditions"/>
    <s v="Fashion "/>
    <x v="1"/>
    <s v="Telangana"/>
    <s v="Male"/>
    <n v="83"/>
    <n v="594"/>
    <n v="852"/>
    <n v="49302"/>
    <n v="70716"/>
    <n v="21414"/>
    <s v="profit"/>
  </r>
  <r>
    <x v="200"/>
    <s v="april"/>
    <s v="Harmony Foods"/>
    <s v="Fashion "/>
    <x v="1"/>
    <s v="Maharashtra"/>
    <s v="Male"/>
    <n v="70"/>
    <n v="878"/>
    <n v="844"/>
    <n v="61460"/>
    <n v="59080"/>
    <n v="-2380"/>
    <s v="loss"/>
  </r>
  <r>
    <x v="201"/>
    <s v="april"/>
    <s v="Sacred Roots Apparel"/>
    <s v="Fashion "/>
    <x v="10"/>
    <s v="Maharashtra"/>
    <s v="Female"/>
    <n v="57"/>
    <n v="724"/>
    <n v="839"/>
    <n v="41268"/>
    <n v="47823"/>
    <n v="6555"/>
    <s v="profit"/>
  </r>
  <r>
    <x v="22"/>
    <s v="april"/>
    <s v="Elite Marketing Solutions"/>
    <s v="Electronic"/>
    <x v="4"/>
    <s v="Tamil Nadu"/>
    <s v="Male"/>
    <n v="23"/>
    <n v="627"/>
    <n v="855"/>
    <n v="14421"/>
    <n v="19665"/>
    <n v="5244"/>
    <s v="profit"/>
  </r>
  <r>
    <x v="202"/>
    <s v="april"/>
    <s v="Quantum Finance Services"/>
    <s v="Fashion "/>
    <x v="10"/>
    <s v="Chandigarh"/>
    <s v="Female"/>
    <n v="50"/>
    <n v="537"/>
    <n v="1172"/>
    <n v="26850"/>
    <n v="58600"/>
    <n v="31750"/>
    <s v="profit"/>
  </r>
  <r>
    <x v="24"/>
    <s v="april"/>
    <s v="Crystal Clear Solutions"/>
    <s v="Electronic"/>
    <x v="4"/>
    <s v="Rajasthan"/>
    <s v="Female"/>
    <n v="23"/>
    <n v="938"/>
    <n v="1336"/>
    <n v="21574"/>
    <n v="30728"/>
    <n v="9154"/>
    <s v="profit"/>
  </r>
  <r>
    <x v="203"/>
    <s v="april"/>
    <s v="Brilliant Minds Academy"/>
    <s v="Fashion "/>
    <x v="10"/>
    <s v="Madhya Pradesh"/>
    <s v="Female"/>
    <n v="67"/>
    <n v="989"/>
    <n v="956"/>
    <n v="66263"/>
    <n v="64052"/>
    <n v="-2211"/>
    <s v="loss"/>
  </r>
  <r>
    <x v="204"/>
    <s v="april"/>
    <s v="Visionary Holdings"/>
    <s v="Fashion "/>
    <x v="10"/>
    <s v="Andhra Pradesh"/>
    <s v="Female"/>
    <n v="83"/>
    <n v="917"/>
    <n v="989"/>
    <n v="76111"/>
    <n v="82087"/>
    <n v="5976"/>
    <s v="profit"/>
  </r>
  <r>
    <x v="205"/>
    <s v="april"/>
    <s v="Stellar Design Studio"/>
    <s v="Fashion "/>
    <x v="10"/>
    <s v="Bihar"/>
    <s v="Female"/>
    <n v="74"/>
    <n v="645"/>
    <n v="879"/>
    <n v="47730"/>
    <n v="65046"/>
    <n v="17316"/>
    <s v="profit"/>
  </r>
  <r>
    <x v="206"/>
    <s v="april"/>
    <s v="Classic Cuisines"/>
    <s v="Fashion "/>
    <x v="10"/>
    <s v="Gujarat"/>
    <s v="Male"/>
    <n v="76"/>
    <n v="943"/>
    <n v="1394"/>
    <n v="71668"/>
    <n v="105944"/>
    <n v="34276"/>
    <s v="profit"/>
  </r>
  <r>
    <x v="207"/>
    <s v="april"/>
    <s v="Bold Ventures"/>
    <s v="Fashion "/>
    <x v="10"/>
    <s v="Uttar Pradesh"/>
    <s v="Male"/>
    <n v="85"/>
    <n v="505"/>
    <n v="1435"/>
    <n v="42925"/>
    <n v="121975"/>
    <n v="79050"/>
    <s v="profit"/>
  </r>
  <r>
    <x v="208"/>
    <s v="may"/>
    <s v="Radiance Spa"/>
    <s v="Fashion "/>
    <x v="6"/>
    <s v="Rajasthan"/>
    <s v="Male"/>
    <n v="82"/>
    <n v="928"/>
    <n v="1428"/>
    <n v="76096"/>
    <n v="117096"/>
    <n v="41000"/>
    <s v="profit"/>
  </r>
  <r>
    <x v="209"/>
    <s v="may"/>
    <s v="Verve Fitness Studio"/>
    <s v="Fashion "/>
    <x v="6"/>
    <s v="Uttar Pradesh"/>
    <s v="Female"/>
    <n v="72"/>
    <n v="605"/>
    <n v="1081"/>
    <n v="43560"/>
    <n v="77832"/>
    <n v="34272"/>
    <s v="profit"/>
  </r>
  <r>
    <x v="210"/>
    <s v="may"/>
    <s v="Sparkle Cleaners"/>
    <s v="Fashion "/>
    <x v="6"/>
    <s v="Uttar Pradesh"/>
    <s v="Female"/>
    <n v="82"/>
    <n v="993"/>
    <n v="823"/>
    <n v="81426"/>
    <n v="67486"/>
    <n v="-13940"/>
    <s v="loss"/>
  </r>
  <r>
    <x v="211"/>
    <s v="may"/>
    <s v="Global Reach Logistics"/>
    <s v="Fashion "/>
    <x v="6"/>
    <s v="Maharashtra"/>
    <s v="Female"/>
    <n v="53"/>
    <n v="803"/>
    <n v="1335"/>
    <n v="42559"/>
    <n v="70755"/>
    <n v="28196"/>
    <s v="profit"/>
  </r>
  <r>
    <x v="212"/>
    <s v="may"/>
    <s v="Noble Path Finance"/>
    <s v="Fashion "/>
    <x v="6"/>
    <s v="Madhya Pradesh"/>
    <s v="Female"/>
    <n v="87"/>
    <n v="742"/>
    <n v="856"/>
    <n v="64554"/>
    <n v="74472"/>
    <n v="9918"/>
    <s v="profit"/>
  </r>
  <r>
    <x v="213"/>
    <s v="may"/>
    <s v="Dynamic Events Management"/>
    <s v="Fashion "/>
    <x v="6"/>
    <s v="Maharashtra"/>
    <s v="Female"/>
    <n v="70"/>
    <n v="605"/>
    <n v="1489"/>
    <n v="42350"/>
    <n v="104230"/>
    <n v="61880"/>
    <s v="profit"/>
  </r>
  <r>
    <x v="214"/>
    <s v="may"/>
    <s v="Crystal Waters Resort"/>
    <s v="Fashion "/>
    <x v="6"/>
    <s v="Chandigarh"/>
    <s v="Female"/>
    <n v="94"/>
    <n v="754"/>
    <n v="1354"/>
    <n v="70876"/>
    <n v="127276"/>
    <n v="56400"/>
    <s v="profit"/>
  </r>
  <r>
    <x v="215"/>
    <s v="may"/>
    <s v="Excellence Tutors"/>
    <s v="Fashion "/>
    <x v="6"/>
    <s v="Madhya Pradesh"/>
    <s v="Female"/>
    <n v="80"/>
    <n v="622"/>
    <n v="1168"/>
    <n v="49760"/>
    <n v="93440"/>
    <n v="43680"/>
    <s v="profit"/>
  </r>
  <r>
    <x v="216"/>
    <s v="may"/>
    <s v="Horizon Builders"/>
    <s v="Fashion "/>
    <x v="6"/>
    <s v="Andhra Pradesh"/>
    <s v="Male"/>
    <n v="88"/>
    <n v="625"/>
    <n v="1324"/>
    <n v="55000"/>
    <n v="116512"/>
    <n v="61512"/>
    <s v="profit"/>
  </r>
  <r>
    <x v="217"/>
    <s v="may"/>
    <s v="Classic Heritage Crafts"/>
    <s v="Fashion "/>
    <x v="6"/>
    <s v="Gujarat"/>
    <s v="Male"/>
    <n v="67"/>
    <n v="760"/>
    <n v="1006"/>
    <n v="50920"/>
    <n v="67402"/>
    <n v="16482"/>
    <s v="profit"/>
  </r>
  <r>
    <x v="218"/>
    <s v="may"/>
    <s v="Prime Focus Media"/>
    <s v="Fashion "/>
    <x v="8"/>
    <s v="Uttar Pradesh"/>
    <s v="Male"/>
    <n v="75"/>
    <n v="966"/>
    <n v="1355"/>
    <n v="72450"/>
    <n v="101625"/>
    <n v="29175"/>
    <s v="profit"/>
  </r>
  <r>
    <x v="219"/>
    <s v="june"/>
    <s v="Noble Nutraceuticals"/>
    <s v="Fashion "/>
    <x v="8"/>
    <s v="Uttar Pradesh"/>
    <s v="Female"/>
    <n v="51"/>
    <n v="749"/>
    <n v="1060"/>
    <n v="38199"/>
    <n v="54060"/>
    <n v="15861"/>
    <s v="profit"/>
  </r>
  <r>
    <x v="220"/>
    <s v="june"/>
    <s v="Supreme Travel Agency"/>
    <s v="Fashion "/>
    <x v="8"/>
    <s v="Tamil Nadu"/>
    <s v="Male"/>
    <n v="94"/>
    <n v="721"/>
    <n v="996"/>
    <n v="67774"/>
    <n v="93624"/>
    <n v="25850"/>
    <s v="profit"/>
  </r>
  <r>
    <x v="221"/>
    <s v="june"/>
    <s v="Future Vision Tech"/>
    <s v="Fashion "/>
    <x v="8"/>
    <s v="Tamil Nadu"/>
    <s v="Male"/>
    <n v="71"/>
    <n v="869"/>
    <n v="753"/>
    <n v="61699"/>
    <n v="53463"/>
    <n v="-8236"/>
    <s v="loss"/>
  </r>
  <r>
    <x v="222"/>
    <s v="june"/>
    <s v="Urban Groove Apparel"/>
    <s v="Fashion "/>
    <x v="8"/>
    <s v="Rajasthan"/>
    <s v="Male"/>
    <n v="52"/>
    <n v="550"/>
    <n v="869"/>
    <n v="28600"/>
    <n v="45188"/>
    <n v="16588"/>
    <s v="profit"/>
  </r>
  <r>
    <x v="223"/>
    <s v="june"/>
    <s v="Echo Real Estate"/>
    <s v="Fashion "/>
    <x v="8"/>
    <s v="Uttar Pradesh"/>
    <s v="Male"/>
    <n v="77"/>
    <n v="513"/>
    <n v="871"/>
    <n v="39501"/>
    <n v="67067"/>
    <n v="27566"/>
    <s v="profit"/>
  </r>
  <r>
    <x v="224"/>
    <s v="june"/>
    <s v="Pinnacle Health Products"/>
    <s v="Fashion "/>
    <x v="8"/>
    <s v="Jharkhand"/>
    <s v="Female"/>
    <n v="84"/>
    <n v="739"/>
    <n v="1161"/>
    <n v="62076"/>
    <n v="97524"/>
    <n v="35448"/>
    <s v="profit"/>
  </r>
  <r>
    <x v="225"/>
    <s v="june"/>
    <s v="Apex Auto Care"/>
    <s v="Fashion "/>
    <x v="8"/>
    <s v="Kerala"/>
    <s v="Female"/>
    <n v="71"/>
    <n v="923"/>
    <n v="996"/>
    <n v="65533"/>
    <n v="70716"/>
    <n v="5183"/>
    <s v="profit"/>
  </r>
  <r>
    <x v="226"/>
    <s v="june"/>
    <s v="Royal Glow Cosmetics"/>
    <s v="Fashion "/>
    <x v="8"/>
    <s v="Maharashtra"/>
    <s v="Female"/>
    <n v="59"/>
    <n v="862"/>
    <n v="1233"/>
    <n v="50858"/>
    <n v="72747"/>
    <n v="21889"/>
    <s v="profit"/>
  </r>
  <r>
    <x v="49"/>
    <s v="may"/>
    <s v="Absolute Solutions"/>
    <s v="Fashion "/>
    <x v="6"/>
    <s v="Gujarat"/>
    <s v="Male"/>
    <n v="90"/>
    <n v="718"/>
    <n v="1353"/>
    <n v="64620"/>
    <n v="121770"/>
    <n v="57150"/>
    <s v="profit"/>
  </r>
  <r>
    <x v="227"/>
    <s v="june"/>
    <s v="Zenith Culinary Arts"/>
    <s v="Fashion "/>
    <x v="8"/>
    <s v="Himachal Pradesh"/>
    <s v="Female"/>
    <n v="77"/>
    <n v="882"/>
    <n v="914"/>
    <n v="67914"/>
    <n v="70378"/>
    <n v="2464"/>
    <s v="profit"/>
  </r>
  <r>
    <x v="228"/>
    <s v="june"/>
    <s v="Visionary Tours"/>
    <s v="Fashion "/>
    <x v="8"/>
    <s v="Uttarakhand"/>
    <s v="Female"/>
    <n v="90"/>
    <n v="862"/>
    <n v="902"/>
    <n v="77580"/>
    <n v="81180"/>
    <n v="3600"/>
    <s v="profit"/>
  </r>
  <r>
    <x v="229"/>
    <s v="june"/>
    <s v="Elite Essence Products"/>
    <s v="Fashion "/>
    <x v="6"/>
    <s v="West Bengal"/>
    <s v="Male"/>
    <n v="73"/>
    <n v="541"/>
    <n v="1114"/>
    <n v="39493"/>
    <n v="81322"/>
    <n v="41829"/>
    <s v="profit"/>
  </r>
  <r>
    <x v="230"/>
    <s v="june"/>
    <s v="Dynamic Creations"/>
    <s v="Fashion "/>
    <x v="6"/>
    <s v="Karnataka"/>
    <s v="Male"/>
    <n v="94"/>
    <n v="772"/>
    <n v="1390"/>
    <n v="72568"/>
    <n v="130660"/>
    <n v="58092"/>
    <s v="profit"/>
  </r>
  <r>
    <x v="231"/>
    <s v="june"/>
    <s v="Quantum Design Studio"/>
    <s v="Fashion "/>
    <x v="6"/>
    <s v="Delhi"/>
    <s v="Male"/>
    <n v="66"/>
    <n v="771"/>
    <n v="1419"/>
    <n v="50886"/>
    <n v="93654"/>
    <n v="42768"/>
    <s v="profit"/>
  </r>
  <r>
    <x v="232"/>
    <s v="june"/>
    <s v="Apex Construction"/>
    <s v="Fashion "/>
    <x v="6"/>
    <s v="West Bengal"/>
    <s v="Female"/>
    <n v="65"/>
    <n v="762"/>
    <n v="1394"/>
    <n v="49530"/>
    <n v="90610"/>
    <n v="41080"/>
    <s v="profit"/>
  </r>
  <r>
    <x v="233"/>
    <s v="june"/>
    <s v="Legacy Innovations"/>
    <s v="Fashion "/>
    <x v="8"/>
    <s v="Tamil Nadu"/>
    <s v="Female"/>
    <n v="78"/>
    <n v="918"/>
    <n v="1469"/>
    <n v="71604"/>
    <n v="114582"/>
    <n v="42978"/>
    <s v="profit"/>
  </r>
  <r>
    <x v="234"/>
    <s v="june"/>
    <s v="Pure Harmony Foods"/>
    <s v="Fashion "/>
    <x v="8"/>
    <s v="Karnataka"/>
    <s v="Male"/>
    <n v="76"/>
    <n v="624"/>
    <n v="899"/>
    <n v="47424"/>
    <n v="68324"/>
    <n v="20900"/>
    <s v="profit"/>
  </r>
  <r>
    <x v="58"/>
    <s v="may"/>
    <s v="Synergy Tech Solutions"/>
    <s v="Fashion "/>
    <x v="6"/>
    <s v="Bihar"/>
    <s v="Male"/>
    <n v="59"/>
    <n v="716"/>
    <n v="1257"/>
    <n v="42244"/>
    <n v="74163"/>
    <n v="31919"/>
    <s v="profit"/>
  </r>
  <r>
    <x v="235"/>
    <s v="june"/>
    <s v="Zenith Security Systems"/>
    <s v="Fashion "/>
    <x v="8"/>
    <s v="Telangana"/>
    <s v="Male"/>
    <n v="99"/>
    <n v="598"/>
    <n v="1404"/>
    <n v="59202"/>
    <n v="138996"/>
    <n v="79794"/>
    <s v="profit"/>
  </r>
  <r>
    <x v="236"/>
    <s v="june"/>
    <s v="Crystal Clear Beverages"/>
    <s v="Fashion "/>
    <x v="8"/>
    <s v="Gujarat"/>
    <s v="Male"/>
    <n v="78"/>
    <n v="761"/>
    <n v="1174"/>
    <n v="59358"/>
    <n v="91572"/>
    <n v="32214"/>
    <s v="profit"/>
  </r>
  <r>
    <x v="237"/>
    <s v="june"/>
    <s v="Metro Line Tech"/>
    <s v="Fashion "/>
    <x v="8"/>
    <s v="Maharashtra"/>
    <s v="Male"/>
    <n v="96"/>
    <n v="512"/>
    <n v="970"/>
    <n v="49152"/>
    <n v="93120"/>
    <n v="43968"/>
    <s v="profit"/>
  </r>
  <r>
    <x v="238"/>
    <s v="june"/>
    <s v="Urban Pulse Consulting"/>
    <s v="Fashion "/>
    <x v="8"/>
    <s v="Rajasthan"/>
    <s v="Male"/>
    <n v="85"/>
    <n v="765"/>
    <n v="1024"/>
    <n v="65025"/>
    <n v="87040"/>
    <n v="22015"/>
    <s v="profit"/>
  </r>
  <r>
    <x v="239"/>
    <s v="july"/>
    <s v="Legacy Design Group"/>
    <s v="Fashion "/>
    <x v="6"/>
    <s v="Punjab"/>
    <s v="Female"/>
    <n v="59"/>
    <n v="663"/>
    <n v="872"/>
    <n v="39117"/>
    <n v="51448"/>
    <n v="12331"/>
    <s v="profit"/>
  </r>
  <r>
    <x v="240"/>
    <s v="july"/>
    <s v="Supreme Wellness"/>
    <s v="Fashion "/>
    <x v="6"/>
    <s v="Chhattisgarh"/>
    <s v="Female"/>
    <n v="75"/>
    <n v="871"/>
    <n v="1274"/>
    <n v="65325"/>
    <n v="95550"/>
    <n v="30225"/>
    <s v="profit"/>
  </r>
  <r>
    <x v="241"/>
    <s v="july"/>
    <s v="Harmony Tech Innovations"/>
    <s v="Fashion "/>
    <x v="6"/>
    <s v="West Bengal"/>
    <s v="Female"/>
    <n v="87"/>
    <n v="869"/>
    <n v="1247"/>
    <n v="75603"/>
    <n v="108489"/>
    <n v="32886"/>
    <s v="profit"/>
  </r>
  <r>
    <x v="242"/>
    <s v="july"/>
    <s v="Stellar Education Services"/>
    <s v="Fashion "/>
    <x v="6"/>
    <s v="West Bengal"/>
    <s v="Female"/>
    <n v="100"/>
    <n v="605"/>
    <n v="1249"/>
    <n v="60500"/>
    <n v="124900"/>
    <n v="64400"/>
    <s v="profit"/>
  </r>
  <r>
    <x v="243"/>
    <s v="july"/>
    <s v="Visionary Health Products"/>
    <s v="Fashion "/>
    <x v="6"/>
    <s v="Madhya Pradesh"/>
    <s v="Female"/>
    <n v="51"/>
    <n v="798"/>
    <n v="910"/>
    <n v="40698"/>
    <n v="46410"/>
    <n v="5712"/>
    <s v="profit"/>
  </r>
  <r>
    <x v="244"/>
    <s v="july"/>
    <s v="Crystal Innovations"/>
    <s v="Fashion "/>
    <x v="6"/>
    <s v="Jharkhand"/>
    <s v="Female"/>
    <n v="52"/>
    <n v="984"/>
    <n v="992"/>
    <n v="51168"/>
    <n v="51584"/>
    <n v="416"/>
    <s v="profit"/>
  </r>
  <r>
    <x v="245"/>
    <s v="july"/>
    <s v="Future Trends Retail"/>
    <s v="Fashion "/>
    <x v="6"/>
    <s v="West Bengal"/>
    <s v="Female"/>
    <n v="97"/>
    <n v="565"/>
    <n v="995"/>
    <n v="54805"/>
    <n v="96515"/>
    <n v="41710"/>
    <s v="profit"/>
  </r>
  <r>
    <x v="246"/>
    <s v="july"/>
    <s v="Radiant Horizon Ventures"/>
    <s v="Fashion "/>
    <x v="6"/>
    <s v="Karnataka"/>
    <s v="Female"/>
    <n v="58"/>
    <n v="799"/>
    <n v="1273"/>
    <n v="46342"/>
    <n v="73834"/>
    <n v="27492"/>
    <s v="profit"/>
  </r>
  <r>
    <x v="247"/>
    <s v="july"/>
    <s v="Urban Edge Realty"/>
    <s v="Fashion "/>
    <x v="6"/>
    <s v="Delhi"/>
    <s v="Male"/>
    <n v="69"/>
    <n v="524"/>
    <n v="893"/>
    <n v="36156"/>
    <n v="61617"/>
    <n v="25461"/>
    <s v="profit"/>
  </r>
  <r>
    <x v="248"/>
    <s v="july"/>
    <s v="Prime Focus Innovations"/>
    <s v="Fashion "/>
    <x v="6"/>
    <s v="Maharashtra"/>
    <s v="Male"/>
    <n v="81"/>
    <n v="903"/>
    <n v="1306"/>
    <n v="73143"/>
    <n v="105786"/>
    <n v="32643"/>
    <s v="profit"/>
  </r>
  <r>
    <x v="249"/>
    <s v="august"/>
    <s v="Elite Spectrum Consulting"/>
    <s v="Fashion "/>
    <x v="6"/>
    <s v="West Bengal"/>
    <s v="Male"/>
    <n v="89"/>
    <n v="584"/>
    <n v="777"/>
    <n v="51976"/>
    <n v="69153"/>
    <n v="17177"/>
    <s v="profit"/>
  </r>
  <r>
    <x v="250"/>
    <s v="august"/>
    <s v="Dynamic Design Studio"/>
    <s v="Fashion "/>
    <x v="6"/>
    <s v="Tamil Nadu"/>
    <s v="Male"/>
    <n v="75"/>
    <n v="906"/>
    <n v="954"/>
    <n v="67950"/>
    <n v="71550"/>
    <n v="3600"/>
    <s v="profit"/>
  </r>
  <r>
    <x v="63"/>
    <s v="june"/>
    <s v="Radiant Enterprise Solutions"/>
    <s v="Decor"/>
    <x v="0"/>
    <s v="West Bengal"/>
    <s v="Female"/>
    <n v="17"/>
    <n v="901"/>
    <n v="1283"/>
    <n v="15317"/>
    <n v="21811"/>
    <n v="6494"/>
    <s v="profit"/>
  </r>
  <r>
    <x v="251"/>
    <s v="august"/>
    <s v="Royal Crest Foods"/>
    <s v="Fashion "/>
    <x v="8"/>
    <s v="Telangana"/>
    <s v="Female"/>
    <n v="98"/>
    <n v="925"/>
    <n v="904"/>
    <n v="90650"/>
    <n v="88592"/>
    <n v="-2058"/>
    <s v="loss"/>
  </r>
  <r>
    <x v="252"/>
    <s v="august"/>
    <s v="Zenith Travels"/>
    <s v="Fashion "/>
    <x v="8"/>
    <s v="Gujarat"/>
    <s v="Female"/>
    <n v="73"/>
    <n v="508"/>
    <n v="1324"/>
    <n v="37084"/>
    <n v="96652"/>
    <n v="59568"/>
    <s v="profit"/>
  </r>
  <r>
    <x v="253"/>
    <s v="august"/>
    <s v="Quantum Media Group"/>
    <s v="Fashion "/>
    <x v="6"/>
    <s v="Uttar Pradesh"/>
    <s v="Female"/>
    <n v="87"/>
    <n v="876"/>
    <n v="880"/>
    <n v="76212"/>
    <n v="76560"/>
    <n v="348"/>
    <s v="profit"/>
  </r>
  <r>
    <x v="254"/>
    <s v="august"/>
    <s v="Legacy Builders"/>
    <s v="Fashion "/>
    <x v="6"/>
    <s v="Jharkhand"/>
    <s v="Female"/>
    <n v="69"/>
    <n v="993"/>
    <n v="862"/>
    <n v="68517"/>
    <n v="59478"/>
    <n v="-9039"/>
    <s v="loss"/>
  </r>
  <r>
    <x v="255"/>
    <s v="august"/>
    <s v="Apex Spa &amp; Wellness"/>
    <s v="Fashion "/>
    <x v="6"/>
    <s v="Kerala"/>
    <s v="Female"/>
    <n v="62"/>
    <n v="781"/>
    <n v="946"/>
    <n v="48422"/>
    <n v="58652"/>
    <n v="10230"/>
    <s v="profit"/>
  </r>
  <r>
    <x v="64"/>
    <s v="june"/>
    <s v="Infinite Solutions"/>
    <s v="Fashion "/>
    <x v="6"/>
    <s v="Maharashtra"/>
    <s v="Female"/>
    <n v="83"/>
    <n v="889"/>
    <n v="1075"/>
    <n v="73787"/>
    <n v="89225"/>
    <n v="15438"/>
    <s v="profit"/>
  </r>
  <r>
    <x v="256"/>
    <s v="august"/>
    <s v="Radiant Travel Services"/>
    <s v="Fashion "/>
    <x v="6"/>
    <s v="Maharashtra"/>
    <s v="Female"/>
    <n v="63"/>
    <n v="718"/>
    <n v="1047"/>
    <n v="45234"/>
    <n v="65961"/>
    <n v="20727"/>
    <s v="profit"/>
  </r>
  <r>
    <x v="257"/>
    <s v="august"/>
    <s v="Modern Trends Consulting"/>
    <s v="Fashion "/>
    <x v="6"/>
    <s v="Himachal Pradesh"/>
    <s v="Female"/>
    <n v="72"/>
    <n v="673"/>
    <n v="1027"/>
    <n v="48456"/>
    <n v="73944"/>
    <n v="25488"/>
    <s v="profit"/>
  </r>
  <r>
    <x v="258"/>
    <s v="august"/>
    <s v="Global Horizon Ventures"/>
    <s v="Fashion "/>
    <x v="6"/>
    <s v="Uttarakhand"/>
    <s v="Female"/>
    <n v="76"/>
    <n v="567"/>
    <n v="897"/>
    <n v="43092"/>
    <n v="68172"/>
    <n v="25080"/>
    <s v="profit"/>
  </r>
  <r>
    <x v="259"/>
    <s v="august"/>
    <s v="Elite Enterprises"/>
    <s v="Fashion "/>
    <x v="6"/>
    <s v="Assam"/>
    <s v="Male"/>
    <n v="70"/>
    <n v="751"/>
    <n v="1026"/>
    <n v="52570"/>
    <n v="71820"/>
    <n v="19250"/>
    <s v="profit"/>
  </r>
  <r>
    <x v="260"/>
    <s v="september"/>
    <s v="Pinnacle Health Innovations"/>
    <s v="Fashion "/>
    <x v="6"/>
    <s v="Chhattisgarh"/>
    <s v="Male"/>
    <n v="56"/>
    <n v="559"/>
    <n v="1151"/>
    <n v="31304"/>
    <n v="64456"/>
    <n v="33152"/>
    <s v="profit"/>
  </r>
  <r>
    <x v="261"/>
    <s v="september"/>
    <s v="Horizon Fashion"/>
    <s v="Fashion "/>
    <x v="8"/>
    <s v="West Bengal"/>
    <s v="Male"/>
    <n v="72"/>
    <n v="719"/>
    <n v="911"/>
    <n v="51768"/>
    <n v="65592"/>
    <n v="13824"/>
    <s v="profit"/>
  </r>
  <r>
    <x v="262"/>
    <s v="september"/>
    <s v="Crystal Essence Beverages"/>
    <s v="Fashion "/>
    <x v="8"/>
    <s v="West Bengal"/>
    <s v="Male"/>
    <n v="89"/>
    <n v="703"/>
    <n v="795"/>
    <n v="62567"/>
    <n v="70755"/>
    <n v="8188"/>
    <s v="profit"/>
  </r>
  <r>
    <x v="263"/>
    <s v="september"/>
    <s v="Dynamic Pathways"/>
    <s v="Fashion "/>
    <x v="8"/>
    <s v="Madhya Pradesh"/>
    <s v="Female"/>
    <n v="77"/>
    <n v="780"/>
    <n v="967"/>
    <n v="60060"/>
    <n v="74459"/>
    <n v="14399"/>
    <s v="profit"/>
  </r>
  <r>
    <x v="264"/>
    <s v="september"/>
    <s v="Radiance Apparel"/>
    <s v="Fashion "/>
    <x v="8"/>
    <s v="West Bengal"/>
    <s v="Female"/>
    <n v="54"/>
    <n v="762"/>
    <n v="1186"/>
    <n v="41148"/>
    <n v="64044"/>
    <n v="22896"/>
    <s v="profit"/>
  </r>
  <r>
    <x v="265"/>
    <s v="september"/>
    <s v="Zenith Design Group"/>
    <s v="Fashion "/>
    <x v="8"/>
    <s v="Karnataka"/>
    <s v="Male"/>
    <n v="91"/>
    <n v="647"/>
    <n v="1073"/>
    <n v="58877"/>
    <n v="97643"/>
    <n v="38766"/>
    <s v="profit"/>
  </r>
  <r>
    <x v="65"/>
    <s v="july"/>
    <s v="Synergy Solutions Group"/>
    <s v="Decor"/>
    <x v="2"/>
    <s v="Maharashtra"/>
    <s v="Female"/>
    <n v="14"/>
    <n v="684"/>
    <n v="1483"/>
    <n v="9576"/>
    <n v="20762"/>
    <n v="11186"/>
    <s v="profit"/>
  </r>
  <r>
    <x v="266"/>
    <s v="september"/>
    <s v="Modern Horizons Consulting"/>
    <s v="Fashion "/>
    <x v="8"/>
    <s v="Maharashtra"/>
    <s v="Male"/>
    <n v="63"/>
    <n v="720"/>
    <n v="1458"/>
    <n v="45360"/>
    <n v="91854"/>
    <n v="46494"/>
    <s v="profit"/>
  </r>
  <r>
    <x v="267"/>
    <s v="september"/>
    <s v="Apex Realty Services"/>
    <s v="Fashion "/>
    <x v="8"/>
    <s v="Madhya Pradesh"/>
    <s v="Male"/>
    <n v="66"/>
    <n v="958"/>
    <n v="1017"/>
    <n v="63228"/>
    <n v="67122"/>
    <n v="3894"/>
    <s v="profit"/>
  </r>
  <r>
    <x v="268"/>
    <s v="september"/>
    <s v="Zenith Educational Group"/>
    <s v="Fashion "/>
    <x v="8"/>
    <s v="Maharashtra"/>
    <s v="Male"/>
    <n v="54"/>
    <n v="663"/>
    <n v="943"/>
    <n v="35802"/>
    <n v="50922"/>
    <n v="15120"/>
    <s v="profit"/>
  </r>
  <r>
    <x v="269"/>
    <s v="september"/>
    <s v="True Path Ventures"/>
    <s v="Fashion "/>
    <x v="8"/>
    <s v="Chandigarh"/>
    <s v="Female"/>
    <n v="73"/>
    <n v="540"/>
    <n v="1397"/>
    <n v="39420"/>
    <n v="101981"/>
    <n v="62561"/>
    <s v="profit"/>
  </r>
  <r>
    <x v="270"/>
    <s v="september"/>
    <s v="Radiance Media"/>
    <s v="Fashion "/>
    <x v="8"/>
    <s v="Madhya Pradesh"/>
    <s v="Male"/>
    <n v="76"/>
    <n v="744"/>
    <n v="1145"/>
    <n v="56544"/>
    <n v="87020"/>
    <n v="30476"/>
    <s v="profit"/>
  </r>
  <r>
    <x v="271"/>
    <s v="september"/>
    <s v="Legacy Health Systems"/>
    <s v="Fashion "/>
    <x v="8"/>
    <s v="Andhra Pradesh"/>
    <s v="Male"/>
    <n v="94"/>
    <n v="874"/>
    <n v="895"/>
    <n v="82156"/>
    <n v="84130"/>
    <n v="1974"/>
    <s v="profit"/>
  </r>
  <r>
    <x v="272"/>
    <s v="september"/>
    <s v="Urban Focus Products"/>
    <s v="Fashion "/>
    <x v="8"/>
    <s v="Bihar"/>
    <s v="Male"/>
    <n v="97"/>
    <n v="752"/>
    <n v="1286"/>
    <n v="72944"/>
    <n v="124742"/>
    <n v="51798"/>
    <s v="profit"/>
  </r>
  <r>
    <x v="273"/>
    <s v="october"/>
    <s v="Visionary Innovations"/>
    <s v="Fashion "/>
    <x v="6"/>
    <s v="Jharkhand"/>
    <s v="Female"/>
    <n v="77"/>
    <n v="951"/>
    <n v="1432"/>
    <n v="73227"/>
    <n v="110264"/>
    <n v="37037"/>
    <s v="profit"/>
  </r>
  <r>
    <x v="274"/>
    <s v="october"/>
    <s v="Horizon Design Studio"/>
    <s v="Fashion "/>
    <x v="6"/>
    <s v="Kerala"/>
    <s v="Female"/>
    <n v="52"/>
    <n v="633"/>
    <n v="1226"/>
    <n v="32916"/>
    <n v="63752"/>
    <n v="30836"/>
    <s v="profit"/>
  </r>
  <r>
    <x v="275"/>
    <s v="october"/>
    <s v="Legacy Tech Products"/>
    <s v="Fashion "/>
    <x v="6"/>
    <s v="Himachal Pradesh"/>
    <s v="Female"/>
    <n v="80"/>
    <n v="982"/>
    <n v="1224"/>
    <n v="78560"/>
    <n v="97920"/>
    <n v="19360"/>
    <s v="profit"/>
  </r>
  <r>
    <x v="276"/>
    <s v="october"/>
    <s v="Pinnacle Wellness Services"/>
    <s v="Fashion "/>
    <x v="6"/>
    <s v="Uttarakhand"/>
    <s v="Female"/>
    <n v="81"/>
    <n v="917"/>
    <n v="1344"/>
    <n v="74277"/>
    <n v="108864"/>
    <n v="34587"/>
    <s v="profit"/>
  </r>
  <r>
    <x v="277"/>
    <s v="october"/>
    <s v="Urban Insight Consulting"/>
    <s v="Fashion "/>
    <x v="8"/>
    <s v="Assam"/>
    <s v="Female"/>
    <n v="63"/>
    <n v="747"/>
    <n v="778"/>
    <n v="47061"/>
    <n v="49014"/>
    <n v="1953"/>
    <s v="profit"/>
  </r>
  <r>
    <x v="66"/>
    <s v="july"/>
    <s v="Horizon Tech Solutions"/>
    <s v="Electronic"/>
    <x v="7"/>
    <s v="Uttar Pradesh"/>
    <s v="Female"/>
    <n v="23"/>
    <n v="559"/>
    <n v="1456"/>
    <n v="12857"/>
    <n v="33488"/>
    <n v="20631"/>
    <s v="profit"/>
  </r>
  <r>
    <x v="278"/>
    <s v="october"/>
    <s v="Crystal Horizons"/>
    <s v="Fashion "/>
    <x v="8"/>
    <s v="Punjab"/>
    <s v="Female"/>
    <n v="88"/>
    <n v="978"/>
    <n v="1231"/>
    <n v="86064"/>
    <n v="108328"/>
    <n v="22264"/>
    <s v="profit"/>
  </r>
  <r>
    <x v="279"/>
    <s v="october"/>
    <s v="Radiant Apparel"/>
    <s v="Fashion "/>
    <x v="8"/>
    <s v="Chhattisgarh"/>
    <s v="Female"/>
    <n v="82"/>
    <n v="652"/>
    <n v="994"/>
    <n v="53464"/>
    <n v="81508"/>
    <n v="28044"/>
    <s v="profit"/>
  </r>
  <r>
    <x v="280"/>
    <s v="october"/>
    <s v="True Value Products"/>
    <s v="Fashion "/>
    <x v="8"/>
    <s v="West Bengal"/>
    <s v="Female"/>
    <n v="80"/>
    <n v="841"/>
    <n v="1490"/>
    <n v="67280"/>
    <n v="119200"/>
    <n v="51920"/>
    <s v="profit"/>
  </r>
  <r>
    <x v="281"/>
    <s v="october"/>
    <s v="Zenith Health Products"/>
    <s v="Fashion "/>
    <x v="8"/>
    <s v="Madhya Pradesh"/>
    <s v="Male"/>
    <n v="70"/>
    <n v="798"/>
    <n v="1318"/>
    <n v="55860"/>
    <n v="92260"/>
    <n v="36400"/>
    <s v="profit"/>
  </r>
  <r>
    <x v="282"/>
    <s v="october"/>
    <s v="Stellar Wellness Products"/>
    <s v="Fashion "/>
    <x v="1"/>
    <s v="Kerala"/>
    <s v="Male"/>
    <n v="69"/>
    <n v="921"/>
    <n v="1177"/>
    <n v="63549"/>
    <n v="81213"/>
    <n v="17664"/>
    <s v="profit"/>
  </r>
  <r>
    <x v="283"/>
    <s v="october"/>
    <s v="Radiant Consulting Group"/>
    <s v="Fashion "/>
    <x v="1"/>
    <s v="Maharashtra"/>
    <s v="Male"/>
    <n v="60"/>
    <n v="729"/>
    <n v="759"/>
    <n v="43740"/>
    <n v="45540"/>
    <n v="1800"/>
    <s v="profit"/>
  </r>
  <r>
    <x v="284"/>
    <s v="october"/>
    <s v="Harmony Ventures Co."/>
    <s v="Fashion "/>
    <x v="1"/>
    <s v="Himachal Pradesh"/>
    <s v="Female"/>
    <n v="99"/>
    <n v="880"/>
    <n v="1318"/>
    <n v="87120"/>
    <n v="130482"/>
    <n v="43362"/>
    <s v="profit"/>
  </r>
  <r>
    <x v="285"/>
    <s v="october"/>
    <s v="Urban Path Technologies"/>
    <s v="Fashion "/>
    <x v="1"/>
    <s v="Uttarakhand"/>
    <s v="Male"/>
    <n v="88"/>
    <n v="552"/>
    <n v="1422"/>
    <n v="48576"/>
    <n v="125136"/>
    <n v="76560"/>
    <s v="profit"/>
  </r>
  <r>
    <x v="286"/>
    <s v="november"/>
    <s v="Modern Vision Ventures"/>
    <s v="Fashion "/>
    <x v="10"/>
    <s v="West Bengal"/>
    <s v="Female"/>
    <n v="60"/>
    <n v="827"/>
    <n v="762"/>
    <n v="49620"/>
    <n v="45720"/>
    <n v="-3900"/>
    <s v="loss"/>
  </r>
  <r>
    <x v="287"/>
    <s v="november"/>
    <s v="Elite Travel Services"/>
    <s v="Fashion "/>
    <x v="10"/>
    <s v="Karnataka"/>
    <s v="Female"/>
    <n v="64"/>
    <n v="529"/>
    <n v="1195"/>
    <n v="33856"/>
    <n v="76480"/>
    <n v="42624"/>
    <s v="profit"/>
  </r>
  <r>
    <x v="288"/>
    <s v="november"/>
    <s v="Crystal Innovations Group"/>
    <s v="Fashion "/>
    <x v="10"/>
    <s v="Maharashtra"/>
    <s v="Female"/>
    <n v="51"/>
    <n v="859"/>
    <n v="1243"/>
    <n v="43809"/>
    <n v="63393"/>
    <n v="19584"/>
    <s v="profit"/>
  </r>
  <r>
    <x v="289"/>
    <s v="november"/>
    <s v="Pinnacle Fitness Studio"/>
    <s v="Fashion "/>
    <x v="10"/>
    <s v="West Bengal"/>
    <s v="Female"/>
    <n v="68"/>
    <n v="756"/>
    <n v="887"/>
    <n v="51408"/>
    <n v="60316"/>
    <n v="8908"/>
    <s v="profit"/>
  </r>
  <r>
    <x v="290"/>
    <s v="november"/>
    <s v="Stellar Travel Agency"/>
    <s v="Fashion "/>
    <x v="10"/>
    <s v="Tamil Nadu"/>
    <s v="Female"/>
    <n v="87"/>
    <n v="882"/>
    <n v="1211"/>
    <n v="76734"/>
    <n v="105357"/>
    <n v="28623"/>
    <s v="profit"/>
  </r>
  <r>
    <x v="291"/>
    <s v="december"/>
    <s v="Apex Travel Ventures"/>
    <s v="Fashion "/>
    <x v="6"/>
    <s v="Assam"/>
    <s v="Male"/>
    <n v="51"/>
    <n v="685"/>
    <n v="1224"/>
    <n v="34935"/>
    <n v="62424"/>
    <n v="27489"/>
    <s v="profit"/>
  </r>
  <r>
    <x v="292"/>
    <s v="december"/>
    <s v="True Path Consulting"/>
    <s v="Fashion "/>
    <x v="6"/>
    <s v="Chhattisgarh"/>
    <s v="Female"/>
    <n v="72"/>
    <n v="765"/>
    <n v="1368"/>
    <n v="55080"/>
    <n v="98496"/>
    <n v="43416"/>
    <s v="profit"/>
  </r>
  <r>
    <x v="293"/>
    <s v="december"/>
    <s v="Legacy Finance Group"/>
    <s v="Fashion "/>
    <x v="6"/>
    <s v="West Bengal"/>
    <s v="Female"/>
    <n v="54"/>
    <n v="702"/>
    <n v="930"/>
    <n v="37908"/>
    <n v="50220"/>
    <n v="12312"/>
    <s v="profit"/>
  </r>
  <r>
    <x v="294"/>
    <s v="december"/>
    <s v="Pinnacle Design Ventures"/>
    <s v="Fashion "/>
    <x v="6"/>
    <s v="Gujarat"/>
    <s v="Female"/>
    <n v="97"/>
    <n v="917"/>
    <n v="1203"/>
    <n v="88949"/>
    <n v="116691"/>
    <n v="27742"/>
    <s v="profit"/>
  </r>
  <r>
    <x v="295"/>
    <s v="december"/>
    <s v="Stellar Innovations Co."/>
    <s v="Fashion "/>
    <x v="6"/>
    <s v="Uttar Pradesh"/>
    <s v="Female"/>
    <n v="84"/>
    <n v="516"/>
    <n v="820"/>
    <n v="43344"/>
    <n v="68880"/>
    <n v="25536"/>
    <s v="profit"/>
  </r>
  <r>
    <x v="67"/>
    <s v="august"/>
    <s v="Apex Wellness Solutions"/>
    <s v="Fashion "/>
    <x v="8"/>
    <s v="Karnataka"/>
    <s v="Male"/>
    <n v="66"/>
    <n v="715"/>
    <n v="1460"/>
    <n v="47190"/>
    <n v="96360"/>
    <n v="49170"/>
    <s v="profit"/>
  </r>
  <r>
    <x v="296"/>
    <s v="december"/>
    <s v="Harmony Marketing Co."/>
    <s v="Fashion "/>
    <x v="6"/>
    <s v="Tamil Nadu"/>
    <s v="Female"/>
    <n v="92"/>
    <n v="789"/>
    <n v="1229"/>
    <n v="72588"/>
    <n v="113068"/>
    <n v="40480"/>
    <s v="profit"/>
  </r>
  <r>
    <x v="297"/>
    <s v="december"/>
    <s v="Urban Tech Innovations"/>
    <s v="Fashion "/>
    <x v="6"/>
    <s v="Tamil Nadu"/>
    <s v="Female"/>
    <n v="53"/>
    <n v="962"/>
    <n v="1442"/>
    <n v="50986"/>
    <n v="76426"/>
    <n v="25440"/>
    <s v="profit"/>
  </r>
  <r>
    <x v="298"/>
    <s v="december"/>
    <s v="Crystal Wellness Group"/>
    <s v="Fashion "/>
    <x v="6"/>
    <s v="Rajasthan"/>
    <s v="Female"/>
    <n v="81"/>
    <n v="565"/>
    <n v="1224"/>
    <n v="45765"/>
    <n v="99144"/>
    <n v="53379"/>
    <s v="profit"/>
  </r>
  <r>
    <x v="299"/>
    <s v="december"/>
    <s v="Apex Media Co."/>
    <s v="Fashion "/>
    <x v="6"/>
    <s v="Jharkhand"/>
    <s v="Female"/>
    <n v="96"/>
    <n v="715"/>
    <n v="1171"/>
    <n v="68640"/>
    <n v="112416"/>
    <n v="43776"/>
    <s v="profit"/>
  </r>
  <r>
    <x v="68"/>
    <s v="august"/>
    <s v="Radiance Tech Solutions"/>
    <s v="Decor"/>
    <x v="2"/>
    <s v="Gujarat"/>
    <s v="Female"/>
    <n v="10"/>
    <n v="812"/>
    <n v="1112"/>
    <n v="8120"/>
    <n v="11120"/>
    <n v="3000"/>
    <s v="profit"/>
  </r>
  <r>
    <x v="300"/>
    <s v="december"/>
    <s v="Legacy Health Ventures"/>
    <s v="Fashion "/>
    <x v="8"/>
    <s v="Maharashtra"/>
    <s v="Female"/>
    <n v="69"/>
    <n v="699"/>
    <n v="835"/>
    <n v="48231"/>
    <n v="57615"/>
    <n v="9384"/>
    <s v="profit"/>
  </r>
  <r>
    <x v="301"/>
    <s v="december"/>
    <s v="Pinnacle Spectrum Co."/>
    <s v="Fashion "/>
    <x v="8"/>
    <s v="Himachal Pradesh"/>
    <s v="Female"/>
    <n v="58"/>
    <n v="924"/>
    <n v="990"/>
    <n v="53592"/>
    <n v="57420"/>
    <n v="3828"/>
    <s v="profit"/>
  </r>
  <r>
    <x v="302"/>
    <s v="december"/>
    <s v="Stellar Travel Products"/>
    <s v="Fashion "/>
    <x v="8"/>
    <s v="Uttarakhand"/>
    <s v="Female"/>
    <n v="83"/>
    <n v="790"/>
    <n v="1164"/>
    <n v="65570"/>
    <n v="96612"/>
    <n v="31042"/>
    <s v="profit"/>
  </r>
  <r>
    <x v="303"/>
    <s v="december"/>
    <s v="Radiance Finance Services"/>
    <s v="Fashion "/>
    <x v="8"/>
    <s v="Assam"/>
    <s v="Female"/>
    <n v="60"/>
    <n v="867"/>
    <n v="854"/>
    <n v="52020"/>
    <n v="51240"/>
    <n v="-780"/>
    <s v="loss"/>
  </r>
  <r>
    <x v="304"/>
    <s v="december"/>
    <s v="Modern Travel Agency"/>
    <s v="Fashion "/>
    <x v="8"/>
    <s v="Chhattisgarh"/>
    <s v="Male"/>
    <n v="89"/>
    <n v="702"/>
    <n v="1314"/>
    <n v="62478"/>
    <n v="116946"/>
    <n v="54468"/>
    <s v="profit"/>
  </r>
  <r>
    <x v="305"/>
    <s v="december"/>
    <s v="Crystal Path Consulting"/>
    <s v="Fashion "/>
    <x v="8"/>
    <s v="West Bengal"/>
    <s v="Male"/>
    <n v="91"/>
    <n v="805"/>
    <n v="1361"/>
    <n v="73255"/>
    <n v="123851"/>
    <n v="50596"/>
    <s v="profit"/>
  </r>
  <r>
    <x v="306"/>
    <s v="december"/>
    <s v="Zenith Educational Services"/>
    <s v="Fashion "/>
    <x v="8"/>
    <s v="West Bengal"/>
    <s v="Male"/>
    <n v="78"/>
    <n v="682"/>
    <n v="962"/>
    <n v="53196"/>
    <n v="75036"/>
    <n v="21840"/>
    <s v="profit"/>
  </r>
  <r>
    <x v="69"/>
    <s v="august"/>
    <s v="Apex Enterprise Solutions"/>
    <s v="Electronic"/>
    <x v="7"/>
    <s v="Andhra Pradesh"/>
    <s v="Male"/>
    <n v="22"/>
    <n v="888"/>
    <n v="1284"/>
    <n v="19536"/>
    <n v="28248"/>
    <n v="8712"/>
    <s v="profit"/>
  </r>
  <r>
    <x v="307"/>
    <s v="december"/>
    <s v="Apex Innovations Co."/>
    <s v="Fashion "/>
    <x v="8"/>
    <s v="Madhya Pradesh"/>
    <s v="Male"/>
    <n v="54"/>
    <n v="990"/>
    <n v="970"/>
    <n v="53460"/>
    <n v="52380"/>
    <n v="-1080"/>
    <s v="loss"/>
  </r>
  <r>
    <x v="308"/>
    <s v="january"/>
    <s v="Pure Harmony Health"/>
    <s v="Fashion "/>
    <x v="8"/>
    <s v="Jharkhand"/>
    <s v="Female"/>
    <n v="72"/>
    <n v="749"/>
    <n v="1262"/>
    <n v="53928"/>
    <n v="90864"/>
    <n v="36936"/>
    <s v="profit"/>
  </r>
  <r>
    <x v="309"/>
    <s v="january"/>
    <s v="Apex Travel Innovations"/>
    <s v="Fashion "/>
    <x v="6"/>
    <s v="Gujarat"/>
    <s v="Male"/>
    <n v="51"/>
    <n v="925"/>
    <n v="750"/>
    <n v="47175"/>
    <n v="38250"/>
    <n v="-8925"/>
    <s v="loss"/>
  </r>
  <r>
    <x v="310"/>
    <s v="january"/>
    <s v="Modern Health Products"/>
    <s v="Fashion "/>
    <x v="6"/>
    <s v="Uttar Pradesh"/>
    <s v="Male"/>
    <n v="56"/>
    <n v="782"/>
    <n v="1353"/>
    <n v="43792"/>
    <n v="75768"/>
    <n v="31976"/>
    <s v="profit"/>
  </r>
  <r>
    <x v="311"/>
    <s v="january"/>
    <s v="Harmony Finance Group"/>
    <s v="Fashion "/>
    <x v="6"/>
    <s v="Uttar Pradesh"/>
    <s v="Male"/>
    <n v="92"/>
    <n v="978"/>
    <n v="1062"/>
    <n v="89976"/>
    <n v="97704"/>
    <n v="7728"/>
    <s v="profit"/>
  </r>
  <r>
    <x v="70"/>
    <s v="august"/>
    <s v="Prestige Solutions"/>
    <s v="Electronic"/>
    <x v="7"/>
    <s v="Tamil Nadu"/>
    <s v="Female"/>
    <n v="29"/>
    <n v="818"/>
    <n v="999"/>
    <n v="23722"/>
    <n v="28971"/>
    <n v="5249"/>
    <s v="profit"/>
  </r>
  <r>
    <x v="312"/>
    <s v="january"/>
    <s v="Pure Vision Consulting"/>
    <s v="Fashion "/>
    <x v="6"/>
    <s v="Tamil Nadu"/>
    <s v="Female"/>
    <n v="75"/>
    <n v="539"/>
    <n v="1068"/>
    <n v="40425"/>
    <n v="80100"/>
    <n v="39675"/>
    <s v="profit"/>
  </r>
  <r>
    <x v="313"/>
    <s v="january"/>
    <s v="Legacy Spectrum Co."/>
    <s v="Fashion "/>
    <x v="6"/>
    <s v="Tamil Nadu"/>
    <s v="Male"/>
    <n v="78"/>
    <n v="608"/>
    <n v="1496"/>
    <n v="47424"/>
    <n v="116688"/>
    <n v="69264"/>
    <s v="profit"/>
  </r>
  <r>
    <x v="314"/>
    <s v="january"/>
    <s v="Stellar Media Services"/>
    <s v="Fashion "/>
    <x v="8"/>
    <s v="Uttar Pradesh"/>
    <s v="Male"/>
    <n v="66"/>
    <n v="831"/>
    <n v="787"/>
    <n v="54846"/>
    <n v="51942"/>
    <n v="-2904"/>
    <s v="loss"/>
  </r>
  <r>
    <x v="315"/>
    <s v="january"/>
    <s v="Radiant Innovations Group"/>
    <s v="Fashion "/>
    <x v="8"/>
    <s v="Jharkhand"/>
    <s v="Male"/>
    <n v="86"/>
    <n v="855"/>
    <n v="930"/>
    <n v="73530"/>
    <n v="79980"/>
    <n v="6450"/>
    <s v="profit"/>
  </r>
  <r>
    <x v="316"/>
    <s v="january"/>
    <s v="Horizon Path Ventures"/>
    <s v="Fashion "/>
    <x v="8"/>
    <s v="Kerala"/>
    <s v="Female"/>
    <n v="84"/>
    <n v="948"/>
    <n v="1156"/>
    <n v="79632"/>
    <n v="97104"/>
    <n v="17472"/>
    <s v="profit"/>
  </r>
  <r>
    <x v="317"/>
    <s v="january"/>
    <s v="Zenith Tech Co."/>
    <s v="Fashion "/>
    <x v="8"/>
    <s v="Maharashtra"/>
    <s v="Female"/>
    <n v="90"/>
    <n v="962"/>
    <n v="970"/>
    <n v="86580"/>
    <n v="87300"/>
    <n v="720"/>
    <s v="profit"/>
  </r>
  <r>
    <x v="318"/>
    <s v="january"/>
    <s v="Apex Finance Ventures"/>
    <s v="Fashion "/>
    <x v="8"/>
    <s v="Himachal Pradesh"/>
    <s v="Female"/>
    <n v="84"/>
    <n v="521"/>
    <n v="1320"/>
    <n v="43764"/>
    <n v="110880"/>
    <n v="67116"/>
    <s v="profit"/>
  </r>
  <r>
    <x v="319"/>
    <s v="february"/>
    <s v="Zenith Wellness Co."/>
    <s v="Fashion "/>
    <x v="6"/>
    <s v="Uttar Pradesh"/>
    <s v="Female"/>
    <n v="85"/>
    <n v="938"/>
    <n v="802"/>
    <n v="79730"/>
    <n v="68170"/>
    <n v="-11560"/>
    <s v="loss"/>
  </r>
  <r>
    <x v="71"/>
    <s v="august"/>
    <s v="Urban Wave Solutions"/>
    <s v="Fashion "/>
    <x v="6"/>
    <s v="Punjab"/>
    <s v="Male"/>
    <n v="60"/>
    <n v="645"/>
    <n v="936"/>
    <n v="38700"/>
    <n v="56160"/>
    <n v="17460"/>
    <s v="profit"/>
  </r>
  <r>
    <x v="320"/>
    <s v="february"/>
    <s v="Apex Design Services"/>
    <s v="Fashion "/>
    <x v="6"/>
    <s v="Uttar Pradesh"/>
    <s v="Female"/>
    <n v="62"/>
    <n v="562"/>
    <n v="884"/>
    <n v="34844"/>
    <n v="54808"/>
    <n v="19964"/>
    <s v="profit"/>
  </r>
  <r>
    <x v="321"/>
    <s v="february"/>
    <s v="Pure Health Ventures"/>
    <s v="Fashion "/>
    <x v="6"/>
    <s v="Tamil Nadu"/>
    <s v="Female"/>
    <n v="50"/>
    <n v="887"/>
    <n v="1068"/>
    <n v="44350"/>
    <n v="53400"/>
    <n v="9050"/>
    <s v="profit"/>
  </r>
  <r>
    <x v="322"/>
    <s v="february"/>
    <s v="Legacy Spectrum Group"/>
    <s v="Fashion "/>
    <x v="6"/>
    <s v="Rajasthan"/>
    <s v="Male"/>
    <n v="66"/>
    <n v="771"/>
    <n v="1492"/>
    <n v="50886"/>
    <n v="98472"/>
    <n v="47586"/>
    <s v="profit"/>
  </r>
  <r>
    <x v="323"/>
    <s v="february"/>
    <s v="Pinnacle Media Ventures"/>
    <s v="Fashion "/>
    <x v="6"/>
    <s v="Uttar Pradesh"/>
    <s v="Male"/>
    <n v="61"/>
    <n v="529"/>
    <n v="1419"/>
    <n v="32269"/>
    <n v="86559"/>
    <n v="54290"/>
    <s v="profit"/>
  </r>
  <r>
    <x v="72"/>
    <s v="september"/>
    <s v="Visionary Realty Solutions"/>
    <s v="Fashion "/>
    <x v="8"/>
    <s v="Jharkhand"/>
    <s v="Female"/>
    <n v="68"/>
    <n v="777"/>
    <n v="1433"/>
    <n v="52836"/>
    <n v="97444"/>
    <n v="44608"/>
    <s v="profit"/>
  </r>
  <r>
    <x v="324"/>
    <s v="february"/>
    <s v="Stellar Innovations Group"/>
    <s v="Fashion "/>
    <x v="6"/>
    <s v="Jharkhand"/>
    <s v="Male"/>
    <n v="78"/>
    <n v="511"/>
    <n v="1368"/>
    <n v="39858"/>
    <n v="106704"/>
    <n v="66846"/>
    <s v="profit"/>
  </r>
  <r>
    <x v="325"/>
    <s v="february"/>
    <s v="Radiant Educational Co."/>
    <s v="Fashion "/>
    <x v="6"/>
    <s v="Kerala"/>
    <s v="Male"/>
    <n v="96"/>
    <n v="790"/>
    <n v="1335"/>
    <n v="75840"/>
    <n v="128160"/>
    <n v="52320"/>
    <s v="profit"/>
  </r>
  <r>
    <x v="326"/>
    <s v="february"/>
    <s v="Harmony Edge Ventures"/>
    <s v="Fashion "/>
    <x v="6"/>
    <s v="Maharashtra"/>
    <s v="Female"/>
    <n v="63"/>
    <n v="722"/>
    <n v="1374"/>
    <n v="45486"/>
    <n v="86562"/>
    <n v="41076"/>
    <s v="profit"/>
  </r>
  <r>
    <x v="327"/>
    <s v="february"/>
    <s v="Apex Finance Group"/>
    <s v="Fashion "/>
    <x v="6"/>
    <s v="Uttarakhand"/>
    <s v="Male"/>
    <n v="92"/>
    <n v="521"/>
    <n v="1414"/>
    <n v="47932"/>
    <n v="130088"/>
    <n v="82156"/>
    <s v="profit"/>
  </r>
  <r>
    <x v="328"/>
    <s v="february"/>
    <s v="Pure Harmony Media"/>
    <s v="Fashion "/>
    <x v="6"/>
    <s v="Assam"/>
    <s v="Male"/>
    <n v="65"/>
    <n v="661"/>
    <n v="1425"/>
    <n v="42965"/>
    <n v="92625"/>
    <n v="49660"/>
    <s v="profit"/>
  </r>
  <r>
    <x v="329"/>
    <s v="february"/>
    <s v="Legacy Health Co."/>
    <s v="Fashion "/>
    <x v="8"/>
    <s v="Punjab"/>
    <s v="Male"/>
    <n v="77"/>
    <n v="595"/>
    <n v="1470"/>
    <n v="45815"/>
    <n v="113190"/>
    <n v="67375"/>
    <s v="profit"/>
  </r>
  <r>
    <x v="330"/>
    <s v="february"/>
    <s v="ACCOUNTS EXPERT"/>
    <s v="Fashion "/>
    <x v="11"/>
    <s v="Punjab"/>
    <s v="Male"/>
    <n v="62"/>
    <n v="774"/>
    <n v="1050"/>
    <n v="47988"/>
    <n v="65100"/>
    <n v="17112"/>
    <s v="profit"/>
  </r>
  <r>
    <x v="198"/>
    <s v="april"/>
    <s v="Golden Horizon Ventures"/>
    <s v="Fashion "/>
    <x v="1"/>
    <s v="Karnataka"/>
    <s v="Male"/>
    <n v="65"/>
    <n v="816"/>
    <n v="1347"/>
    <n v="53040"/>
    <n v="87555"/>
    <n v="34515"/>
    <s v="profit"/>
  </r>
  <r>
    <x v="73"/>
    <s v="september"/>
    <s v="Pure Essence Solutions"/>
    <s v="Decor"/>
    <x v="2"/>
    <s v="Gujarat"/>
    <s v="Female"/>
    <n v="19"/>
    <n v="576"/>
    <n v="1181"/>
    <n v="10944"/>
    <n v="22439"/>
    <n v="11495"/>
    <s v="profit"/>
  </r>
  <r>
    <x v="199"/>
    <s v="april"/>
    <s v="Eternal Traditions"/>
    <s v="Fashion "/>
    <x v="1"/>
    <s v="Telangana"/>
    <s v="Male"/>
    <n v="100"/>
    <n v="893"/>
    <n v="1460"/>
    <n v="89300"/>
    <n v="146000"/>
    <n v="56700"/>
    <s v="profit"/>
  </r>
  <r>
    <x v="200"/>
    <s v="april"/>
    <s v="Harmony Foods"/>
    <s v="Fashion "/>
    <x v="1"/>
    <s v="Maharashtra"/>
    <s v="Male"/>
    <n v="79"/>
    <n v="632"/>
    <n v="1271"/>
    <n v="49928"/>
    <n v="100409"/>
    <n v="50481"/>
    <s v="profit"/>
  </r>
  <r>
    <x v="201"/>
    <s v="april"/>
    <s v="Sacred Roots Apparel"/>
    <s v="Fashion "/>
    <x v="10"/>
    <s v="Maharashtra"/>
    <s v="Female"/>
    <n v="74"/>
    <n v="859"/>
    <n v="1315"/>
    <n v="63566"/>
    <n v="97310"/>
    <n v="33744"/>
    <s v="profit"/>
  </r>
  <r>
    <x v="202"/>
    <s v="april"/>
    <s v="Quantum Finance Services"/>
    <s v="Fashion "/>
    <x v="10"/>
    <s v="Chandigarh"/>
    <s v="Female"/>
    <n v="77"/>
    <n v="579"/>
    <n v="1178"/>
    <n v="44583"/>
    <n v="90706"/>
    <n v="46123"/>
    <s v="profit"/>
  </r>
  <r>
    <x v="74"/>
    <s v="september"/>
    <s v="Crystal Health Solutions"/>
    <s v="Decor"/>
    <x v="2"/>
    <s v="Uttar Pradesh"/>
    <s v="Male"/>
    <n v="16"/>
    <n v="689"/>
    <n v="1068"/>
    <n v="11024"/>
    <n v="17088"/>
    <n v="6064"/>
    <s v="profit"/>
  </r>
  <r>
    <x v="203"/>
    <s v="april"/>
    <s v="Brilliant Minds Academy"/>
    <s v="Fashion "/>
    <x v="10"/>
    <s v="Madhya Pradesh"/>
    <s v="Female"/>
    <n v="61"/>
    <n v="865"/>
    <n v="894"/>
    <n v="52765"/>
    <n v="54534"/>
    <n v="1769"/>
    <s v="profit"/>
  </r>
  <r>
    <x v="204"/>
    <s v="april"/>
    <s v="Visionary Holdings"/>
    <s v="Fashion "/>
    <x v="10"/>
    <s v="Andhra Pradesh"/>
    <s v="Female"/>
    <n v="57"/>
    <n v="881"/>
    <n v="1185"/>
    <n v="50217"/>
    <n v="67545"/>
    <n v="17328"/>
    <s v="profit"/>
  </r>
  <r>
    <x v="205"/>
    <s v="april"/>
    <s v="Stellar Design Studio"/>
    <s v="Fashion "/>
    <x v="10"/>
    <s v="Bihar"/>
    <s v="Female"/>
    <n v="57"/>
    <n v="548"/>
    <n v="1306"/>
    <n v="31236"/>
    <n v="74442"/>
    <n v="43206"/>
    <s v="profit"/>
  </r>
  <r>
    <x v="206"/>
    <s v="april"/>
    <s v="Classic Cuisines"/>
    <s v="Fashion "/>
    <x v="10"/>
    <s v="Gujarat"/>
    <s v="Male"/>
    <n v="84"/>
    <n v="702"/>
    <n v="787"/>
    <n v="58968"/>
    <n v="66108"/>
    <n v="7140"/>
    <s v="profit"/>
  </r>
  <r>
    <x v="207"/>
    <s v="april"/>
    <s v="Bold Ventures"/>
    <s v="Fashion "/>
    <x v="10"/>
    <s v="Uttar Pradesh"/>
    <s v="Male"/>
    <n v="76"/>
    <n v="875"/>
    <n v="1268"/>
    <n v="66500"/>
    <n v="96368"/>
    <n v="29868"/>
    <s v="profit"/>
  </r>
  <r>
    <x v="208"/>
    <s v="may"/>
    <s v="Radiance Spa"/>
    <s v="Fashion "/>
    <x v="6"/>
    <s v="Rajasthan"/>
    <s v="Male"/>
    <n v="50"/>
    <n v="885"/>
    <n v="927"/>
    <n v="44250"/>
    <n v="46350"/>
    <n v="2100"/>
    <s v="profit"/>
  </r>
  <r>
    <x v="209"/>
    <s v="may"/>
    <s v="Verve Fitness Studio"/>
    <s v="Fashion "/>
    <x v="6"/>
    <s v="Uttar Pradesh"/>
    <s v="Female"/>
    <n v="53"/>
    <n v="950"/>
    <n v="875"/>
    <n v="50350"/>
    <n v="46375"/>
    <n v="-3975"/>
    <s v="loss"/>
  </r>
  <r>
    <x v="210"/>
    <s v="may"/>
    <s v="Sparkle Cleaners"/>
    <s v="Fashion "/>
    <x v="6"/>
    <s v="Uttar Pradesh"/>
    <s v="Female"/>
    <n v="62"/>
    <n v="623"/>
    <n v="1253"/>
    <n v="38626"/>
    <n v="77686"/>
    <n v="39060"/>
    <s v="profit"/>
  </r>
  <r>
    <x v="75"/>
    <s v="september"/>
    <s v="Stellar Travel Solutions"/>
    <s v="Decor"/>
    <x v="0"/>
    <s v="Uttar Pradesh"/>
    <s v="Female"/>
    <n v="18"/>
    <n v="835"/>
    <n v="1234"/>
    <n v="15030"/>
    <n v="22212"/>
    <n v="7182"/>
    <s v="profit"/>
  </r>
  <r>
    <x v="211"/>
    <s v="may"/>
    <s v="Global Reach Logistics"/>
    <s v="Fashion "/>
    <x v="6"/>
    <s v="Maharashtra"/>
    <s v="Female"/>
    <n v="72"/>
    <n v="920"/>
    <n v="753"/>
    <n v="66240"/>
    <n v="54216"/>
    <n v="-12024"/>
    <s v="loss"/>
  </r>
  <r>
    <x v="76"/>
    <s v="september"/>
    <s v="Pure Harmony Solutions"/>
    <s v="Decor"/>
    <x v="0"/>
    <s v="Tamil Nadu"/>
    <s v="Female"/>
    <n v="13"/>
    <n v="855"/>
    <n v="951"/>
    <n v="11115"/>
    <n v="12363"/>
    <n v="1248"/>
    <s v="profit"/>
  </r>
  <r>
    <x v="212"/>
    <s v="may"/>
    <s v="Noble Path Finance"/>
    <s v="Fashion "/>
    <x v="6"/>
    <s v="Madhya Pradesh"/>
    <s v="Female"/>
    <n v="69"/>
    <n v="860"/>
    <n v="1081"/>
    <n v="59340"/>
    <n v="74589"/>
    <n v="15249"/>
    <s v="profit"/>
  </r>
  <r>
    <x v="213"/>
    <s v="may"/>
    <s v="Dynamic Events Management"/>
    <s v="Fashion "/>
    <x v="6"/>
    <s v="Maharashtra"/>
    <s v="Female"/>
    <n v="80"/>
    <n v="765"/>
    <n v="924"/>
    <n v="61200"/>
    <n v="73920"/>
    <n v="12720"/>
    <s v="profit"/>
  </r>
  <r>
    <x v="214"/>
    <s v="may"/>
    <s v="Crystal Waters Resort"/>
    <s v="Fashion "/>
    <x v="6"/>
    <s v="Chandigarh"/>
    <s v="Female"/>
    <n v="75"/>
    <n v="690"/>
    <n v="817"/>
    <n v="51750"/>
    <n v="61275"/>
    <n v="9525"/>
    <s v="profit"/>
  </r>
  <r>
    <x v="215"/>
    <s v="may"/>
    <s v="Excellence Tutors"/>
    <s v="Fashion "/>
    <x v="6"/>
    <s v="Madhya Pradesh"/>
    <s v="Female"/>
    <n v="100"/>
    <n v="795"/>
    <n v="1136"/>
    <n v="79500"/>
    <n v="113600"/>
    <n v="34100"/>
    <s v="profit"/>
  </r>
  <r>
    <x v="216"/>
    <s v="may"/>
    <s v="Horizon Builders"/>
    <s v="Fashion "/>
    <x v="6"/>
    <s v="Andhra Pradesh"/>
    <s v="Male"/>
    <n v="85"/>
    <n v="845"/>
    <n v="1155"/>
    <n v="71825"/>
    <n v="98175"/>
    <n v="26350"/>
    <s v="profit"/>
  </r>
  <r>
    <x v="77"/>
    <s v="october"/>
    <s v="Modern Spectrum Solutions"/>
    <s v="Fashion "/>
    <x v="6"/>
    <s v="Maharashtra"/>
    <s v="Female"/>
    <n v="79"/>
    <n v="683"/>
    <n v="1444"/>
    <n v="53957"/>
    <n v="114076"/>
    <n v="60119"/>
    <s v="profit"/>
  </r>
  <r>
    <x v="217"/>
    <s v="may"/>
    <s v="Classic Heritage Crafts"/>
    <s v="Fashion "/>
    <x v="6"/>
    <s v="Gujarat"/>
    <s v="Male"/>
    <n v="51"/>
    <n v="876"/>
    <n v="1252"/>
    <n v="44676"/>
    <n v="63852"/>
    <n v="19176"/>
    <s v="profit"/>
  </r>
  <r>
    <x v="218"/>
    <s v="may"/>
    <s v="Prime Focus Media"/>
    <s v="Fashion "/>
    <x v="8"/>
    <s v="Uttar Pradesh"/>
    <s v="Male"/>
    <n v="55"/>
    <n v="793"/>
    <n v="1045"/>
    <n v="43615"/>
    <n v="57475"/>
    <n v="13860"/>
    <s v="profit"/>
  </r>
  <r>
    <x v="219"/>
    <s v="june"/>
    <s v="Noble Nutraceuticals"/>
    <s v="Fashion "/>
    <x v="8"/>
    <s v="Uttar Pradesh"/>
    <s v="Female"/>
    <n v="82"/>
    <n v="641"/>
    <n v="809"/>
    <n v="52562"/>
    <n v="66338"/>
    <n v="13776"/>
    <s v="profit"/>
  </r>
  <r>
    <x v="220"/>
    <s v="june"/>
    <s v="Supreme Travel Agency"/>
    <s v="Fashion "/>
    <x v="8"/>
    <s v="Tamil Nadu"/>
    <s v="Male"/>
    <n v="80"/>
    <n v="678"/>
    <n v="1016"/>
    <n v="54240"/>
    <n v="81280"/>
    <n v="27040"/>
    <s v="profit"/>
  </r>
  <r>
    <x v="221"/>
    <s v="june"/>
    <s v="Future Vision Tech"/>
    <s v="Fashion "/>
    <x v="8"/>
    <s v="Tamil Nadu"/>
    <s v="Male"/>
    <n v="76"/>
    <n v="585"/>
    <n v="1366"/>
    <n v="44460"/>
    <n v="103816"/>
    <n v="59356"/>
    <s v="profit"/>
  </r>
  <r>
    <x v="222"/>
    <s v="june"/>
    <s v="Urban Groove Apparel"/>
    <s v="Fashion "/>
    <x v="8"/>
    <s v="Rajasthan"/>
    <s v="Male"/>
    <n v="93"/>
    <n v="662"/>
    <n v="1319"/>
    <n v="61566"/>
    <n v="122667"/>
    <n v="61101"/>
    <s v="profit"/>
  </r>
  <r>
    <x v="81"/>
    <s v="october"/>
    <s v="Apex Creative Solutions"/>
    <s v="Fashion "/>
    <x v="8"/>
    <s v="West Bengal"/>
    <s v="Male"/>
    <n v="67"/>
    <n v="711"/>
    <n v="1280"/>
    <n v="47637"/>
    <n v="85760"/>
    <n v="38123"/>
    <s v="profit"/>
  </r>
  <r>
    <x v="223"/>
    <s v="june"/>
    <s v="Echo Real Estate"/>
    <s v="Fashion "/>
    <x v="8"/>
    <s v="Uttar Pradesh"/>
    <s v="Male"/>
    <n v="51"/>
    <n v="744"/>
    <n v="782"/>
    <n v="37944"/>
    <n v="39882"/>
    <n v="1938"/>
    <s v="profit"/>
  </r>
  <r>
    <x v="224"/>
    <s v="june"/>
    <s v="Pinnacle Health Products"/>
    <s v="Fashion "/>
    <x v="8"/>
    <s v="Jharkhand"/>
    <s v="Female"/>
    <n v="88"/>
    <n v="820"/>
    <n v="1241"/>
    <n v="72160"/>
    <n v="109208"/>
    <n v="37048"/>
    <s v="profit"/>
  </r>
  <r>
    <x v="225"/>
    <s v="june"/>
    <s v="Apex Auto Care"/>
    <s v="Fashion "/>
    <x v="8"/>
    <s v="Kerala"/>
    <s v="Female"/>
    <n v="72"/>
    <n v="937"/>
    <n v="1154"/>
    <n v="67464"/>
    <n v="83088"/>
    <n v="15624"/>
    <s v="profit"/>
  </r>
  <r>
    <x v="226"/>
    <s v="june"/>
    <s v="Royal Glow Cosmetics"/>
    <s v="Fashion "/>
    <x v="8"/>
    <s v="Maharashtra"/>
    <s v="Female"/>
    <n v="55"/>
    <n v="685"/>
    <n v="824"/>
    <n v="37675"/>
    <n v="45320"/>
    <n v="7645"/>
    <s v="profit"/>
  </r>
  <r>
    <x v="86"/>
    <s v="october"/>
    <s v="Radiance Solutions Group"/>
    <s v="Decor"/>
    <x v="2"/>
    <s v="Bihar"/>
    <s v="Female"/>
    <n v="20"/>
    <n v="963"/>
    <n v="865"/>
    <n v="19260"/>
    <n v="17300"/>
    <n v="-1960"/>
    <s v="loss"/>
  </r>
  <r>
    <x v="227"/>
    <s v="june"/>
    <s v="Zenith Culinary Arts"/>
    <s v="Fashion "/>
    <x v="8"/>
    <s v="Himachal Pradesh"/>
    <s v="Female"/>
    <n v="55"/>
    <n v="661"/>
    <n v="1133"/>
    <n v="36355"/>
    <n v="62315"/>
    <n v="25960"/>
    <s v="profit"/>
  </r>
  <r>
    <x v="228"/>
    <s v="june"/>
    <s v="Visionary Tours"/>
    <s v="Fashion "/>
    <x v="8"/>
    <s v="Uttarakhand"/>
    <s v="Female"/>
    <n v="72"/>
    <n v="804"/>
    <n v="833"/>
    <n v="57888"/>
    <n v="59976"/>
    <n v="2088"/>
    <s v="profit"/>
  </r>
  <r>
    <x v="89"/>
    <s v="october"/>
    <s v="Modern Edge Solutions"/>
    <s v="Decor"/>
    <x v="2"/>
    <s v="Uttar Pradesh"/>
    <s v="Female"/>
    <n v="14"/>
    <n v="913"/>
    <n v="1155"/>
    <n v="12782"/>
    <n v="16170"/>
    <n v="3388"/>
    <s v="profit"/>
  </r>
  <r>
    <x v="229"/>
    <s v="june"/>
    <s v="Elite Essence Products"/>
    <s v="Fashion "/>
    <x v="6"/>
    <s v="West Bengal"/>
    <s v="Male"/>
    <n v="87"/>
    <n v="616"/>
    <n v="1447"/>
    <n v="53592"/>
    <n v="125889"/>
    <n v="72297"/>
    <s v="profit"/>
  </r>
  <r>
    <x v="91"/>
    <s v="october"/>
    <s v="Horizon Health Solutions"/>
    <s v="Electronic"/>
    <x v="3"/>
    <s v="Tamil Nadu"/>
    <s v="Female"/>
    <n v="23"/>
    <n v="616"/>
    <n v="919"/>
    <n v="14168"/>
    <n v="21137"/>
    <n v="6969"/>
    <s v="profit"/>
  </r>
  <r>
    <x v="230"/>
    <s v="june"/>
    <s v="Dynamic Creations"/>
    <s v="Fashion "/>
    <x v="6"/>
    <s v="Karnataka"/>
    <s v="Male"/>
    <n v="57"/>
    <n v="724"/>
    <n v="1432"/>
    <n v="41268"/>
    <n v="81624"/>
    <n v="40356"/>
    <s v="profit"/>
  </r>
  <r>
    <x v="93"/>
    <s v="october"/>
    <s v="Apex Marketing Solutions"/>
    <s v="Electronic"/>
    <x v="9"/>
    <s v="Uttar Pradesh"/>
    <s v="Male"/>
    <n v="28"/>
    <n v="539"/>
    <n v="1106"/>
    <n v="15092"/>
    <n v="30968"/>
    <n v="15876"/>
    <s v="profit"/>
  </r>
  <r>
    <x v="231"/>
    <s v="june"/>
    <s v="Quantum Design Studio"/>
    <s v="Fashion "/>
    <x v="6"/>
    <s v="Delhi"/>
    <s v="Male"/>
    <n v="85"/>
    <n v="639"/>
    <n v="1447"/>
    <n v="54315"/>
    <n v="122995"/>
    <n v="68680"/>
    <s v="profit"/>
  </r>
  <r>
    <x v="232"/>
    <s v="june"/>
    <s v="Apex Construction"/>
    <s v="Fashion "/>
    <x v="6"/>
    <s v="West Bengal"/>
    <s v="Female"/>
    <n v="81"/>
    <n v="776"/>
    <n v="895"/>
    <n v="62856"/>
    <n v="72495"/>
    <n v="9639"/>
    <s v="profit"/>
  </r>
  <r>
    <x v="233"/>
    <s v="june"/>
    <s v="Legacy Innovations"/>
    <s v="Fashion "/>
    <x v="8"/>
    <s v="Tamil Nadu"/>
    <s v="Female"/>
    <n v="86"/>
    <n v="705"/>
    <n v="1483"/>
    <n v="60630"/>
    <n v="127538"/>
    <n v="66908"/>
    <s v="profit"/>
  </r>
  <r>
    <x v="234"/>
    <s v="june"/>
    <s v="Pure Harmony Foods"/>
    <s v="Fashion "/>
    <x v="8"/>
    <s v="Karnataka"/>
    <s v="Male"/>
    <n v="80"/>
    <n v="901"/>
    <n v="1109"/>
    <n v="72080"/>
    <n v="88720"/>
    <n v="16640"/>
    <s v="profit"/>
  </r>
  <r>
    <x v="235"/>
    <s v="june"/>
    <s v="Zenith Security Systems"/>
    <s v="Fashion "/>
    <x v="8"/>
    <s v="Telangana"/>
    <s v="Male"/>
    <n v="59"/>
    <n v="502"/>
    <n v="1212"/>
    <n v="29618"/>
    <n v="71508"/>
    <n v="41890"/>
    <s v="profit"/>
  </r>
  <r>
    <x v="236"/>
    <s v="june"/>
    <s v="Crystal Clear Beverages"/>
    <s v="Fashion "/>
    <x v="8"/>
    <s v="Gujarat"/>
    <s v="Male"/>
    <n v="52"/>
    <n v="556"/>
    <n v="1402"/>
    <n v="28912"/>
    <n v="72904"/>
    <n v="43992"/>
    <s v="profit"/>
  </r>
  <r>
    <x v="237"/>
    <s v="june"/>
    <s v="Metro Line Tech"/>
    <s v="Fashion "/>
    <x v="8"/>
    <s v="Maharashtra"/>
    <s v="Male"/>
    <n v="92"/>
    <n v="953"/>
    <n v="790"/>
    <n v="87676"/>
    <n v="72680"/>
    <n v="-14996"/>
    <s v="loss"/>
  </r>
  <r>
    <x v="238"/>
    <s v="june"/>
    <s v="Urban Pulse Consulting"/>
    <s v="Fashion "/>
    <x v="8"/>
    <s v="Rajasthan"/>
    <s v="Male"/>
    <n v="96"/>
    <n v="961"/>
    <n v="1174"/>
    <n v="92256"/>
    <n v="112704"/>
    <n v="20448"/>
    <s v="profit"/>
  </r>
  <r>
    <x v="239"/>
    <s v="july"/>
    <s v="Legacy Design Group"/>
    <s v="Fashion "/>
    <x v="6"/>
    <s v="Punjab"/>
    <s v="Female"/>
    <n v="79"/>
    <n v="880"/>
    <n v="1403"/>
    <n v="69520"/>
    <n v="110837"/>
    <n v="41317"/>
    <s v="profit"/>
  </r>
  <r>
    <x v="240"/>
    <s v="july"/>
    <s v="Supreme Wellness"/>
    <s v="Fashion "/>
    <x v="6"/>
    <s v="Chhattisgarh"/>
    <s v="Female"/>
    <n v="62"/>
    <n v="936"/>
    <n v="1364"/>
    <n v="58032"/>
    <n v="84568"/>
    <n v="26536"/>
    <s v="profit"/>
  </r>
  <r>
    <x v="241"/>
    <s v="july"/>
    <s v="Harmony Tech Innovations"/>
    <s v="Fashion "/>
    <x v="6"/>
    <s v="West Bengal"/>
    <s v="Female"/>
    <n v="53"/>
    <n v="791"/>
    <n v="1253"/>
    <n v="41923"/>
    <n v="66409"/>
    <n v="24486"/>
    <s v="profit"/>
  </r>
  <r>
    <x v="105"/>
    <s v="november"/>
    <s v="Radiance Solutions Co."/>
    <s v="Fashion "/>
    <x v="10"/>
    <s v="Jharkhand"/>
    <s v="Female"/>
    <n v="74"/>
    <n v="636"/>
    <n v="955"/>
    <n v="47064"/>
    <n v="70670"/>
    <n v="23606"/>
    <s v="profit"/>
  </r>
  <r>
    <x v="242"/>
    <s v="july"/>
    <s v="Stellar Education Services"/>
    <s v="Fashion "/>
    <x v="6"/>
    <s v="West Bengal"/>
    <s v="Female"/>
    <n v="56"/>
    <n v="740"/>
    <n v="1464"/>
    <n v="41440"/>
    <n v="81984"/>
    <n v="40544"/>
    <s v="profit"/>
  </r>
  <r>
    <x v="243"/>
    <s v="july"/>
    <s v="Visionary Health Products"/>
    <s v="Fashion "/>
    <x v="6"/>
    <s v="Madhya Pradesh"/>
    <s v="Female"/>
    <n v="63"/>
    <n v="519"/>
    <n v="826"/>
    <n v="32697"/>
    <n v="52038"/>
    <n v="19341"/>
    <s v="profit"/>
  </r>
  <r>
    <x v="108"/>
    <s v="november"/>
    <s v="Horizon Creative Solutions"/>
    <s v="Fashion "/>
    <x v="10"/>
    <s v="Delhi"/>
    <s v="Female"/>
    <n v="83"/>
    <n v="569"/>
    <n v="1232"/>
    <n v="47227"/>
    <n v="102256"/>
    <n v="55029"/>
    <s v="profit"/>
  </r>
  <r>
    <x v="244"/>
    <s v="july"/>
    <s v="Crystal Innovations"/>
    <s v="Fashion "/>
    <x v="6"/>
    <s v="Jharkhand"/>
    <s v="Female"/>
    <n v="73"/>
    <n v="857"/>
    <n v="1024"/>
    <n v="62561"/>
    <n v="74752"/>
    <n v="12191"/>
    <s v="profit"/>
  </r>
  <r>
    <x v="245"/>
    <s v="july"/>
    <s v="Future Trends Retail"/>
    <s v="Fashion "/>
    <x v="6"/>
    <s v="West Bengal"/>
    <s v="Female"/>
    <n v="67"/>
    <n v="725"/>
    <n v="884"/>
    <n v="48575"/>
    <n v="59228"/>
    <n v="10653"/>
    <s v="profit"/>
  </r>
  <r>
    <x v="246"/>
    <s v="july"/>
    <s v="Radiant Horizon Ventures"/>
    <s v="Fashion "/>
    <x v="6"/>
    <s v="Karnataka"/>
    <s v="Female"/>
    <n v="74"/>
    <n v="691"/>
    <n v="871"/>
    <n v="51134"/>
    <n v="64454"/>
    <n v="13320"/>
    <s v="profit"/>
  </r>
  <r>
    <x v="247"/>
    <s v="july"/>
    <s v="Urban Edge Realty"/>
    <s v="Fashion "/>
    <x v="6"/>
    <s v="Delhi"/>
    <s v="Male"/>
    <n v="92"/>
    <n v="981"/>
    <n v="1157"/>
    <n v="90252"/>
    <n v="106444"/>
    <n v="16192"/>
    <s v="profit"/>
  </r>
  <r>
    <x v="113"/>
    <s v="november"/>
    <s v="Urban Spectrum Solutions"/>
    <s v="Electronic"/>
    <x v="4"/>
    <s v="Telangana"/>
    <s v="Male"/>
    <n v="23"/>
    <n v="663"/>
    <n v="1215"/>
    <n v="15249"/>
    <n v="27945"/>
    <n v="12696"/>
    <s v="profit"/>
  </r>
  <r>
    <x v="248"/>
    <s v="july"/>
    <s v="Prime Focus Innovations"/>
    <s v="Fashion "/>
    <x v="6"/>
    <s v="Maharashtra"/>
    <s v="Male"/>
    <n v="63"/>
    <n v="547"/>
    <n v="1150"/>
    <n v="34461"/>
    <n v="72450"/>
    <n v="37989"/>
    <s v="profit"/>
  </r>
  <r>
    <x v="249"/>
    <s v="august"/>
    <s v="Elite Spectrum Consulting"/>
    <s v="Fashion "/>
    <x v="6"/>
    <s v="West Bengal"/>
    <s v="Male"/>
    <n v="69"/>
    <n v="531"/>
    <n v="1210"/>
    <n v="36639"/>
    <n v="83490"/>
    <n v="46851"/>
    <s v="profit"/>
  </r>
  <r>
    <x v="250"/>
    <s v="august"/>
    <s v="Dynamic Design Studio"/>
    <s v="Fashion "/>
    <x v="6"/>
    <s v="Tamil Nadu"/>
    <s v="Male"/>
    <n v="84"/>
    <n v="806"/>
    <n v="1242"/>
    <n v="67704"/>
    <n v="104328"/>
    <n v="36624"/>
    <s v="profit"/>
  </r>
  <r>
    <x v="117"/>
    <s v="november"/>
    <s v="Legacy Wellness Solutions"/>
    <s v="Electronic"/>
    <x v="4"/>
    <s v="Gujarat"/>
    <s v="Female"/>
    <n v="26"/>
    <n v="878"/>
    <n v="1492"/>
    <n v="22828"/>
    <n v="38792"/>
    <n v="15964"/>
    <s v="profit"/>
  </r>
  <r>
    <x v="251"/>
    <s v="august"/>
    <s v="Royal Crest Foods"/>
    <s v="Fashion "/>
    <x v="8"/>
    <s v="Telangana"/>
    <s v="Female"/>
    <n v="71"/>
    <n v="565"/>
    <n v="807"/>
    <n v="40115"/>
    <n v="57297"/>
    <n v="17182"/>
    <s v="profit"/>
  </r>
  <r>
    <x v="119"/>
    <s v="november"/>
    <s v="Horizon Media Solutions"/>
    <s v="Electronic"/>
    <x v="4"/>
    <s v="Uttar Pradesh"/>
    <s v="Female"/>
    <n v="25"/>
    <n v="547"/>
    <n v="1342"/>
    <n v="13675"/>
    <n v="33550"/>
    <n v="19875"/>
    <s v="profit"/>
  </r>
  <r>
    <x v="252"/>
    <s v="august"/>
    <s v="Zenith Travels"/>
    <s v="Fashion "/>
    <x v="8"/>
    <s v="Gujarat"/>
    <s v="Female"/>
    <n v="90"/>
    <n v="634"/>
    <n v="1465"/>
    <n v="57060"/>
    <n v="131850"/>
    <n v="74790"/>
    <s v="profit"/>
  </r>
  <r>
    <x v="253"/>
    <s v="august"/>
    <s v="Quantum Media Group"/>
    <s v="Fashion "/>
    <x v="6"/>
    <s v="Uttar Pradesh"/>
    <s v="Female"/>
    <n v="61"/>
    <n v="675"/>
    <n v="770"/>
    <n v="41175"/>
    <n v="46970"/>
    <n v="5795"/>
    <s v="profit"/>
  </r>
  <r>
    <x v="254"/>
    <s v="august"/>
    <s v="Legacy Builders"/>
    <s v="Fashion "/>
    <x v="6"/>
    <s v="Jharkhand"/>
    <s v="Female"/>
    <n v="58"/>
    <n v="720"/>
    <n v="1356"/>
    <n v="41760"/>
    <n v="78648"/>
    <n v="36888"/>
    <s v="profit"/>
  </r>
  <r>
    <x v="255"/>
    <s v="august"/>
    <s v="Apex Spa &amp; Wellness"/>
    <s v="Fashion "/>
    <x v="6"/>
    <s v="Kerala"/>
    <s v="Female"/>
    <n v="60"/>
    <n v="676"/>
    <n v="768"/>
    <n v="40560"/>
    <n v="46080"/>
    <n v="5520"/>
    <s v="profit"/>
  </r>
  <r>
    <x v="256"/>
    <s v="august"/>
    <s v="Radiant Travel Services"/>
    <s v="Fashion "/>
    <x v="6"/>
    <s v="Maharashtra"/>
    <s v="Female"/>
    <n v="91"/>
    <n v="808"/>
    <n v="928"/>
    <n v="73528"/>
    <n v="84448"/>
    <n v="10920"/>
    <s v="profit"/>
  </r>
  <r>
    <x v="257"/>
    <s v="august"/>
    <s v="Modern Trends Consulting"/>
    <s v="Fashion "/>
    <x v="6"/>
    <s v="Himachal Pradesh"/>
    <s v="Female"/>
    <n v="99"/>
    <n v="528"/>
    <n v="985"/>
    <n v="52272"/>
    <n v="97515"/>
    <n v="45243"/>
    <s v="profit"/>
  </r>
  <r>
    <x v="258"/>
    <s v="august"/>
    <s v="Global Horizon Ventures"/>
    <s v="Fashion "/>
    <x v="6"/>
    <s v="Uttarakhand"/>
    <s v="Female"/>
    <n v="73"/>
    <n v="783"/>
    <n v="903"/>
    <n v="57159"/>
    <n v="65919"/>
    <n v="8760"/>
    <s v="profit"/>
  </r>
  <r>
    <x v="259"/>
    <s v="august"/>
    <s v="Elite Enterprises"/>
    <s v="Fashion "/>
    <x v="6"/>
    <s v="Assam"/>
    <s v="Male"/>
    <n v="59"/>
    <n v="638"/>
    <n v="1080"/>
    <n v="37642"/>
    <n v="63720"/>
    <n v="26078"/>
    <s v="profit"/>
  </r>
  <r>
    <x v="260"/>
    <s v="september"/>
    <s v="Pinnacle Health Innovations"/>
    <s v="Fashion "/>
    <x v="6"/>
    <s v="Chhattisgarh"/>
    <s v="Male"/>
    <n v="68"/>
    <n v="881"/>
    <n v="1266"/>
    <n v="59908"/>
    <n v="86088"/>
    <n v="26180"/>
    <s v="profit"/>
  </r>
  <r>
    <x v="129"/>
    <s v="november"/>
    <s v="Urban Vision Solutions"/>
    <s v="Electronic"/>
    <x v="7"/>
    <s v="Uttar Pradesh"/>
    <s v="Female"/>
    <n v="22"/>
    <n v="606"/>
    <n v="1459"/>
    <n v="13332"/>
    <n v="32098"/>
    <n v="18766"/>
    <s v="profit"/>
  </r>
  <r>
    <x v="261"/>
    <s v="september"/>
    <s v="Horizon Fashion"/>
    <s v="Fashion "/>
    <x v="8"/>
    <s v="West Bengal"/>
    <s v="Male"/>
    <n v="55"/>
    <n v="639"/>
    <n v="1311"/>
    <n v="35145"/>
    <n v="72105"/>
    <n v="36960"/>
    <s v="profit"/>
  </r>
  <r>
    <x v="262"/>
    <s v="september"/>
    <s v="Crystal Essence Beverages"/>
    <s v="Fashion "/>
    <x v="8"/>
    <s v="West Bengal"/>
    <s v="Male"/>
    <n v="52"/>
    <n v="718"/>
    <n v="919"/>
    <n v="37336"/>
    <n v="47788"/>
    <n v="10452"/>
    <s v="profit"/>
  </r>
  <r>
    <x v="132"/>
    <s v="december"/>
    <s v="Pinnacle Travel Solutions"/>
    <s v="Electronic"/>
    <x v="7"/>
    <s v="Rajasthan"/>
    <s v="Male"/>
    <n v="28"/>
    <n v="507"/>
    <n v="1379"/>
    <n v="14196"/>
    <n v="38612"/>
    <n v="24416"/>
    <s v="profit"/>
  </r>
  <r>
    <x v="263"/>
    <s v="september"/>
    <s v="Dynamic Pathways"/>
    <s v="Fashion "/>
    <x v="8"/>
    <s v="Madhya Pradesh"/>
    <s v="Female"/>
    <n v="95"/>
    <n v="944"/>
    <n v="1263"/>
    <n v="89680"/>
    <n v="119985"/>
    <n v="30305"/>
    <s v="profit"/>
  </r>
  <r>
    <x v="264"/>
    <s v="september"/>
    <s v="Radiance Apparel"/>
    <s v="Fashion "/>
    <x v="8"/>
    <s v="West Bengal"/>
    <s v="Female"/>
    <n v="99"/>
    <n v="523"/>
    <n v="1350"/>
    <n v="51777"/>
    <n v="133650"/>
    <n v="81873"/>
    <s v="profit"/>
  </r>
  <r>
    <x v="265"/>
    <s v="september"/>
    <s v="Zenith Design Group"/>
    <s v="Fashion "/>
    <x v="8"/>
    <s v="Karnataka"/>
    <s v="Male"/>
    <n v="92"/>
    <n v="814"/>
    <n v="865"/>
    <n v="74888"/>
    <n v="79580"/>
    <n v="4692"/>
    <s v="profit"/>
  </r>
  <r>
    <x v="266"/>
    <s v="september"/>
    <s v="Modern Horizons Consulting"/>
    <s v="Fashion "/>
    <x v="8"/>
    <s v="Maharashtra"/>
    <s v="Male"/>
    <n v="62"/>
    <n v="891"/>
    <n v="1170"/>
    <n v="55242"/>
    <n v="72540"/>
    <n v="17298"/>
    <s v="profit"/>
  </r>
  <r>
    <x v="137"/>
    <s v="december"/>
    <s v="Harmony Health Solutions"/>
    <s v="Electronic"/>
    <x v="7"/>
    <s v="Himachal Pradesh"/>
    <s v="Male"/>
    <n v="29"/>
    <n v="989"/>
    <n v="836"/>
    <n v="28681"/>
    <n v="24244"/>
    <n v="-4437"/>
    <s v="loss"/>
  </r>
  <r>
    <x v="267"/>
    <s v="september"/>
    <s v="Apex Realty Services"/>
    <s v="Fashion "/>
    <x v="8"/>
    <s v="Madhya Pradesh"/>
    <s v="Male"/>
    <n v="89"/>
    <n v="990"/>
    <n v="1047"/>
    <n v="88110"/>
    <n v="93183"/>
    <n v="5073"/>
    <s v="profit"/>
  </r>
  <r>
    <x v="268"/>
    <s v="september"/>
    <s v="Zenith Educational Group"/>
    <s v="Fashion "/>
    <x v="8"/>
    <s v="Maharashtra"/>
    <s v="Male"/>
    <n v="61"/>
    <n v="907"/>
    <n v="1327"/>
    <n v="55327"/>
    <n v="80947"/>
    <n v="25620"/>
    <s v="profit"/>
  </r>
  <r>
    <x v="140"/>
    <s v="december"/>
    <s v="Modern Vision Solutions"/>
    <s v="Fashion "/>
    <x v="6"/>
    <s v="Punjab"/>
    <s v="Male"/>
    <n v="55"/>
    <n v="666"/>
    <n v="1358"/>
    <n v="36630"/>
    <n v="74690"/>
    <n v="38060"/>
    <s v="profit"/>
  </r>
  <r>
    <x v="269"/>
    <s v="september"/>
    <s v="True Path Ventures"/>
    <s v="Fashion "/>
    <x v="8"/>
    <s v="Chandigarh"/>
    <s v="Female"/>
    <n v="52"/>
    <n v="766"/>
    <n v="1318"/>
    <n v="39832"/>
    <n v="68536"/>
    <n v="28704"/>
    <s v="profit"/>
  </r>
  <r>
    <x v="270"/>
    <s v="september"/>
    <s v="Radiance Media"/>
    <s v="Fashion "/>
    <x v="8"/>
    <s v="Madhya Pradesh"/>
    <s v="Male"/>
    <n v="96"/>
    <n v="520"/>
    <n v="1208"/>
    <n v="49920"/>
    <n v="115968"/>
    <n v="66048"/>
    <s v="profit"/>
  </r>
  <r>
    <x v="271"/>
    <s v="september"/>
    <s v="Legacy Health Systems"/>
    <s v="Fashion "/>
    <x v="8"/>
    <s v="Andhra Pradesh"/>
    <s v="Male"/>
    <n v="90"/>
    <n v="792"/>
    <n v="818"/>
    <n v="71280"/>
    <n v="73620"/>
    <n v="2340"/>
    <s v="profit"/>
  </r>
  <r>
    <x v="272"/>
    <s v="september"/>
    <s v="Urban Focus Products"/>
    <s v="Fashion "/>
    <x v="8"/>
    <s v="Bihar"/>
    <s v="Male"/>
    <n v="98"/>
    <n v="711"/>
    <n v="1190"/>
    <n v="69678"/>
    <n v="116620"/>
    <n v="46942"/>
    <s v="profit"/>
  </r>
  <r>
    <x v="145"/>
    <s v="december"/>
    <s v="Radiant Educational Solutions"/>
    <s v="Fashion "/>
    <x v="6"/>
    <s v="Uttar Pradesh"/>
    <s v="Female"/>
    <n v="94"/>
    <n v="616"/>
    <n v="1200"/>
    <n v="57904"/>
    <n v="112800"/>
    <n v="54896"/>
    <s v="profit"/>
  </r>
  <r>
    <x v="273"/>
    <s v="october"/>
    <s v="Visionary Innovations"/>
    <s v="Fashion "/>
    <x v="6"/>
    <s v="Jharkhand"/>
    <s v="Female"/>
    <n v="93"/>
    <n v="660"/>
    <n v="880"/>
    <n v="61380"/>
    <n v="81840"/>
    <n v="20460"/>
    <s v="profit"/>
  </r>
  <r>
    <x v="274"/>
    <s v="october"/>
    <s v="Horizon Design Studio"/>
    <s v="Fashion "/>
    <x v="6"/>
    <s v="Kerala"/>
    <s v="Female"/>
    <n v="59"/>
    <n v="623"/>
    <n v="1386"/>
    <n v="36757"/>
    <n v="81774"/>
    <n v="45017"/>
    <s v="profit"/>
  </r>
  <r>
    <x v="275"/>
    <s v="october"/>
    <s v="Legacy Tech Products"/>
    <s v="Fashion "/>
    <x v="6"/>
    <s v="Himachal Pradesh"/>
    <s v="Female"/>
    <n v="98"/>
    <n v="865"/>
    <n v="1260"/>
    <n v="84770"/>
    <n v="123480"/>
    <n v="38710"/>
    <s v="profit"/>
  </r>
  <r>
    <x v="149"/>
    <s v="december"/>
    <s v="Zenith Creative Solutions"/>
    <s v="Fashion "/>
    <x v="6"/>
    <s v="Uttar Pradesh"/>
    <s v="Female"/>
    <n v="67"/>
    <n v="898"/>
    <n v="1133"/>
    <n v="60166"/>
    <n v="75911"/>
    <n v="15745"/>
    <s v="profit"/>
  </r>
  <r>
    <x v="276"/>
    <s v="october"/>
    <s v="Pinnacle Wellness Services"/>
    <s v="Fashion "/>
    <x v="6"/>
    <s v="Uttarakhand"/>
    <s v="Female"/>
    <n v="83"/>
    <n v="709"/>
    <n v="1206"/>
    <n v="58847"/>
    <n v="100098"/>
    <n v="41251"/>
    <s v="profit"/>
  </r>
  <r>
    <x v="151"/>
    <s v="december"/>
    <s v="Pure Vision Solutions"/>
    <s v="Fashion "/>
    <x v="8"/>
    <s v="Kerala"/>
    <s v="Female"/>
    <n v="72"/>
    <n v="603"/>
    <n v="941"/>
    <n v="43416"/>
    <n v="67752"/>
    <n v="24336"/>
    <s v="profit"/>
  </r>
  <r>
    <x v="277"/>
    <s v="october"/>
    <s v="Urban Insight Consulting"/>
    <s v="Fashion "/>
    <x v="8"/>
    <s v="Assam"/>
    <s v="Female"/>
    <n v="69"/>
    <n v="657"/>
    <n v="1493"/>
    <n v="45333"/>
    <n v="103017"/>
    <n v="57684"/>
    <s v="profit"/>
  </r>
  <r>
    <x v="278"/>
    <s v="october"/>
    <s v="Crystal Horizons"/>
    <s v="Fashion "/>
    <x v="8"/>
    <s v="Punjab"/>
    <s v="Female"/>
    <n v="81"/>
    <n v="709"/>
    <n v="1180"/>
    <n v="57429"/>
    <n v="95580"/>
    <n v="38151"/>
    <s v="profit"/>
  </r>
  <r>
    <x v="279"/>
    <s v="october"/>
    <s v="Radiant Apparel"/>
    <s v="Fashion "/>
    <x v="8"/>
    <s v="Chhattisgarh"/>
    <s v="Female"/>
    <n v="61"/>
    <n v="547"/>
    <n v="1060"/>
    <n v="33367"/>
    <n v="64660"/>
    <n v="31293"/>
    <s v="profit"/>
  </r>
  <r>
    <x v="280"/>
    <s v="october"/>
    <s v="True Value Products"/>
    <s v="Fashion "/>
    <x v="8"/>
    <s v="West Bengal"/>
    <s v="Female"/>
    <n v="57"/>
    <n v="734"/>
    <n v="979"/>
    <n v="41838"/>
    <n v="55803"/>
    <n v="13965"/>
    <s v="profit"/>
  </r>
  <r>
    <x v="156"/>
    <s v="december"/>
    <s v="Harmony Edge Solutions"/>
    <s v="Fashion "/>
    <x v="8"/>
    <s v="Punjab"/>
    <s v="Male"/>
    <n v="97"/>
    <n v="500"/>
    <n v="1417"/>
    <n v="48500"/>
    <n v="137449"/>
    <n v="88949"/>
    <s v="profit"/>
  </r>
  <r>
    <x v="281"/>
    <s v="october"/>
    <s v="Zenith Health Products"/>
    <s v="Fashion "/>
    <x v="8"/>
    <s v="Madhya Pradesh"/>
    <s v="Male"/>
    <n v="60"/>
    <n v="937"/>
    <n v="948"/>
    <n v="56220"/>
    <n v="56880"/>
    <n v="660"/>
    <s v="profit"/>
  </r>
  <r>
    <x v="282"/>
    <s v="october"/>
    <s v="Stellar Wellness Products"/>
    <s v="Fashion "/>
    <x v="1"/>
    <s v="Kerala"/>
    <s v="Male"/>
    <n v="71"/>
    <n v="777"/>
    <n v="1034"/>
    <n v="55167"/>
    <n v="73414"/>
    <n v="18247"/>
    <s v="profit"/>
  </r>
  <r>
    <x v="283"/>
    <s v="october"/>
    <s v="Radiant Consulting Group"/>
    <s v="Fashion "/>
    <x v="1"/>
    <s v="Maharashtra"/>
    <s v="Male"/>
    <n v="52"/>
    <n v="509"/>
    <n v="764"/>
    <n v="26468"/>
    <n v="39728"/>
    <n v="13260"/>
    <s v="profit"/>
  </r>
  <r>
    <x v="284"/>
    <s v="october"/>
    <s v="Harmony Ventures Co."/>
    <s v="Fashion "/>
    <x v="1"/>
    <s v="Himachal Pradesh"/>
    <s v="Female"/>
    <n v="66"/>
    <n v="701"/>
    <n v="1204"/>
    <n v="46266"/>
    <n v="79464"/>
    <n v="33198"/>
    <s v="profit"/>
  </r>
  <r>
    <x v="285"/>
    <s v="october"/>
    <s v="Urban Path Technologies"/>
    <s v="Fashion "/>
    <x v="1"/>
    <s v="Uttarakhand"/>
    <s v="Male"/>
    <n v="97"/>
    <n v="654"/>
    <n v="839"/>
    <n v="63438"/>
    <n v="81383"/>
    <n v="17945"/>
    <s v="profit"/>
  </r>
  <r>
    <x v="286"/>
    <s v="november"/>
    <s v="Modern Vision Ventures"/>
    <s v="Fashion "/>
    <x v="10"/>
    <s v="West Bengal"/>
    <s v="Female"/>
    <n v="63"/>
    <n v="833"/>
    <n v="1040"/>
    <n v="52479"/>
    <n v="65520"/>
    <n v="13041"/>
    <s v="profit"/>
  </r>
  <r>
    <x v="163"/>
    <s v="january"/>
    <s v="Pinnacle Media Solutions"/>
    <s v="Decor"/>
    <x v="0"/>
    <s v="Karnataka"/>
    <s v="Female"/>
    <n v="12"/>
    <n v="864"/>
    <n v="953"/>
    <n v="10368"/>
    <n v="11436"/>
    <n v="1068"/>
    <s v="profit"/>
  </r>
  <r>
    <x v="287"/>
    <s v="november"/>
    <s v="Elite Travel Services"/>
    <s v="Fashion "/>
    <x v="10"/>
    <s v="Karnataka"/>
    <s v="Female"/>
    <n v="74"/>
    <n v="743"/>
    <n v="974"/>
    <n v="54982"/>
    <n v="72076"/>
    <n v="17094"/>
    <s v="profit"/>
  </r>
  <r>
    <x v="165"/>
    <s v="january"/>
    <s v="Radiant Tech Solutions"/>
    <s v="Decor"/>
    <x v="0"/>
    <s v="Maharashtra"/>
    <s v="Female"/>
    <n v="13"/>
    <n v="839"/>
    <n v="1025"/>
    <n v="10907"/>
    <n v="13325"/>
    <n v="2418"/>
    <s v="profit"/>
  </r>
  <r>
    <x v="288"/>
    <s v="november"/>
    <s v="Crystal Innovations Group"/>
    <s v="Fashion "/>
    <x v="10"/>
    <s v="Maharashtra"/>
    <s v="Female"/>
    <n v="86"/>
    <n v="593"/>
    <n v="1425"/>
    <n v="50998"/>
    <n v="122550"/>
    <n v="71552"/>
    <s v="profit"/>
  </r>
  <r>
    <x v="167"/>
    <s v="january"/>
    <s v="Elite Creative Solutions"/>
    <s v="Decor"/>
    <x v="0"/>
    <s v="Chhattisgarh"/>
    <s v="Female"/>
    <n v="11"/>
    <n v="944"/>
    <n v="949"/>
    <n v="10384"/>
    <n v="10439"/>
    <n v="55"/>
    <s v="profit"/>
  </r>
  <r>
    <x v="289"/>
    <s v="november"/>
    <s v="Pinnacle Fitness Studio"/>
    <s v="Fashion "/>
    <x v="10"/>
    <s v="West Bengal"/>
    <s v="Female"/>
    <n v="92"/>
    <n v="609"/>
    <n v="792"/>
    <n v="56028"/>
    <n v="72864"/>
    <n v="16836"/>
    <s v="profit"/>
  </r>
  <r>
    <x v="290"/>
    <s v="november"/>
    <s v="Stellar Travel Agency"/>
    <s v="Fashion "/>
    <x v="10"/>
    <s v="Tamil Nadu"/>
    <s v="Female"/>
    <n v="96"/>
    <n v="674"/>
    <n v="1178"/>
    <n v="64704"/>
    <n v="113088"/>
    <n v="48384"/>
    <s v="profit"/>
  </r>
  <r>
    <x v="291"/>
    <s v="december"/>
    <s v="Apex Travel Ventures"/>
    <s v="Fashion "/>
    <x v="6"/>
    <s v="Assam"/>
    <s v="Male"/>
    <n v="65"/>
    <n v="804"/>
    <n v="876"/>
    <n v="52260"/>
    <n v="56940"/>
    <n v="4680"/>
    <s v="profit"/>
  </r>
  <r>
    <x v="292"/>
    <s v="december"/>
    <s v="True Path Consulting"/>
    <s v="Fashion "/>
    <x v="6"/>
    <s v="Chhattisgarh"/>
    <s v="Female"/>
    <n v="83"/>
    <n v="541"/>
    <n v="1072"/>
    <n v="44903"/>
    <n v="88976"/>
    <n v="44073"/>
    <s v="profit"/>
  </r>
  <r>
    <x v="293"/>
    <s v="december"/>
    <s v="Legacy Finance Group"/>
    <s v="Fashion "/>
    <x v="6"/>
    <s v="West Bengal"/>
    <s v="Female"/>
    <n v="89"/>
    <n v="545"/>
    <n v="978"/>
    <n v="48505"/>
    <n v="87042"/>
    <n v="38537"/>
    <s v="profit"/>
  </r>
  <r>
    <x v="294"/>
    <s v="december"/>
    <s v="Pinnacle Design Ventures"/>
    <s v="Fashion "/>
    <x v="6"/>
    <s v="Gujarat"/>
    <s v="Female"/>
    <n v="80"/>
    <n v="671"/>
    <n v="1251"/>
    <n v="53680"/>
    <n v="100080"/>
    <n v="46400"/>
    <s v="profit"/>
  </r>
  <r>
    <x v="174"/>
    <s v="january"/>
    <s v="Pinnacle Design Solutions"/>
    <s v="Fashion "/>
    <x v="8"/>
    <s v="Rajasthan"/>
    <s v="Male"/>
    <n v="82"/>
    <n v="822"/>
    <n v="1445"/>
    <n v="67404"/>
    <n v="118490"/>
    <n v="51086"/>
    <s v="profit"/>
  </r>
  <r>
    <x v="295"/>
    <s v="december"/>
    <s v="Stellar Innovations Co."/>
    <s v="Fashion "/>
    <x v="6"/>
    <s v="Uttar Pradesh"/>
    <s v="Female"/>
    <n v="68"/>
    <n v="815"/>
    <n v="808"/>
    <n v="55420"/>
    <n v="54944"/>
    <n v="-476"/>
    <s v="loss"/>
  </r>
  <r>
    <x v="296"/>
    <s v="december"/>
    <s v="Harmony Marketing Co."/>
    <s v="Fashion "/>
    <x v="6"/>
    <s v="Tamil Nadu"/>
    <s v="Female"/>
    <n v="88"/>
    <n v="674"/>
    <n v="891"/>
    <n v="59312"/>
    <n v="78408"/>
    <n v="19096"/>
    <s v="profit"/>
  </r>
  <r>
    <x v="297"/>
    <s v="december"/>
    <s v="Urban Tech Innovations"/>
    <s v="Fashion "/>
    <x v="6"/>
    <s v="Tamil Nadu"/>
    <s v="Female"/>
    <n v="64"/>
    <n v="665"/>
    <n v="783"/>
    <n v="42560"/>
    <n v="50112"/>
    <n v="7552"/>
    <s v="profit"/>
  </r>
  <r>
    <x v="298"/>
    <s v="december"/>
    <s v="Crystal Wellness Group"/>
    <s v="Fashion "/>
    <x v="6"/>
    <s v="Rajasthan"/>
    <s v="Female"/>
    <n v="81"/>
    <n v="801"/>
    <n v="846"/>
    <n v="64881"/>
    <n v="68526"/>
    <n v="3645"/>
    <s v="profit"/>
  </r>
  <r>
    <x v="299"/>
    <s v="december"/>
    <s v="Apex Media Co."/>
    <s v="Fashion "/>
    <x v="6"/>
    <s v="Jharkhand"/>
    <s v="Female"/>
    <n v="74"/>
    <n v="734"/>
    <n v="886"/>
    <n v="54316"/>
    <n v="65564"/>
    <n v="11248"/>
    <s v="profit"/>
  </r>
  <r>
    <x v="180"/>
    <s v="january"/>
    <s v="Pure Harmony Solutions"/>
    <s v="Decor"/>
    <x v="2"/>
    <s v="Uttarakhand"/>
    <s v="Female"/>
    <n v="10"/>
    <n v="519"/>
    <n v="1420"/>
    <n v="5190"/>
    <n v="14200"/>
    <n v="9010"/>
    <s v="profit"/>
  </r>
  <r>
    <x v="300"/>
    <s v="december"/>
    <s v="Legacy Health Ventures"/>
    <s v="Fashion "/>
    <x v="8"/>
    <s v="Maharashtra"/>
    <s v="Female"/>
    <n v="94"/>
    <n v="564"/>
    <n v="941"/>
    <n v="53016"/>
    <n v="88454"/>
    <n v="35438"/>
    <s v="profit"/>
  </r>
  <r>
    <x v="301"/>
    <s v="december"/>
    <s v="Pinnacle Spectrum Co."/>
    <s v="Fashion "/>
    <x v="8"/>
    <s v="Himachal Pradesh"/>
    <s v="Female"/>
    <n v="50"/>
    <n v="545"/>
    <n v="1050"/>
    <n v="27250"/>
    <n v="52500"/>
    <n v="25250"/>
    <s v="profit"/>
  </r>
  <r>
    <x v="302"/>
    <s v="december"/>
    <s v="Stellar Travel Products"/>
    <s v="Fashion "/>
    <x v="8"/>
    <s v="Uttarakhand"/>
    <s v="Female"/>
    <n v="60"/>
    <n v="783"/>
    <n v="1422"/>
    <n v="46980"/>
    <n v="85320"/>
    <n v="38340"/>
    <s v="profit"/>
  </r>
  <r>
    <x v="303"/>
    <s v="december"/>
    <s v="Radiance Finance Services"/>
    <s v="Fashion "/>
    <x v="8"/>
    <s v="Assam"/>
    <s v="Female"/>
    <n v="63"/>
    <n v="746"/>
    <n v="1075"/>
    <n v="46998"/>
    <n v="67725"/>
    <n v="20727"/>
    <s v="profit"/>
  </r>
  <r>
    <x v="304"/>
    <s v="december"/>
    <s v="Modern Travel Agency"/>
    <s v="Fashion "/>
    <x v="8"/>
    <s v="Chhattisgarh"/>
    <s v="Male"/>
    <n v="86"/>
    <n v="834"/>
    <n v="1372"/>
    <n v="71724"/>
    <n v="117992"/>
    <n v="46268"/>
    <s v="profit"/>
  </r>
  <r>
    <x v="186"/>
    <s v="january"/>
    <s v="Zenith Path Solutions"/>
    <s v="Decor"/>
    <x v="2"/>
    <s v="Madhya Pradesh"/>
    <s v="Female"/>
    <n v="17"/>
    <n v="922"/>
    <n v="899"/>
    <n v="15674"/>
    <n v="15283"/>
    <n v="-391"/>
    <s v="loss"/>
  </r>
  <r>
    <x v="305"/>
    <s v="december"/>
    <s v="Crystal Path Consulting"/>
    <s v="Fashion "/>
    <x v="8"/>
    <s v="West Bengal"/>
    <s v="Male"/>
    <n v="51"/>
    <n v="944"/>
    <n v="1062"/>
    <n v="48144"/>
    <n v="54162"/>
    <n v="6018"/>
    <s v="profit"/>
  </r>
  <r>
    <x v="306"/>
    <s v="december"/>
    <s v="Zenith Educational Services"/>
    <s v="Fashion "/>
    <x v="8"/>
    <s v="West Bengal"/>
    <s v="Male"/>
    <n v="75"/>
    <n v="547"/>
    <n v="1203"/>
    <n v="41025"/>
    <n v="90225"/>
    <n v="49200"/>
    <s v="profit"/>
  </r>
  <r>
    <x v="307"/>
    <s v="december"/>
    <s v="Apex Innovations Co."/>
    <s v="Fashion "/>
    <x v="8"/>
    <s v="Madhya Pradesh"/>
    <s v="Male"/>
    <n v="64"/>
    <n v="918"/>
    <n v="907"/>
    <n v="58752"/>
    <n v="58048"/>
    <n v="-704"/>
    <s v="loss"/>
  </r>
  <r>
    <x v="190"/>
    <s v="january"/>
    <s v="Legacy Media Solutions"/>
    <s v="Decor"/>
    <x v="2"/>
    <s v="Jharkhand"/>
    <s v="Male"/>
    <n v="12"/>
    <n v="519"/>
    <n v="1212"/>
    <n v="6228"/>
    <n v="14544"/>
    <n v="8316"/>
    <s v="profit"/>
  </r>
  <r>
    <x v="308"/>
    <s v="january"/>
    <s v="Pure Harmony Health"/>
    <s v="Fashion "/>
    <x v="8"/>
    <s v="Jharkhand"/>
    <s v="Female"/>
    <n v="74"/>
    <n v="965"/>
    <n v="906"/>
    <n v="71410"/>
    <n v="67044"/>
    <n v="-4366"/>
    <s v="loss"/>
  </r>
  <r>
    <x v="309"/>
    <s v="january"/>
    <s v="Apex Travel Innovations"/>
    <s v="Fashion "/>
    <x v="6"/>
    <s v="Gujarat"/>
    <s v="Male"/>
    <n v="100"/>
    <n v="667"/>
    <n v="1109"/>
    <n v="66700"/>
    <n v="110900"/>
    <n v="44200"/>
    <s v="profit"/>
  </r>
  <r>
    <x v="310"/>
    <s v="january"/>
    <s v="Modern Health Products"/>
    <s v="Fashion "/>
    <x v="6"/>
    <s v="Uttar Pradesh"/>
    <s v="Male"/>
    <n v="60"/>
    <n v="509"/>
    <n v="954"/>
    <n v="30540"/>
    <n v="57240"/>
    <n v="26700"/>
    <s v="profit"/>
  </r>
  <r>
    <x v="311"/>
    <s v="january"/>
    <s v="Harmony Finance Group"/>
    <s v="Fashion "/>
    <x v="6"/>
    <s v="Uttar Pradesh"/>
    <s v="Male"/>
    <n v="93"/>
    <n v="814"/>
    <n v="832"/>
    <n v="75702"/>
    <n v="77376"/>
    <n v="1674"/>
    <s v="profit"/>
  </r>
  <r>
    <x v="312"/>
    <s v="january"/>
    <s v="Pure Vision Consulting"/>
    <s v="Fashion "/>
    <x v="6"/>
    <s v="Tamil Nadu"/>
    <s v="Female"/>
    <n v="86"/>
    <n v="567"/>
    <n v="1491"/>
    <n v="48762"/>
    <n v="128226"/>
    <n v="79464"/>
    <s v="profit"/>
  </r>
  <r>
    <x v="313"/>
    <s v="january"/>
    <s v="Legacy Spectrum Co."/>
    <s v="Fashion "/>
    <x v="6"/>
    <s v="Tamil Nadu"/>
    <s v="Male"/>
    <n v="54"/>
    <n v="674"/>
    <n v="787"/>
    <n v="36396"/>
    <n v="42498"/>
    <n v="6102"/>
    <s v="profit"/>
  </r>
  <r>
    <x v="314"/>
    <s v="january"/>
    <s v="Stellar Media Services"/>
    <s v="Fashion "/>
    <x v="8"/>
    <s v="Uttar Pradesh"/>
    <s v="Male"/>
    <n v="98"/>
    <n v="950"/>
    <n v="1426"/>
    <n v="93100"/>
    <n v="139748"/>
    <n v="46648"/>
    <s v="profit"/>
  </r>
  <r>
    <x v="315"/>
    <s v="january"/>
    <s v="Radiant Innovations Group"/>
    <s v="Fashion "/>
    <x v="8"/>
    <s v="Jharkhand"/>
    <s v="Male"/>
    <n v="82"/>
    <n v="916"/>
    <n v="1461"/>
    <n v="75112"/>
    <n v="119802"/>
    <n v="44690"/>
    <s v="profit"/>
  </r>
  <r>
    <x v="316"/>
    <s v="january"/>
    <s v="Horizon Path Ventures"/>
    <s v="Fashion "/>
    <x v="8"/>
    <s v="Kerala"/>
    <s v="Female"/>
    <n v="66"/>
    <n v="710"/>
    <n v="1034"/>
    <n v="46860"/>
    <n v="68244"/>
    <n v="21384"/>
    <s v="profit"/>
  </r>
  <r>
    <x v="317"/>
    <s v="january"/>
    <s v="Zenith Tech Co."/>
    <s v="Fashion "/>
    <x v="8"/>
    <s v="Maharashtra"/>
    <s v="Female"/>
    <n v="77"/>
    <n v="922"/>
    <n v="1400"/>
    <n v="70994"/>
    <n v="107800"/>
    <n v="36806"/>
    <s v="profit"/>
  </r>
  <r>
    <x v="195"/>
    <s v="february"/>
    <s v="Radiant Solutions Co."/>
    <s v="Electronic"/>
    <x v="7"/>
    <s v="Jharkhand"/>
    <s v="Female"/>
    <n v="22"/>
    <n v="745"/>
    <n v="1153"/>
    <n v="16390"/>
    <n v="25366"/>
    <n v="8976"/>
    <s v="profit"/>
  </r>
  <r>
    <x v="318"/>
    <s v="january"/>
    <s v="Apex Finance Ventures"/>
    <s v="Fashion "/>
    <x v="8"/>
    <s v="Himachal Pradesh"/>
    <s v="Female"/>
    <n v="93"/>
    <n v="887"/>
    <n v="993"/>
    <n v="82491"/>
    <n v="92349"/>
    <n v="9858"/>
    <s v="profit"/>
  </r>
  <r>
    <x v="319"/>
    <s v="february"/>
    <s v="Zenith Wellness Co."/>
    <s v="Fashion "/>
    <x v="6"/>
    <s v="Uttar Pradesh"/>
    <s v="Female"/>
    <n v="78"/>
    <n v="709"/>
    <n v="1494"/>
    <n v="55302"/>
    <n v="116532"/>
    <n v="61230"/>
    <s v="profit"/>
  </r>
  <r>
    <x v="320"/>
    <s v="february"/>
    <s v="Apex Design Services"/>
    <s v="Fashion "/>
    <x v="6"/>
    <s v="Uttar Pradesh"/>
    <s v="Female"/>
    <n v="87"/>
    <n v="714"/>
    <n v="926"/>
    <n v="62118"/>
    <n v="80562"/>
    <n v="18444"/>
    <s v="profit"/>
  </r>
  <r>
    <x v="196"/>
    <s v="february"/>
    <s v="Modern Travel Solutions"/>
    <s v="Fashion "/>
    <x v="6"/>
    <s v="Tamil Nadu"/>
    <s v="Female"/>
    <n v="90"/>
    <n v="983"/>
    <n v="924"/>
    <n v="88470"/>
    <n v="83160"/>
    <n v="-5310"/>
    <s v="loss"/>
  </r>
  <r>
    <x v="321"/>
    <s v="february"/>
    <s v="Pure Health Ventures"/>
    <s v="Fashion "/>
    <x v="6"/>
    <s v="Tamil Nadu"/>
    <s v="Female"/>
    <n v="78"/>
    <n v="789"/>
    <n v="1064"/>
    <n v="61542"/>
    <n v="82992"/>
    <n v="21450"/>
    <s v="profit"/>
  </r>
  <r>
    <x v="322"/>
    <s v="february"/>
    <s v="Legacy Spectrum Group"/>
    <s v="Fashion "/>
    <x v="6"/>
    <s v="Rajasthan"/>
    <s v="Male"/>
    <n v="74"/>
    <n v="835"/>
    <n v="1096"/>
    <n v="61790"/>
    <n v="81104"/>
    <n v="19314"/>
    <s v="profit"/>
  </r>
  <r>
    <x v="323"/>
    <s v="february"/>
    <s v="Pinnacle Media Ventures"/>
    <s v="Fashion "/>
    <x v="6"/>
    <s v="Uttar Pradesh"/>
    <s v="Male"/>
    <n v="94"/>
    <n v="952"/>
    <n v="1425"/>
    <n v="89488"/>
    <n v="133950"/>
    <n v="44462"/>
    <s v="profit"/>
  </r>
  <r>
    <x v="324"/>
    <s v="february"/>
    <s v="Stellar Innovations Group"/>
    <s v="Fashion "/>
    <x v="6"/>
    <s v="Jharkhand"/>
    <s v="Male"/>
    <n v="55"/>
    <n v="558"/>
    <n v="1203"/>
    <n v="30690"/>
    <n v="66165"/>
    <n v="35475"/>
    <s v="profit"/>
  </r>
  <r>
    <x v="325"/>
    <s v="february"/>
    <s v="Radiant Educational Co."/>
    <s v="Fashion "/>
    <x v="6"/>
    <s v="Kerala"/>
    <s v="Male"/>
    <n v="56"/>
    <n v="562"/>
    <n v="1341"/>
    <n v="31472"/>
    <n v="75096"/>
    <n v="43624"/>
    <s v="profit"/>
  </r>
  <r>
    <x v="326"/>
    <s v="february"/>
    <s v="Harmony Edge Ventures"/>
    <s v="Fashion "/>
    <x v="6"/>
    <s v="Maharashtra"/>
    <s v="Female"/>
    <n v="94"/>
    <n v="513"/>
    <n v="1318"/>
    <n v="48222"/>
    <n v="123892"/>
    <n v="75670"/>
    <s v="profit"/>
  </r>
  <r>
    <x v="197"/>
    <s v="february"/>
    <s v="Zenith Tech Solutions"/>
    <s v="Fashion "/>
    <x v="6"/>
    <s v="Himachal Pradesh"/>
    <s v="Male"/>
    <n v="76"/>
    <n v="526"/>
    <n v="1260"/>
    <n v="39976"/>
    <n v="95760"/>
    <n v="55784"/>
    <s v="profit"/>
  </r>
  <r>
    <x v="327"/>
    <s v="february"/>
    <s v="Apex Finance Group"/>
    <s v="Fashion "/>
    <x v="6"/>
    <s v="Uttarakhand"/>
    <s v="Male"/>
    <n v="61"/>
    <n v="545"/>
    <n v="915"/>
    <n v="33245"/>
    <n v="55815"/>
    <n v="22570"/>
    <s v="profit"/>
  </r>
  <r>
    <x v="328"/>
    <s v="february"/>
    <s v="Pure Harmony Media"/>
    <s v="Fashion "/>
    <x v="6"/>
    <s v="Assam"/>
    <s v="Male"/>
    <n v="99"/>
    <n v="943"/>
    <n v="823"/>
    <n v="93357"/>
    <n v="81477"/>
    <n v="-11880"/>
    <s v="loss"/>
  </r>
  <r>
    <x v="329"/>
    <s v="february"/>
    <s v="Legacy Health Co."/>
    <s v="Fashion "/>
    <x v="8"/>
    <s v="Punjab"/>
    <s v="Male"/>
    <n v="84"/>
    <n v="738"/>
    <n v="1080"/>
    <n v="61992"/>
    <n v="90720"/>
    <n v="28728"/>
    <s v="profit"/>
  </r>
  <r>
    <x v="331"/>
    <m/>
    <m/>
    <m/>
    <x v="12"/>
    <m/>
    <m/>
    <m/>
    <m/>
    <m/>
    <m/>
    <m/>
    <m/>
    <m/>
  </r>
  <r>
    <x v="331"/>
    <m/>
    <m/>
    <m/>
    <x v="12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x v="0"/>
    <s v="june"/>
    <s v="Horizon Wellness"/>
    <x v="0"/>
    <x v="0"/>
    <x v="0"/>
    <s v="Female"/>
    <n v="17"/>
    <n v="938"/>
    <n v="938"/>
    <n v="15946"/>
    <n v="15946"/>
    <n v="0"/>
    <s v="loss"/>
  </r>
  <r>
    <x v="1"/>
    <s v="june"/>
    <s v="True Value Electronics"/>
    <x v="0"/>
    <x v="0"/>
    <x v="1"/>
    <s v="Female"/>
    <n v="18"/>
    <n v="920"/>
    <n v="1360"/>
    <n v="16560"/>
    <n v="24480"/>
    <n v="7920"/>
    <s v="profit"/>
  </r>
  <r>
    <x v="2"/>
    <s v="june"/>
    <s v="Harmony Homes Realty"/>
    <x v="0"/>
    <x v="0"/>
    <x v="2"/>
    <s v="Female"/>
    <n v="20"/>
    <n v="731"/>
    <n v="1186"/>
    <n v="14620"/>
    <n v="23720"/>
    <n v="9100"/>
    <s v="profit"/>
  </r>
  <r>
    <x v="3"/>
    <s v="june"/>
    <s v="Stellar Advertising"/>
    <x v="0"/>
    <x v="0"/>
    <x v="3"/>
    <s v="Female"/>
    <n v="17"/>
    <n v="750"/>
    <n v="793"/>
    <n v="12750"/>
    <n v="13481"/>
    <n v="731"/>
    <s v="profit"/>
  </r>
  <r>
    <x v="4"/>
    <s v="june"/>
    <s v="Modern Trends Retail"/>
    <x v="0"/>
    <x v="0"/>
    <x v="4"/>
    <s v="Male"/>
    <n v="14"/>
    <n v="906"/>
    <n v="1327"/>
    <n v="12684"/>
    <n v="18578"/>
    <n v="5894"/>
    <s v="profit"/>
  </r>
  <r>
    <x v="5"/>
    <s v="june"/>
    <s v="Global Spectrum Consulting"/>
    <x v="0"/>
    <x v="0"/>
    <x v="5"/>
    <s v="Male"/>
    <n v="20"/>
    <n v="699"/>
    <n v="1400"/>
    <n v="13980"/>
    <n v="28000"/>
    <n v="14020"/>
    <s v="profit"/>
  </r>
  <r>
    <x v="6"/>
    <s v="april"/>
    <s v="Apex Solutions"/>
    <x v="1"/>
    <x v="1"/>
    <x v="6"/>
    <s v="Male"/>
    <n v="55"/>
    <n v="637"/>
    <n v="1143"/>
    <n v="35035"/>
    <n v="62865"/>
    <n v="27830"/>
    <s v="profit"/>
  </r>
  <r>
    <x v="7"/>
    <s v="june"/>
    <s v="Radiant Vision Studios"/>
    <x v="0"/>
    <x v="2"/>
    <x v="6"/>
    <s v="Female"/>
    <n v="17"/>
    <n v="537"/>
    <n v="1350"/>
    <n v="9129"/>
    <n v="22950"/>
    <n v="13821"/>
    <s v="profit"/>
  </r>
  <r>
    <x v="8"/>
    <s v="june"/>
    <s v="Noble Travel Services"/>
    <x v="0"/>
    <x v="2"/>
    <x v="7"/>
    <s v="Female"/>
    <n v="20"/>
    <n v="875"/>
    <n v="911"/>
    <n v="17500"/>
    <n v="18220"/>
    <n v="720"/>
    <s v="profit"/>
  </r>
  <r>
    <x v="9"/>
    <s v="july"/>
    <s v="Bright Future Academy"/>
    <x v="0"/>
    <x v="2"/>
    <x v="7"/>
    <s v="Female"/>
    <n v="13"/>
    <n v="917"/>
    <n v="1315"/>
    <n v="11921"/>
    <n v="17095"/>
    <n v="5174"/>
    <s v="profit"/>
  </r>
  <r>
    <x v="10"/>
    <s v="july"/>
    <s v="Visionary Health Systems"/>
    <x v="0"/>
    <x v="2"/>
    <x v="4"/>
    <s v="Female"/>
    <n v="12"/>
    <n v="980"/>
    <n v="1462"/>
    <n v="11760"/>
    <n v="17544"/>
    <n v="5784"/>
    <s v="profit"/>
  </r>
  <r>
    <x v="11"/>
    <s v="july"/>
    <s v="Apex Retailers"/>
    <x v="0"/>
    <x v="2"/>
    <x v="8"/>
    <s v="Female"/>
    <n v="12"/>
    <n v="734"/>
    <n v="1181"/>
    <n v="8808"/>
    <n v="14172"/>
    <n v="5364"/>
    <s v="profit"/>
  </r>
  <r>
    <x v="12"/>
    <s v="april"/>
    <s v="Metro Tech Solutions"/>
    <x v="2"/>
    <x v="3"/>
    <x v="8"/>
    <s v="Female"/>
    <n v="29"/>
    <n v="951"/>
    <n v="1268"/>
    <n v="27579"/>
    <n v="36772"/>
    <n v="9193"/>
    <s v="profit"/>
  </r>
  <r>
    <x v="13"/>
    <s v="july"/>
    <s v="Prestige Property Developers"/>
    <x v="0"/>
    <x v="2"/>
    <x v="9"/>
    <s v="Female"/>
    <n v="12"/>
    <n v="913"/>
    <n v="1170"/>
    <n v="10956"/>
    <n v="14040"/>
    <n v="3084"/>
    <s v="profit"/>
  </r>
  <r>
    <x v="14"/>
    <s v="july"/>
    <s v="Classic Trends Fashion"/>
    <x v="0"/>
    <x v="2"/>
    <x v="4"/>
    <s v="Male"/>
    <n v="20"/>
    <n v="833"/>
    <n v="877"/>
    <n v="16660"/>
    <n v="17540"/>
    <n v="880"/>
    <s v="profit"/>
  </r>
  <r>
    <x v="15"/>
    <s v="july"/>
    <s v="Harmony Ventures"/>
    <x v="0"/>
    <x v="2"/>
    <x v="10"/>
    <s v="Male"/>
    <n v="17"/>
    <n v="748"/>
    <n v="1138"/>
    <n v="12716"/>
    <n v="19346"/>
    <n v="6630"/>
    <s v="profit"/>
  </r>
  <r>
    <x v="16"/>
    <s v="july"/>
    <s v="Stellar Realty"/>
    <x v="0"/>
    <x v="2"/>
    <x v="11"/>
    <s v="Male"/>
    <n v="20"/>
    <n v="517"/>
    <n v="1405"/>
    <n v="10340"/>
    <n v="28100"/>
    <n v="17760"/>
    <s v="profit"/>
  </r>
  <r>
    <x v="17"/>
    <s v="july"/>
    <s v="Future Path Technologies"/>
    <x v="0"/>
    <x v="2"/>
    <x v="6"/>
    <s v="Male"/>
    <n v="18"/>
    <n v="674"/>
    <n v="775"/>
    <n v="12132"/>
    <n v="13950"/>
    <n v="1818"/>
    <s v="profit"/>
  </r>
  <r>
    <x v="18"/>
    <s v="july"/>
    <s v="Elite Edge Services"/>
    <x v="0"/>
    <x v="2"/>
    <x v="7"/>
    <s v="Female"/>
    <n v="17"/>
    <n v="641"/>
    <n v="765"/>
    <n v="10897"/>
    <n v="13005"/>
    <n v="2108"/>
    <s v="profit"/>
  </r>
  <r>
    <x v="19"/>
    <s v="august"/>
    <s v="Modern Harmony Products"/>
    <x v="0"/>
    <x v="2"/>
    <x v="8"/>
    <s v="Female"/>
    <n v="10"/>
    <n v="754"/>
    <n v="982"/>
    <n v="7540"/>
    <n v="9820"/>
    <n v="2280"/>
    <s v="profit"/>
  </r>
  <r>
    <x v="20"/>
    <s v="august"/>
    <s v="Horizon Builders &amp; Developers"/>
    <x v="0"/>
    <x v="2"/>
    <x v="12"/>
    <s v="Female"/>
    <n v="14"/>
    <n v="815"/>
    <n v="1341"/>
    <n v="11410"/>
    <n v="18774"/>
    <n v="7364"/>
    <s v="profit"/>
  </r>
  <r>
    <x v="21"/>
    <s v="august"/>
    <s v="Legacy Apparel"/>
    <x v="0"/>
    <x v="2"/>
    <x v="7"/>
    <s v="Female"/>
    <n v="18"/>
    <n v="704"/>
    <n v="930"/>
    <n v="12672"/>
    <n v="16740"/>
    <n v="4068"/>
    <s v="profit"/>
  </r>
  <r>
    <x v="22"/>
    <s v="april"/>
    <s v="Elite Marketing Solutions"/>
    <x v="2"/>
    <x v="4"/>
    <x v="13"/>
    <s v="Male"/>
    <n v="25"/>
    <n v="958"/>
    <n v="942"/>
    <n v="23950"/>
    <n v="23550"/>
    <n v="-400"/>
    <s v="loss"/>
  </r>
  <r>
    <x v="23"/>
    <s v="august"/>
    <s v="Pinnacle Education Group"/>
    <x v="0"/>
    <x v="2"/>
    <x v="7"/>
    <s v="Female"/>
    <n v="19"/>
    <n v="744"/>
    <n v="1433"/>
    <n v="14136"/>
    <n v="27227"/>
    <n v="13091"/>
    <s v="profit"/>
  </r>
  <r>
    <x v="24"/>
    <s v="april"/>
    <s v="Crystal Clear Solutions"/>
    <x v="2"/>
    <x v="4"/>
    <x v="12"/>
    <s v="Female"/>
    <n v="26"/>
    <n v="520"/>
    <n v="1486"/>
    <n v="13520"/>
    <n v="38636"/>
    <n v="25116"/>
    <s v="profit"/>
  </r>
  <r>
    <x v="25"/>
    <s v="august"/>
    <s v="Noble Innovations"/>
    <x v="0"/>
    <x v="2"/>
    <x v="8"/>
    <s v="Male"/>
    <n v="10"/>
    <n v="669"/>
    <n v="1344"/>
    <n v="6690"/>
    <n v="13440"/>
    <n v="6750"/>
    <s v="profit"/>
  </r>
  <r>
    <x v="26"/>
    <s v="august"/>
    <s v="Crystal Clear Realty"/>
    <x v="0"/>
    <x v="2"/>
    <x v="4"/>
    <s v="Male"/>
    <n v="20"/>
    <n v="966"/>
    <n v="924"/>
    <n v="19320"/>
    <n v="18480"/>
    <n v="-840"/>
    <s v="loss"/>
  </r>
  <r>
    <x v="27"/>
    <s v="september"/>
    <s v="Apex Publishing House"/>
    <x v="0"/>
    <x v="2"/>
    <x v="14"/>
    <s v="Male"/>
    <n v="18"/>
    <n v="859"/>
    <n v="1044"/>
    <n v="15462"/>
    <n v="18792"/>
    <n v="3330"/>
    <s v="profit"/>
  </r>
  <r>
    <x v="28"/>
    <s v="september"/>
    <s v="True Value Consulting"/>
    <x v="0"/>
    <x v="2"/>
    <x v="8"/>
    <s v="Male"/>
    <n v="15"/>
    <n v="890"/>
    <n v="1362"/>
    <n v="13350"/>
    <n v="20430"/>
    <n v="7080"/>
    <s v="profit"/>
  </r>
  <r>
    <x v="29"/>
    <s v="september"/>
    <s v="Future Path Ventures"/>
    <x v="0"/>
    <x v="2"/>
    <x v="3"/>
    <s v="Male"/>
    <n v="19"/>
    <n v="630"/>
    <n v="882"/>
    <n v="11970"/>
    <n v="16758"/>
    <n v="4788"/>
    <s v="profit"/>
  </r>
  <r>
    <x v="30"/>
    <s v="september"/>
    <s v="Stellar Tech Services"/>
    <x v="0"/>
    <x v="2"/>
    <x v="13"/>
    <s v="Male"/>
    <n v="10"/>
    <n v="701"/>
    <n v="1384"/>
    <n v="7010"/>
    <n v="13840"/>
    <n v="6830"/>
    <s v="profit"/>
  </r>
  <r>
    <x v="31"/>
    <s v="september"/>
    <s v="Legacy Travel Agency"/>
    <x v="0"/>
    <x v="2"/>
    <x v="15"/>
    <s v="Female"/>
    <n v="19"/>
    <n v="653"/>
    <n v="1402"/>
    <n v="12407"/>
    <n v="26638"/>
    <n v="14231"/>
    <s v="profit"/>
  </r>
  <r>
    <x v="32"/>
    <s v="september"/>
    <s v="Harmony Innovations"/>
    <x v="0"/>
    <x v="2"/>
    <x v="16"/>
    <s v="Female"/>
    <n v="14"/>
    <n v="968"/>
    <n v="1419"/>
    <n v="13552"/>
    <n v="19866"/>
    <n v="6314"/>
    <s v="profit"/>
  </r>
  <r>
    <x v="33"/>
    <s v="september"/>
    <s v="Elite Media Group"/>
    <x v="0"/>
    <x v="2"/>
    <x v="8"/>
    <s v="Female"/>
    <n v="20"/>
    <n v="508"/>
    <n v="1433"/>
    <n v="10160"/>
    <n v="28660"/>
    <n v="18500"/>
    <s v="profit"/>
  </r>
  <r>
    <x v="34"/>
    <s v="september"/>
    <s v="Radiant Construction"/>
    <x v="0"/>
    <x v="2"/>
    <x v="12"/>
    <s v="Female"/>
    <n v="12"/>
    <n v="539"/>
    <n v="1136"/>
    <n v="6468"/>
    <n v="13632"/>
    <n v="7164"/>
    <s v="profit"/>
  </r>
  <r>
    <x v="35"/>
    <s v="september"/>
    <s v="Pinnacle Finance"/>
    <x v="0"/>
    <x v="2"/>
    <x v="6"/>
    <s v="Female"/>
    <n v="10"/>
    <n v="731"/>
    <n v="1226"/>
    <n v="7310"/>
    <n v="12260"/>
    <n v="4950"/>
    <s v="profit"/>
  </r>
  <r>
    <x v="36"/>
    <s v="september"/>
    <s v="Horizon Tech Ventures"/>
    <x v="0"/>
    <x v="2"/>
    <x v="7"/>
    <s v="Female"/>
    <n v="15"/>
    <n v="621"/>
    <n v="1488"/>
    <n v="9315"/>
    <n v="22320"/>
    <n v="13005"/>
    <s v="profit"/>
  </r>
  <r>
    <x v="37"/>
    <s v="september"/>
    <s v="Elite Edge Consulting"/>
    <x v="0"/>
    <x v="0"/>
    <x v="6"/>
    <s v="Male"/>
    <n v="16"/>
    <n v="963"/>
    <n v="1186"/>
    <n v="15408"/>
    <n v="18976"/>
    <n v="3568"/>
    <s v="profit"/>
  </r>
  <r>
    <x v="38"/>
    <s v="september"/>
    <s v="Harmony Tech Ventures"/>
    <x v="0"/>
    <x v="0"/>
    <x v="7"/>
    <s v="Female"/>
    <n v="13"/>
    <n v="762"/>
    <n v="1311"/>
    <n v="9906"/>
    <n v="17043"/>
    <n v="7137"/>
    <s v="profit"/>
  </r>
  <r>
    <x v="39"/>
    <s v="october"/>
    <s v="Radiant Fitness Studio"/>
    <x v="0"/>
    <x v="0"/>
    <x v="13"/>
    <s v="Female"/>
    <n v="14"/>
    <n v="909"/>
    <n v="780"/>
    <n v="12726"/>
    <n v="10920"/>
    <n v="-1806"/>
    <s v="loss"/>
  </r>
  <r>
    <x v="40"/>
    <s v="october"/>
    <s v="Zenith Finance Co."/>
    <x v="0"/>
    <x v="0"/>
    <x v="12"/>
    <s v="Female"/>
    <n v="11"/>
    <n v="858"/>
    <n v="1080"/>
    <n v="9438"/>
    <n v="11880"/>
    <n v="2442"/>
    <s v="profit"/>
  </r>
  <r>
    <x v="41"/>
    <s v="october"/>
    <s v="Apex Events Management"/>
    <x v="0"/>
    <x v="0"/>
    <x v="7"/>
    <s v="Female"/>
    <n v="12"/>
    <n v="516"/>
    <n v="857"/>
    <n v="6192"/>
    <n v="10284"/>
    <n v="4092"/>
    <s v="profit"/>
  </r>
  <r>
    <x v="42"/>
    <s v="october"/>
    <s v="Stellar Media Group"/>
    <x v="0"/>
    <x v="2"/>
    <x v="5"/>
    <s v="Male"/>
    <n v="20"/>
    <n v="817"/>
    <n v="1324"/>
    <n v="16340"/>
    <n v="26480"/>
    <n v="10140"/>
    <s v="profit"/>
  </r>
  <r>
    <x v="43"/>
    <s v="october"/>
    <s v="Harmony Finance Co."/>
    <x v="0"/>
    <x v="2"/>
    <x v="3"/>
    <s v="Male"/>
    <n v="16"/>
    <n v="935"/>
    <n v="980"/>
    <n v="14960"/>
    <n v="15680"/>
    <n v="720"/>
    <s v="profit"/>
  </r>
  <r>
    <x v="44"/>
    <s v="october"/>
    <s v="Pure Vision Ventures"/>
    <x v="0"/>
    <x v="2"/>
    <x v="15"/>
    <s v="Male"/>
    <n v="17"/>
    <n v="642"/>
    <n v="1095"/>
    <n v="10914"/>
    <n v="18615"/>
    <n v="7701"/>
    <s v="profit"/>
  </r>
  <r>
    <x v="45"/>
    <s v="october"/>
    <s v="Legacy Travel Services"/>
    <x v="0"/>
    <x v="2"/>
    <x v="6"/>
    <s v="Female"/>
    <n v="18"/>
    <n v="596"/>
    <n v="817"/>
    <n v="10728"/>
    <n v="14706"/>
    <n v="3978"/>
    <s v="profit"/>
  </r>
  <r>
    <x v="46"/>
    <s v="october"/>
    <s v="Elite Spectrum Media"/>
    <x v="0"/>
    <x v="2"/>
    <x v="7"/>
    <s v="Female"/>
    <n v="14"/>
    <n v="533"/>
    <n v="922"/>
    <n v="7462"/>
    <n v="12908"/>
    <n v="5446"/>
    <s v="profit"/>
  </r>
  <r>
    <x v="47"/>
    <s v="october"/>
    <s v="Pinnacle Design Studio"/>
    <x v="0"/>
    <x v="2"/>
    <x v="13"/>
    <s v="Female"/>
    <n v="19"/>
    <n v="578"/>
    <n v="1434"/>
    <n v="10982"/>
    <n v="27246"/>
    <n v="16264"/>
    <s v="profit"/>
  </r>
  <r>
    <x v="48"/>
    <s v="january"/>
    <s v="Legacy Travel Ventures"/>
    <x v="0"/>
    <x v="0"/>
    <x v="3"/>
    <s v="Female"/>
    <n v="14"/>
    <n v="521"/>
    <n v="974"/>
    <n v="7294"/>
    <n v="13636"/>
    <n v="6342"/>
    <s v="profit"/>
  </r>
  <r>
    <x v="49"/>
    <s v="may"/>
    <s v="Absolute Solutions"/>
    <x v="1"/>
    <x v="5"/>
    <x v="6"/>
    <s v="Male"/>
    <n v="79"/>
    <n v="616"/>
    <n v="944"/>
    <n v="48664"/>
    <n v="74576"/>
    <n v="25912"/>
    <s v="profit"/>
  </r>
  <r>
    <x v="50"/>
    <s v="january"/>
    <s v="Stellar Design Group"/>
    <x v="0"/>
    <x v="0"/>
    <x v="14"/>
    <s v="Female"/>
    <n v="14"/>
    <n v="734"/>
    <n v="1058"/>
    <n v="10276"/>
    <n v="14812"/>
    <n v="4536"/>
    <s v="profit"/>
  </r>
  <r>
    <x v="51"/>
    <s v="january"/>
    <s v="Horizon Ventures Co."/>
    <x v="0"/>
    <x v="0"/>
    <x v="1"/>
    <s v="Female"/>
    <n v="20"/>
    <n v="837"/>
    <n v="1014"/>
    <n v="16740"/>
    <n v="20280"/>
    <n v="3540"/>
    <s v="profit"/>
  </r>
  <r>
    <x v="52"/>
    <s v="january"/>
    <s v="Zenith Wellness Services"/>
    <x v="0"/>
    <x v="0"/>
    <x v="3"/>
    <s v="Male"/>
    <n v="11"/>
    <n v="617"/>
    <n v="1025"/>
    <n v="6787"/>
    <n v="11275"/>
    <n v="4488"/>
    <s v="profit"/>
  </r>
  <r>
    <x v="53"/>
    <s v="january"/>
    <s v="Legacy Travel Co."/>
    <x v="0"/>
    <x v="2"/>
    <x v="0"/>
    <s v="Female"/>
    <n v="20"/>
    <n v="749"/>
    <n v="753"/>
    <n v="14980"/>
    <n v="15060"/>
    <n v="80"/>
    <s v="profit"/>
  </r>
  <r>
    <x v="54"/>
    <s v="january"/>
    <s v="Pinnacle Innovations Group"/>
    <x v="0"/>
    <x v="2"/>
    <x v="1"/>
    <s v="Female"/>
    <n v="15"/>
    <n v="924"/>
    <n v="1024"/>
    <n v="13860"/>
    <n v="15360"/>
    <n v="1500"/>
    <s v="profit"/>
  </r>
  <r>
    <x v="55"/>
    <s v="january"/>
    <s v="Stellar Health Services"/>
    <x v="0"/>
    <x v="2"/>
    <x v="2"/>
    <s v="Female"/>
    <n v="18"/>
    <n v="601"/>
    <n v="1246"/>
    <n v="10818"/>
    <n v="22428"/>
    <n v="11610"/>
    <s v="profit"/>
  </r>
  <r>
    <x v="56"/>
    <s v="january"/>
    <s v="Radiance Design Co."/>
    <x v="0"/>
    <x v="2"/>
    <x v="3"/>
    <s v="Female"/>
    <n v="17"/>
    <n v="626"/>
    <n v="1462"/>
    <n v="10642"/>
    <n v="24854"/>
    <n v="14212"/>
    <s v="profit"/>
  </r>
  <r>
    <x v="57"/>
    <s v="january"/>
    <s v="Harmony Consulting Group"/>
    <x v="0"/>
    <x v="2"/>
    <x v="3"/>
    <s v="Female"/>
    <n v="13"/>
    <n v="542"/>
    <n v="853"/>
    <n v="7046"/>
    <n v="11089"/>
    <n v="4043"/>
    <s v="profit"/>
  </r>
  <r>
    <x v="58"/>
    <s v="may"/>
    <s v="Synergy Tech Solutions"/>
    <x v="1"/>
    <x v="5"/>
    <x v="11"/>
    <s v="Male"/>
    <n v="50"/>
    <n v="639"/>
    <n v="789"/>
    <n v="31950"/>
    <n v="39450"/>
    <n v="7500"/>
    <s v="profit"/>
  </r>
  <r>
    <x v="59"/>
    <s v="january"/>
    <s v="Apex Educational Group"/>
    <x v="0"/>
    <x v="2"/>
    <x v="5"/>
    <s v="Male"/>
    <n v="19"/>
    <n v="595"/>
    <n v="1424"/>
    <n v="11305"/>
    <n v="27056"/>
    <n v="15751"/>
    <s v="profit"/>
  </r>
  <r>
    <x v="60"/>
    <s v="january"/>
    <s v="Modern Wellness Co."/>
    <x v="0"/>
    <x v="2"/>
    <x v="3"/>
    <s v="Male"/>
    <n v="17"/>
    <n v="593"/>
    <n v="895"/>
    <n v="10081"/>
    <n v="15215"/>
    <n v="5134"/>
    <s v="profit"/>
  </r>
  <r>
    <x v="61"/>
    <s v="january"/>
    <s v="Pure Spectrum Innovations"/>
    <x v="0"/>
    <x v="2"/>
    <x v="7"/>
    <s v="Male"/>
    <n v="20"/>
    <n v="735"/>
    <n v="1277"/>
    <n v="14700"/>
    <n v="25540"/>
    <n v="10840"/>
    <s v="profit"/>
  </r>
  <r>
    <x v="62"/>
    <s v="january"/>
    <s v="Pinnacle Travel Co."/>
    <x v="0"/>
    <x v="2"/>
    <x v="17"/>
    <s v="Male"/>
    <n v="17"/>
    <n v="750"/>
    <n v="1253"/>
    <n v="12750"/>
    <n v="21301"/>
    <n v="8551"/>
    <s v="profit"/>
  </r>
  <r>
    <x v="0"/>
    <s v="june"/>
    <s v="Horizon Wellness"/>
    <x v="0"/>
    <x v="0"/>
    <x v="0"/>
    <s v="Female"/>
    <n v="11"/>
    <n v="601"/>
    <n v="1323"/>
    <n v="6611"/>
    <n v="14553"/>
    <n v="7942"/>
    <s v="profit"/>
  </r>
  <r>
    <x v="1"/>
    <s v="june"/>
    <s v="True Value Electronics"/>
    <x v="0"/>
    <x v="0"/>
    <x v="1"/>
    <s v="Female"/>
    <n v="20"/>
    <n v="857"/>
    <n v="983"/>
    <n v="17140"/>
    <n v="19660"/>
    <n v="2520"/>
    <s v="profit"/>
  </r>
  <r>
    <x v="2"/>
    <s v="june"/>
    <s v="Harmony Homes Realty"/>
    <x v="0"/>
    <x v="0"/>
    <x v="2"/>
    <s v="Female"/>
    <n v="11"/>
    <n v="774"/>
    <n v="1363"/>
    <n v="8514"/>
    <n v="14993"/>
    <n v="6479"/>
    <s v="profit"/>
  </r>
  <r>
    <x v="3"/>
    <s v="june"/>
    <s v="Stellar Advertising"/>
    <x v="0"/>
    <x v="0"/>
    <x v="3"/>
    <s v="Female"/>
    <n v="13"/>
    <n v="986"/>
    <n v="1073"/>
    <n v="12818"/>
    <n v="13949"/>
    <n v="1131"/>
    <s v="profit"/>
  </r>
  <r>
    <x v="4"/>
    <s v="june"/>
    <s v="Modern Trends Retail"/>
    <x v="0"/>
    <x v="0"/>
    <x v="4"/>
    <s v="Male"/>
    <n v="12"/>
    <n v="997"/>
    <n v="1445"/>
    <n v="11964"/>
    <n v="17340"/>
    <n v="5376"/>
    <s v="profit"/>
  </r>
  <r>
    <x v="5"/>
    <s v="june"/>
    <s v="Global Spectrum Consulting"/>
    <x v="0"/>
    <x v="0"/>
    <x v="5"/>
    <s v="Male"/>
    <n v="20"/>
    <n v="941"/>
    <n v="1053"/>
    <n v="18820"/>
    <n v="21060"/>
    <n v="2240"/>
    <s v="profit"/>
  </r>
  <r>
    <x v="7"/>
    <s v="june"/>
    <s v="Radiant Vision Studios"/>
    <x v="0"/>
    <x v="2"/>
    <x v="6"/>
    <s v="Female"/>
    <n v="19"/>
    <n v="952"/>
    <n v="1486"/>
    <n v="18088"/>
    <n v="28234"/>
    <n v="10146"/>
    <s v="profit"/>
  </r>
  <r>
    <x v="8"/>
    <s v="june"/>
    <s v="Noble Travel Services"/>
    <x v="0"/>
    <x v="2"/>
    <x v="7"/>
    <s v="Female"/>
    <n v="11"/>
    <n v="503"/>
    <n v="762"/>
    <n v="5533"/>
    <n v="8382"/>
    <n v="2849"/>
    <s v="profit"/>
  </r>
  <r>
    <x v="9"/>
    <s v="july"/>
    <s v="Bright Future Academy"/>
    <x v="0"/>
    <x v="2"/>
    <x v="7"/>
    <s v="Female"/>
    <n v="10"/>
    <n v="719"/>
    <n v="862"/>
    <n v="7190"/>
    <n v="8620"/>
    <n v="1430"/>
    <s v="profit"/>
  </r>
  <r>
    <x v="10"/>
    <s v="july"/>
    <s v="Visionary Health Systems"/>
    <x v="0"/>
    <x v="2"/>
    <x v="4"/>
    <s v="Female"/>
    <n v="15"/>
    <n v="941"/>
    <n v="913"/>
    <n v="14115"/>
    <n v="13695"/>
    <n v="-420"/>
    <s v="loss"/>
  </r>
  <r>
    <x v="11"/>
    <s v="july"/>
    <s v="Apex Retailers"/>
    <x v="0"/>
    <x v="2"/>
    <x v="8"/>
    <s v="Female"/>
    <n v="15"/>
    <n v="937"/>
    <n v="1427"/>
    <n v="14055"/>
    <n v="21405"/>
    <n v="7350"/>
    <s v="profit"/>
  </r>
  <r>
    <x v="13"/>
    <s v="july"/>
    <s v="Prestige Property Developers"/>
    <x v="0"/>
    <x v="2"/>
    <x v="9"/>
    <s v="Female"/>
    <n v="11"/>
    <n v="674"/>
    <n v="1415"/>
    <n v="7414"/>
    <n v="15565"/>
    <n v="8151"/>
    <s v="profit"/>
  </r>
  <r>
    <x v="63"/>
    <s v="june"/>
    <s v="Radiant Enterprise Solutions"/>
    <x v="0"/>
    <x v="0"/>
    <x v="3"/>
    <s v="Female"/>
    <n v="20"/>
    <n v="827"/>
    <n v="816"/>
    <n v="16540"/>
    <n v="16320"/>
    <n v="-220"/>
    <s v="loss"/>
  </r>
  <r>
    <x v="14"/>
    <s v="july"/>
    <s v="Classic Trends Fashion"/>
    <x v="0"/>
    <x v="2"/>
    <x v="4"/>
    <s v="Male"/>
    <n v="20"/>
    <n v="596"/>
    <n v="1255"/>
    <n v="11920"/>
    <n v="25100"/>
    <n v="13180"/>
    <s v="profit"/>
  </r>
  <r>
    <x v="15"/>
    <s v="july"/>
    <s v="Harmony Ventures"/>
    <x v="0"/>
    <x v="2"/>
    <x v="10"/>
    <s v="Male"/>
    <n v="20"/>
    <n v="689"/>
    <n v="939"/>
    <n v="13780"/>
    <n v="18780"/>
    <n v="5000"/>
    <s v="profit"/>
  </r>
  <r>
    <x v="16"/>
    <s v="july"/>
    <s v="Stellar Realty"/>
    <x v="0"/>
    <x v="2"/>
    <x v="11"/>
    <s v="Male"/>
    <n v="17"/>
    <n v="990"/>
    <n v="1391"/>
    <n v="16830"/>
    <n v="23647"/>
    <n v="6817"/>
    <s v="profit"/>
  </r>
  <r>
    <x v="17"/>
    <s v="july"/>
    <s v="Future Path Technologies"/>
    <x v="0"/>
    <x v="2"/>
    <x v="6"/>
    <s v="Male"/>
    <n v="20"/>
    <n v="589"/>
    <n v="773"/>
    <n v="11780"/>
    <n v="15460"/>
    <n v="3680"/>
    <s v="profit"/>
  </r>
  <r>
    <x v="18"/>
    <s v="july"/>
    <s v="Elite Edge Services"/>
    <x v="0"/>
    <x v="2"/>
    <x v="7"/>
    <s v="Female"/>
    <n v="17"/>
    <n v="773"/>
    <n v="1266"/>
    <n v="13141"/>
    <n v="21522"/>
    <n v="8381"/>
    <s v="profit"/>
  </r>
  <r>
    <x v="64"/>
    <s v="june"/>
    <s v="Infinite Solutions"/>
    <x v="1"/>
    <x v="5"/>
    <x v="8"/>
    <s v="Female"/>
    <n v="75"/>
    <n v="859"/>
    <n v="1486"/>
    <n v="64425"/>
    <n v="111450"/>
    <n v="47025"/>
    <s v="profit"/>
  </r>
  <r>
    <x v="19"/>
    <s v="august"/>
    <s v="Modern Harmony Products"/>
    <x v="0"/>
    <x v="2"/>
    <x v="8"/>
    <s v="Female"/>
    <n v="11"/>
    <n v="830"/>
    <n v="1386"/>
    <n v="9130"/>
    <n v="15246"/>
    <n v="6116"/>
    <s v="profit"/>
  </r>
  <r>
    <x v="20"/>
    <s v="august"/>
    <s v="Horizon Builders &amp; Developers"/>
    <x v="0"/>
    <x v="2"/>
    <x v="12"/>
    <s v="Female"/>
    <n v="11"/>
    <n v="930"/>
    <n v="876"/>
    <n v="10230"/>
    <n v="9636"/>
    <n v="-594"/>
    <s v="loss"/>
  </r>
  <r>
    <x v="21"/>
    <s v="august"/>
    <s v="Legacy Apparel"/>
    <x v="0"/>
    <x v="2"/>
    <x v="7"/>
    <s v="Female"/>
    <n v="19"/>
    <n v="654"/>
    <n v="1295"/>
    <n v="12426"/>
    <n v="24605"/>
    <n v="12179"/>
    <s v="profit"/>
  </r>
  <r>
    <x v="23"/>
    <s v="august"/>
    <s v="Pinnacle Education Group"/>
    <x v="0"/>
    <x v="2"/>
    <x v="7"/>
    <s v="Female"/>
    <n v="18"/>
    <n v="767"/>
    <n v="988"/>
    <n v="13806"/>
    <n v="17784"/>
    <n v="3978"/>
    <s v="profit"/>
  </r>
  <r>
    <x v="25"/>
    <s v="august"/>
    <s v="Noble Innovations"/>
    <x v="0"/>
    <x v="2"/>
    <x v="8"/>
    <s v="Male"/>
    <n v="12"/>
    <n v="654"/>
    <n v="788"/>
    <n v="7848"/>
    <n v="9456"/>
    <n v="1608"/>
    <s v="profit"/>
  </r>
  <r>
    <x v="26"/>
    <s v="august"/>
    <s v="Crystal Clear Realty"/>
    <x v="0"/>
    <x v="2"/>
    <x v="4"/>
    <s v="Male"/>
    <n v="11"/>
    <n v="827"/>
    <n v="765"/>
    <n v="9097"/>
    <n v="8415"/>
    <n v="-682"/>
    <s v="loss"/>
  </r>
  <r>
    <x v="27"/>
    <s v="september"/>
    <s v="Apex Publishing House"/>
    <x v="0"/>
    <x v="2"/>
    <x v="14"/>
    <s v="Male"/>
    <n v="12"/>
    <n v="561"/>
    <n v="1162"/>
    <n v="6732"/>
    <n v="13944"/>
    <n v="7212"/>
    <s v="profit"/>
  </r>
  <r>
    <x v="28"/>
    <s v="september"/>
    <s v="True Value Consulting"/>
    <x v="0"/>
    <x v="2"/>
    <x v="8"/>
    <s v="Male"/>
    <n v="12"/>
    <n v="879"/>
    <n v="1428"/>
    <n v="10548"/>
    <n v="17136"/>
    <n v="6588"/>
    <s v="profit"/>
  </r>
  <r>
    <x v="29"/>
    <s v="september"/>
    <s v="Future Path Ventures"/>
    <x v="0"/>
    <x v="2"/>
    <x v="3"/>
    <s v="Male"/>
    <n v="13"/>
    <n v="523"/>
    <n v="1326"/>
    <n v="6799"/>
    <n v="17238"/>
    <n v="10439"/>
    <s v="profit"/>
  </r>
  <r>
    <x v="30"/>
    <s v="september"/>
    <s v="Stellar Tech Services"/>
    <x v="0"/>
    <x v="2"/>
    <x v="13"/>
    <s v="Male"/>
    <n v="10"/>
    <n v="990"/>
    <n v="1030"/>
    <n v="9900"/>
    <n v="10300"/>
    <n v="400"/>
    <s v="profit"/>
  </r>
  <r>
    <x v="65"/>
    <s v="july"/>
    <s v="Synergy Solutions Group"/>
    <x v="0"/>
    <x v="2"/>
    <x v="8"/>
    <s v="Female"/>
    <n v="15"/>
    <n v="910"/>
    <n v="916"/>
    <n v="13650"/>
    <n v="13740"/>
    <n v="90"/>
    <s v="profit"/>
  </r>
  <r>
    <x v="31"/>
    <s v="september"/>
    <s v="Legacy Travel Agency"/>
    <x v="0"/>
    <x v="2"/>
    <x v="15"/>
    <s v="Female"/>
    <n v="12"/>
    <n v="707"/>
    <n v="1203"/>
    <n v="8484"/>
    <n v="14436"/>
    <n v="5952"/>
    <s v="profit"/>
  </r>
  <r>
    <x v="32"/>
    <s v="september"/>
    <s v="Harmony Innovations"/>
    <x v="0"/>
    <x v="2"/>
    <x v="16"/>
    <s v="Female"/>
    <n v="13"/>
    <n v="515"/>
    <n v="1095"/>
    <n v="6695"/>
    <n v="14235"/>
    <n v="7540"/>
    <s v="profit"/>
  </r>
  <r>
    <x v="33"/>
    <s v="september"/>
    <s v="Elite Media Group"/>
    <x v="0"/>
    <x v="2"/>
    <x v="8"/>
    <s v="Female"/>
    <n v="12"/>
    <n v="671"/>
    <n v="850"/>
    <n v="8052"/>
    <n v="10200"/>
    <n v="2148"/>
    <s v="profit"/>
  </r>
  <r>
    <x v="34"/>
    <s v="september"/>
    <s v="Radiant Construction"/>
    <x v="0"/>
    <x v="2"/>
    <x v="12"/>
    <s v="Female"/>
    <n v="12"/>
    <n v="500"/>
    <n v="1276"/>
    <n v="6000"/>
    <n v="15312"/>
    <n v="9312"/>
    <s v="profit"/>
  </r>
  <r>
    <x v="35"/>
    <s v="september"/>
    <s v="Pinnacle Finance"/>
    <x v="0"/>
    <x v="2"/>
    <x v="6"/>
    <s v="Female"/>
    <n v="18"/>
    <n v="602"/>
    <n v="1401"/>
    <n v="10836"/>
    <n v="25218"/>
    <n v="14382"/>
    <s v="profit"/>
  </r>
  <r>
    <x v="36"/>
    <s v="september"/>
    <s v="Horizon Tech Ventures"/>
    <x v="0"/>
    <x v="2"/>
    <x v="7"/>
    <s v="Female"/>
    <n v="18"/>
    <n v="629"/>
    <n v="945"/>
    <n v="11322"/>
    <n v="17010"/>
    <n v="5688"/>
    <s v="profit"/>
  </r>
  <r>
    <x v="37"/>
    <s v="september"/>
    <s v="Elite Edge Consulting"/>
    <x v="0"/>
    <x v="0"/>
    <x v="6"/>
    <s v="Male"/>
    <n v="17"/>
    <n v="565"/>
    <n v="1281"/>
    <n v="9605"/>
    <n v="21777"/>
    <n v="12172"/>
    <s v="profit"/>
  </r>
  <r>
    <x v="38"/>
    <s v="september"/>
    <s v="Harmony Tech Ventures"/>
    <x v="0"/>
    <x v="0"/>
    <x v="7"/>
    <s v="Female"/>
    <n v="10"/>
    <n v="917"/>
    <n v="1107"/>
    <n v="9170"/>
    <n v="11070"/>
    <n v="1900"/>
    <s v="profit"/>
  </r>
  <r>
    <x v="39"/>
    <s v="october"/>
    <s v="Radiant Fitness Studio"/>
    <x v="0"/>
    <x v="0"/>
    <x v="13"/>
    <s v="Female"/>
    <n v="18"/>
    <n v="867"/>
    <n v="875"/>
    <n v="15606"/>
    <n v="15750"/>
    <n v="144"/>
    <s v="profit"/>
  </r>
  <r>
    <x v="40"/>
    <s v="october"/>
    <s v="Zenith Finance Co."/>
    <x v="0"/>
    <x v="0"/>
    <x v="12"/>
    <s v="Female"/>
    <n v="10"/>
    <n v="757"/>
    <n v="885"/>
    <n v="7570"/>
    <n v="8850"/>
    <n v="1280"/>
    <s v="profit"/>
  </r>
  <r>
    <x v="41"/>
    <s v="october"/>
    <s v="Apex Events Management"/>
    <x v="0"/>
    <x v="0"/>
    <x v="7"/>
    <s v="Female"/>
    <n v="18"/>
    <n v="668"/>
    <n v="1366"/>
    <n v="12024"/>
    <n v="24588"/>
    <n v="12564"/>
    <s v="profit"/>
  </r>
  <r>
    <x v="42"/>
    <s v="october"/>
    <s v="Stellar Media Group"/>
    <x v="0"/>
    <x v="2"/>
    <x v="5"/>
    <s v="Male"/>
    <n v="20"/>
    <n v="882"/>
    <n v="1193"/>
    <n v="17640"/>
    <n v="23860"/>
    <n v="6220"/>
    <s v="profit"/>
  </r>
  <r>
    <x v="66"/>
    <s v="july"/>
    <s v="Horizon Tech Solutions"/>
    <x v="2"/>
    <x v="6"/>
    <x v="7"/>
    <s v="Female"/>
    <n v="26"/>
    <n v="627"/>
    <n v="1416"/>
    <n v="16302"/>
    <n v="36816"/>
    <n v="20514"/>
    <s v="profit"/>
  </r>
  <r>
    <x v="43"/>
    <s v="october"/>
    <s v="Harmony Finance Co."/>
    <x v="0"/>
    <x v="2"/>
    <x v="3"/>
    <s v="Male"/>
    <n v="17"/>
    <n v="739"/>
    <n v="826"/>
    <n v="12563"/>
    <n v="14042"/>
    <n v="1479"/>
    <s v="profit"/>
  </r>
  <r>
    <x v="44"/>
    <s v="october"/>
    <s v="Pure Vision Ventures"/>
    <x v="0"/>
    <x v="2"/>
    <x v="15"/>
    <s v="Male"/>
    <n v="15"/>
    <n v="563"/>
    <n v="1069"/>
    <n v="8445"/>
    <n v="16035"/>
    <n v="7590"/>
    <s v="profit"/>
  </r>
  <r>
    <x v="45"/>
    <s v="october"/>
    <s v="Legacy Travel Services"/>
    <x v="0"/>
    <x v="2"/>
    <x v="6"/>
    <s v="Female"/>
    <n v="15"/>
    <n v="662"/>
    <n v="1183"/>
    <n v="9930"/>
    <n v="17745"/>
    <n v="7815"/>
    <s v="profit"/>
  </r>
  <r>
    <x v="46"/>
    <s v="october"/>
    <s v="Elite Spectrum Media"/>
    <x v="0"/>
    <x v="2"/>
    <x v="7"/>
    <s v="Female"/>
    <n v="16"/>
    <n v="846"/>
    <n v="1375"/>
    <n v="13536"/>
    <n v="22000"/>
    <n v="8464"/>
    <s v="profit"/>
  </r>
  <r>
    <x v="47"/>
    <s v="october"/>
    <s v="Pinnacle Design Studio"/>
    <x v="0"/>
    <x v="2"/>
    <x v="13"/>
    <s v="Female"/>
    <n v="14"/>
    <n v="777"/>
    <n v="1192"/>
    <n v="10878"/>
    <n v="16688"/>
    <n v="5810"/>
    <s v="profit"/>
  </r>
  <r>
    <x v="48"/>
    <s v="january"/>
    <s v="Legacy Travel Ventures"/>
    <x v="0"/>
    <x v="0"/>
    <x v="3"/>
    <s v="Female"/>
    <n v="16"/>
    <n v="632"/>
    <n v="835"/>
    <n v="10112"/>
    <n v="13360"/>
    <n v="3248"/>
    <s v="profit"/>
  </r>
  <r>
    <x v="50"/>
    <s v="january"/>
    <s v="Stellar Design Group"/>
    <x v="0"/>
    <x v="0"/>
    <x v="14"/>
    <s v="Female"/>
    <n v="11"/>
    <n v="731"/>
    <n v="1311"/>
    <n v="8041"/>
    <n v="14421"/>
    <n v="6380"/>
    <s v="profit"/>
  </r>
  <r>
    <x v="51"/>
    <s v="january"/>
    <s v="Horizon Ventures Co."/>
    <x v="0"/>
    <x v="0"/>
    <x v="1"/>
    <s v="Female"/>
    <n v="10"/>
    <n v="774"/>
    <n v="1472"/>
    <n v="7740"/>
    <n v="14720"/>
    <n v="6980"/>
    <s v="profit"/>
  </r>
  <r>
    <x v="52"/>
    <s v="january"/>
    <s v="Zenith Wellness Services"/>
    <x v="0"/>
    <x v="0"/>
    <x v="3"/>
    <s v="Male"/>
    <n v="11"/>
    <n v="986"/>
    <n v="1228"/>
    <n v="10846"/>
    <n v="13508"/>
    <n v="2662"/>
    <s v="profit"/>
  </r>
  <r>
    <x v="53"/>
    <s v="january"/>
    <s v="Legacy Travel Co."/>
    <x v="0"/>
    <x v="2"/>
    <x v="0"/>
    <s v="Female"/>
    <n v="11"/>
    <n v="519"/>
    <n v="1143"/>
    <n v="5709"/>
    <n v="12573"/>
    <n v="6864"/>
    <s v="profit"/>
  </r>
  <r>
    <x v="54"/>
    <s v="january"/>
    <s v="Pinnacle Innovations Group"/>
    <x v="0"/>
    <x v="2"/>
    <x v="1"/>
    <s v="Female"/>
    <n v="20"/>
    <n v="597"/>
    <n v="1175"/>
    <n v="11940"/>
    <n v="23500"/>
    <n v="11560"/>
    <s v="profit"/>
  </r>
  <r>
    <x v="55"/>
    <s v="january"/>
    <s v="Stellar Health Services"/>
    <x v="0"/>
    <x v="2"/>
    <x v="2"/>
    <s v="Female"/>
    <n v="18"/>
    <n v="632"/>
    <n v="1384"/>
    <n v="11376"/>
    <n v="24912"/>
    <n v="13536"/>
    <s v="profit"/>
  </r>
  <r>
    <x v="56"/>
    <s v="january"/>
    <s v="Radiance Design Co."/>
    <x v="0"/>
    <x v="2"/>
    <x v="3"/>
    <s v="Female"/>
    <n v="17"/>
    <n v="649"/>
    <n v="1392"/>
    <n v="11033"/>
    <n v="23664"/>
    <n v="12631"/>
    <s v="profit"/>
  </r>
  <r>
    <x v="57"/>
    <s v="january"/>
    <s v="Harmony Consulting Group"/>
    <x v="0"/>
    <x v="2"/>
    <x v="3"/>
    <s v="Female"/>
    <n v="18"/>
    <n v="587"/>
    <n v="905"/>
    <n v="10566"/>
    <n v="16290"/>
    <n v="5724"/>
    <s v="profit"/>
  </r>
  <r>
    <x v="59"/>
    <s v="january"/>
    <s v="Apex Educational Group"/>
    <x v="0"/>
    <x v="2"/>
    <x v="5"/>
    <s v="Male"/>
    <n v="19"/>
    <n v="701"/>
    <n v="1136"/>
    <n v="13319"/>
    <n v="21584"/>
    <n v="8265"/>
    <s v="profit"/>
  </r>
  <r>
    <x v="60"/>
    <s v="january"/>
    <s v="Modern Wellness Co."/>
    <x v="0"/>
    <x v="2"/>
    <x v="3"/>
    <s v="Male"/>
    <n v="19"/>
    <n v="972"/>
    <n v="1314"/>
    <n v="18468"/>
    <n v="24966"/>
    <n v="6498"/>
    <s v="profit"/>
  </r>
  <r>
    <x v="61"/>
    <s v="january"/>
    <s v="Pure Spectrum Innovations"/>
    <x v="0"/>
    <x v="2"/>
    <x v="7"/>
    <s v="Male"/>
    <n v="13"/>
    <n v="615"/>
    <n v="1010"/>
    <n v="7995"/>
    <n v="13130"/>
    <n v="5135"/>
    <s v="profit"/>
  </r>
  <r>
    <x v="62"/>
    <s v="january"/>
    <s v="Pinnacle Travel Co."/>
    <x v="0"/>
    <x v="2"/>
    <x v="17"/>
    <s v="Male"/>
    <n v="19"/>
    <n v="864"/>
    <n v="1147"/>
    <n v="16416"/>
    <n v="21793"/>
    <n v="5377"/>
    <s v="profit"/>
  </r>
  <r>
    <x v="67"/>
    <s v="august"/>
    <s v="Apex Wellness Solutions"/>
    <x v="1"/>
    <x v="7"/>
    <x v="15"/>
    <s v="Male"/>
    <n v="86"/>
    <n v="540"/>
    <n v="1460"/>
    <n v="46440"/>
    <n v="125560"/>
    <n v="79120"/>
    <s v="profit"/>
  </r>
  <r>
    <x v="0"/>
    <s v="june"/>
    <s v="Horizon Wellness"/>
    <x v="0"/>
    <x v="0"/>
    <x v="0"/>
    <s v="Female"/>
    <n v="13"/>
    <n v="643"/>
    <n v="1432"/>
    <n v="8359"/>
    <n v="18616"/>
    <n v="10257"/>
    <s v="profit"/>
  </r>
  <r>
    <x v="1"/>
    <s v="june"/>
    <s v="True Value Electronics"/>
    <x v="0"/>
    <x v="0"/>
    <x v="1"/>
    <s v="Female"/>
    <n v="16"/>
    <n v="848"/>
    <n v="1211"/>
    <n v="13568"/>
    <n v="19376"/>
    <n v="5808"/>
    <s v="profit"/>
  </r>
  <r>
    <x v="2"/>
    <s v="june"/>
    <s v="Harmony Homes Realty"/>
    <x v="0"/>
    <x v="0"/>
    <x v="2"/>
    <s v="Female"/>
    <n v="19"/>
    <n v="982"/>
    <n v="1457"/>
    <n v="18658"/>
    <n v="27683"/>
    <n v="9025"/>
    <s v="profit"/>
  </r>
  <r>
    <x v="3"/>
    <s v="june"/>
    <s v="Stellar Advertising"/>
    <x v="0"/>
    <x v="0"/>
    <x v="3"/>
    <s v="Female"/>
    <n v="19"/>
    <n v="918"/>
    <n v="864"/>
    <n v="17442"/>
    <n v="16416"/>
    <n v="-1026"/>
    <s v="loss"/>
  </r>
  <r>
    <x v="68"/>
    <s v="august"/>
    <s v="Radiance Tech Solutions"/>
    <x v="0"/>
    <x v="2"/>
    <x v="6"/>
    <s v="Female"/>
    <n v="10"/>
    <n v="863"/>
    <n v="1386"/>
    <n v="8630"/>
    <n v="13860"/>
    <n v="5230"/>
    <s v="profit"/>
  </r>
  <r>
    <x v="4"/>
    <s v="june"/>
    <s v="Modern Trends Retail"/>
    <x v="0"/>
    <x v="0"/>
    <x v="4"/>
    <s v="Male"/>
    <n v="17"/>
    <n v="787"/>
    <n v="1108"/>
    <n v="13379"/>
    <n v="18836"/>
    <n v="5457"/>
    <s v="profit"/>
  </r>
  <r>
    <x v="5"/>
    <s v="june"/>
    <s v="Global Spectrum Consulting"/>
    <x v="0"/>
    <x v="0"/>
    <x v="5"/>
    <s v="Male"/>
    <n v="15"/>
    <n v="545"/>
    <n v="1182"/>
    <n v="8175"/>
    <n v="17730"/>
    <n v="9555"/>
    <s v="profit"/>
  </r>
  <r>
    <x v="7"/>
    <s v="june"/>
    <s v="Radiant Vision Studios"/>
    <x v="0"/>
    <x v="2"/>
    <x v="6"/>
    <s v="Female"/>
    <n v="11"/>
    <n v="616"/>
    <n v="1015"/>
    <n v="6776"/>
    <n v="11165"/>
    <n v="4389"/>
    <s v="profit"/>
  </r>
  <r>
    <x v="8"/>
    <s v="june"/>
    <s v="Noble Travel Services"/>
    <x v="0"/>
    <x v="2"/>
    <x v="7"/>
    <s v="Female"/>
    <n v="16"/>
    <n v="911"/>
    <n v="1299"/>
    <n v="14576"/>
    <n v="20784"/>
    <n v="6208"/>
    <s v="profit"/>
  </r>
  <r>
    <x v="9"/>
    <s v="july"/>
    <s v="Bright Future Academy"/>
    <x v="0"/>
    <x v="2"/>
    <x v="7"/>
    <s v="Female"/>
    <n v="19"/>
    <n v="816"/>
    <n v="1285"/>
    <n v="15504"/>
    <n v="24415"/>
    <n v="8911"/>
    <s v="profit"/>
  </r>
  <r>
    <x v="10"/>
    <s v="july"/>
    <s v="Visionary Health Systems"/>
    <x v="0"/>
    <x v="2"/>
    <x v="4"/>
    <s v="Female"/>
    <n v="16"/>
    <n v="693"/>
    <n v="1042"/>
    <n v="11088"/>
    <n v="16672"/>
    <n v="5584"/>
    <s v="profit"/>
  </r>
  <r>
    <x v="11"/>
    <s v="july"/>
    <s v="Apex Retailers"/>
    <x v="0"/>
    <x v="2"/>
    <x v="8"/>
    <s v="Female"/>
    <n v="14"/>
    <n v="965"/>
    <n v="1212"/>
    <n v="13510"/>
    <n v="16968"/>
    <n v="3458"/>
    <s v="profit"/>
  </r>
  <r>
    <x v="69"/>
    <s v="august"/>
    <s v="Apex Enterprise Solutions"/>
    <x v="2"/>
    <x v="6"/>
    <x v="10"/>
    <s v="Male"/>
    <n v="26"/>
    <n v="715"/>
    <n v="840"/>
    <n v="18590"/>
    <n v="21840"/>
    <n v="3250"/>
    <s v="profit"/>
  </r>
  <r>
    <x v="13"/>
    <s v="july"/>
    <s v="Prestige Property Developers"/>
    <x v="0"/>
    <x v="2"/>
    <x v="9"/>
    <s v="Female"/>
    <n v="20"/>
    <n v="960"/>
    <n v="1170"/>
    <n v="19200"/>
    <n v="23400"/>
    <n v="4200"/>
    <s v="profit"/>
  </r>
  <r>
    <x v="14"/>
    <s v="july"/>
    <s v="Classic Trends Fashion"/>
    <x v="0"/>
    <x v="2"/>
    <x v="4"/>
    <s v="Male"/>
    <n v="16"/>
    <n v="734"/>
    <n v="1330"/>
    <n v="11744"/>
    <n v="21280"/>
    <n v="9536"/>
    <s v="profit"/>
  </r>
  <r>
    <x v="15"/>
    <s v="july"/>
    <s v="Harmony Ventures"/>
    <x v="0"/>
    <x v="2"/>
    <x v="10"/>
    <s v="Male"/>
    <n v="16"/>
    <n v="673"/>
    <n v="1233"/>
    <n v="10768"/>
    <n v="19728"/>
    <n v="8960"/>
    <s v="profit"/>
  </r>
  <r>
    <x v="16"/>
    <s v="july"/>
    <s v="Stellar Realty"/>
    <x v="0"/>
    <x v="2"/>
    <x v="11"/>
    <s v="Male"/>
    <n v="14"/>
    <n v="782"/>
    <n v="835"/>
    <n v="10948"/>
    <n v="11690"/>
    <n v="742"/>
    <s v="profit"/>
  </r>
  <r>
    <x v="17"/>
    <s v="july"/>
    <s v="Future Path Technologies"/>
    <x v="0"/>
    <x v="2"/>
    <x v="6"/>
    <s v="Male"/>
    <n v="19"/>
    <n v="536"/>
    <n v="927"/>
    <n v="10184"/>
    <n v="17613"/>
    <n v="7429"/>
    <s v="profit"/>
  </r>
  <r>
    <x v="70"/>
    <s v="august"/>
    <s v="Prestige Solutions"/>
    <x v="2"/>
    <x v="6"/>
    <x v="13"/>
    <s v="Female"/>
    <n v="23"/>
    <n v="923"/>
    <n v="897"/>
    <n v="21229"/>
    <n v="20631"/>
    <n v="-598"/>
    <s v="loss"/>
  </r>
  <r>
    <x v="18"/>
    <s v="july"/>
    <s v="Elite Edge Services"/>
    <x v="0"/>
    <x v="2"/>
    <x v="7"/>
    <s v="Female"/>
    <n v="11"/>
    <n v="991"/>
    <n v="803"/>
    <n v="10901"/>
    <n v="8833"/>
    <n v="-2068"/>
    <s v="loss"/>
  </r>
  <r>
    <x v="19"/>
    <s v="august"/>
    <s v="Modern Harmony Products"/>
    <x v="0"/>
    <x v="2"/>
    <x v="8"/>
    <s v="Female"/>
    <n v="10"/>
    <n v="844"/>
    <n v="865"/>
    <n v="8440"/>
    <n v="8650"/>
    <n v="210"/>
    <s v="profit"/>
  </r>
  <r>
    <x v="20"/>
    <s v="august"/>
    <s v="Horizon Builders &amp; Developers"/>
    <x v="0"/>
    <x v="2"/>
    <x v="12"/>
    <s v="Female"/>
    <n v="20"/>
    <n v="803"/>
    <n v="1377"/>
    <n v="16060"/>
    <n v="27540"/>
    <n v="11480"/>
    <s v="profit"/>
  </r>
  <r>
    <x v="21"/>
    <s v="august"/>
    <s v="Legacy Apparel"/>
    <x v="0"/>
    <x v="2"/>
    <x v="7"/>
    <s v="Female"/>
    <n v="12"/>
    <n v="606"/>
    <n v="1154"/>
    <n v="7272"/>
    <n v="13848"/>
    <n v="6576"/>
    <s v="profit"/>
  </r>
  <r>
    <x v="23"/>
    <s v="august"/>
    <s v="Pinnacle Education Group"/>
    <x v="0"/>
    <x v="2"/>
    <x v="7"/>
    <s v="Female"/>
    <n v="11"/>
    <n v="622"/>
    <n v="767"/>
    <n v="6842"/>
    <n v="8437"/>
    <n v="1595"/>
    <s v="profit"/>
  </r>
  <r>
    <x v="25"/>
    <s v="august"/>
    <s v="Noble Innovations"/>
    <x v="0"/>
    <x v="2"/>
    <x v="8"/>
    <s v="Male"/>
    <n v="17"/>
    <n v="671"/>
    <n v="906"/>
    <n v="11407"/>
    <n v="15402"/>
    <n v="3995"/>
    <s v="profit"/>
  </r>
  <r>
    <x v="26"/>
    <s v="august"/>
    <s v="Crystal Clear Realty"/>
    <x v="0"/>
    <x v="2"/>
    <x v="4"/>
    <s v="Male"/>
    <n v="12"/>
    <n v="814"/>
    <n v="1392"/>
    <n v="9768"/>
    <n v="16704"/>
    <n v="6936"/>
    <s v="profit"/>
  </r>
  <r>
    <x v="27"/>
    <s v="september"/>
    <s v="Apex Publishing House"/>
    <x v="0"/>
    <x v="2"/>
    <x v="14"/>
    <s v="Male"/>
    <n v="11"/>
    <n v="960"/>
    <n v="939"/>
    <n v="10560"/>
    <n v="10329"/>
    <n v="-231"/>
    <s v="loss"/>
  </r>
  <r>
    <x v="71"/>
    <s v="august"/>
    <s v="Urban Wave Solutions"/>
    <x v="1"/>
    <x v="5"/>
    <x v="1"/>
    <s v="Male"/>
    <n v="89"/>
    <n v="910"/>
    <n v="1261"/>
    <n v="80990"/>
    <n v="112229"/>
    <n v="31239"/>
    <s v="profit"/>
  </r>
  <r>
    <x v="28"/>
    <s v="september"/>
    <s v="True Value Consulting"/>
    <x v="0"/>
    <x v="2"/>
    <x v="8"/>
    <s v="Male"/>
    <n v="10"/>
    <n v="654"/>
    <n v="1029"/>
    <n v="6540"/>
    <n v="10290"/>
    <n v="3750"/>
    <s v="profit"/>
  </r>
  <r>
    <x v="29"/>
    <s v="september"/>
    <s v="Future Path Ventures"/>
    <x v="0"/>
    <x v="2"/>
    <x v="3"/>
    <s v="Male"/>
    <n v="14"/>
    <n v="504"/>
    <n v="1130"/>
    <n v="7056"/>
    <n v="15820"/>
    <n v="8764"/>
    <s v="profit"/>
  </r>
  <r>
    <x v="30"/>
    <s v="september"/>
    <s v="Stellar Tech Services"/>
    <x v="0"/>
    <x v="2"/>
    <x v="13"/>
    <s v="Male"/>
    <n v="12"/>
    <n v="886"/>
    <n v="1233"/>
    <n v="10632"/>
    <n v="14796"/>
    <n v="4164"/>
    <s v="profit"/>
  </r>
  <r>
    <x v="31"/>
    <s v="september"/>
    <s v="Legacy Travel Agency"/>
    <x v="0"/>
    <x v="2"/>
    <x v="15"/>
    <s v="Female"/>
    <n v="10"/>
    <n v="554"/>
    <n v="1210"/>
    <n v="5540"/>
    <n v="12100"/>
    <n v="6560"/>
    <s v="profit"/>
  </r>
  <r>
    <x v="72"/>
    <s v="september"/>
    <s v="Visionary Realty Solutions"/>
    <x v="1"/>
    <x v="7"/>
    <x v="5"/>
    <s v="Female"/>
    <n v="59"/>
    <n v="764"/>
    <n v="1365"/>
    <n v="45076"/>
    <n v="80535"/>
    <n v="35459"/>
    <s v="profit"/>
  </r>
  <r>
    <x v="32"/>
    <s v="september"/>
    <s v="Harmony Innovations"/>
    <x v="0"/>
    <x v="2"/>
    <x v="16"/>
    <s v="Female"/>
    <n v="14"/>
    <n v="933"/>
    <n v="1064"/>
    <n v="13062"/>
    <n v="14896"/>
    <n v="1834"/>
    <s v="profit"/>
  </r>
  <r>
    <x v="33"/>
    <s v="september"/>
    <s v="Elite Media Group"/>
    <x v="0"/>
    <x v="2"/>
    <x v="8"/>
    <s v="Female"/>
    <n v="15"/>
    <n v="674"/>
    <n v="1125"/>
    <n v="10110"/>
    <n v="16875"/>
    <n v="6765"/>
    <s v="profit"/>
  </r>
  <r>
    <x v="34"/>
    <s v="september"/>
    <s v="Radiant Construction"/>
    <x v="0"/>
    <x v="2"/>
    <x v="12"/>
    <s v="Female"/>
    <n v="20"/>
    <n v="529"/>
    <n v="1455"/>
    <n v="10580"/>
    <n v="29100"/>
    <n v="18520"/>
    <s v="profit"/>
  </r>
  <r>
    <x v="35"/>
    <s v="september"/>
    <s v="Pinnacle Finance"/>
    <x v="0"/>
    <x v="2"/>
    <x v="6"/>
    <s v="Female"/>
    <n v="18"/>
    <n v="717"/>
    <n v="833"/>
    <n v="12906"/>
    <n v="14994"/>
    <n v="2088"/>
    <s v="profit"/>
  </r>
  <r>
    <x v="36"/>
    <s v="september"/>
    <s v="Horizon Tech Ventures"/>
    <x v="0"/>
    <x v="2"/>
    <x v="7"/>
    <s v="Female"/>
    <n v="17"/>
    <n v="966"/>
    <n v="1044"/>
    <n v="16422"/>
    <n v="17748"/>
    <n v="1326"/>
    <s v="profit"/>
  </r>
  <r>
    <x v="37"/>
    <s v="september"/>
    <s v="Elite Edge Consulting"/>
    <x v="0"/>
    <x v="0"/>
    <x v="6"/>
    <s v="Male"/>
    <n v="16"/>
    <n v="599"/>
    <n v="1490"/>
    <n v="9584"/>
    <n v="23840"/>
    <n v="14256"/>
    <s v="profit"/>
  </r>
  <r>
    <x v="38"/>
    <s v="september"/>
    <s v="Harmony Tech Ventures"/>
    <x v="0"/>
    <x v="0"/>
    <x v="7"/>
    <s v="Female"/>
    <n v="12"/>
    <n v="827"/>
    <n v="955"/>
    <n v="9924"/>
    <n v="11460"/>
    <n v="1536"/>
    <s v="profit"/>
  </r>
  <r>
    <x v="39"/>
    <s v="october"/>
    <s v="Radiant Fitness Studio"/>
    <x v="0"/>
    <x v="0"/>
    <x v="13"/>
    <s v="Female"/>
    <n v="17"/>
    <n v="932"/>
    <n v="808"/>
    <n v="15844"/>
    <n v="13736"/>
    <n v="-2108"/>
    <s v="loss"/>
  </r>
  <r>
    <x v="73"/>
    <s v="september"/>
    <s v="Pure Essence Solutions"/>
    <x v="0"/>
    <x v="2"/>
    <x v="6"/>
    <s v="Female"/>
    <n v="14"/>
    <n v="857"/>
    <n v="767"/>
    <n v="11998"/>
    <n v="10738"/>
    <n v="-1260"/>
    <s v="loss"/>
  </r>
  <r>
    <x v="40"/>
    <s v="october"/>
    <s v="Zenith Finance Co."/>
    <x v="0"/>
    <x v="0"/>
    <x v="12"/>
    <s v="Female"/>
    <n v="11"/>
    <n v="654"/>
    <n v="767"/>
    <n v="7194"/>
    <n v="8437"/>
    <n v="1243"/>
    <s v="profit"/>
  </r>
  <r>
    <x v="41"/>
    <s v="october"/>
    <s v="Apex Events Management"/>
    <x v="0"/>
    <x v="0"/>
    <x v="7"/>
    <s v="Female"/>
    <n v="19"/>
    <n v="764"/>
    <n v="1069"/>
    <n v="14516"/>
    <n v="20311"/>
    <n v="5795"/>
    <s v="profit"/>
  </r>
  <r>
    <x v="42"/>
    <s v="october"/>
    <s v="Stellar Media Group"/>
    <x v="0"/>
    <x v="2"/>
    <x v="5"/>
    <s v="Male"/>
    <n v="15"/>
    <n v="906"/>
    <n v="1485"/>
    <n v="13590"/>
    <n v="22275"/>
    <n v="8685"/>
    <s v="profit"/>
  </r>
  <r>
    <x v="43"/>
    <s v="october"/>
    <s v="Harmony Finance Co."/>
    <x v="0"/>
    <x v="2"/>
    <x v="3"/>
    <s v="Male"/>
    <n v="20"/>
    <n v="780"/>
    <n v="783"/>
    <n v="15600"/>
    <n v="15660"/>
    <n v="60"/>
    <s v="profit"/>
  </r>
  <r>
    <x v="74"/>
    <s v="september"/>
    <s v="Crystal Health Solutions"/>
    <x v="0"/>
    <x v="2"/>
    <x v="7"/>
    <s v="Male"/>
    <n v="14"/>
    <n v="515"/>
    <n v="1230"/>
    <n v="7210"/>
    <n v="17220"/>
    <n v="10010"/>
    <s v="profit"/>
  </r>
  <r>
    <x v="44"/>
    <s v="october"/>
    <s v="Pure Vision Ventures"/>
    <x v="0"/>
    <x v="2"/>
    <x v="15"/>
    <s v="Male"/>
    <n v="17"/>
    <n v="747"/>
    <n v="1190"/>
    <n v="12699"/>
    <n v="20230"/>
    <n v="7531"/>
    <s v="profit"/>
  </r>
  <r>
    <x v="45"/>
    <s v="october"/>
    <s v="Legacy Travel Services"/>
    <x v="0"/>
    <x v="2"/>
    <x v="6"/>
    <s v="Female"/>
    <n v="15"/>
    <n v="747"/>
    <n v="966"/>
    <n v="11205"/>
    <n v="14490"/>
    <n v="3285"/>
    <s v="profit"/>
  </r>
  <r>
    <x v="46"/>
    <s v="october"/>
    <s v="Elite Spectrum Media"/>
    <x v="0"/>
    <x v="2"/>
    <x v="7"/>
    <s v="Female"/>
    <n v="20"/>
    <n v="844"/>
    <n v="1010"/>
    <n v="16880"/>
    <n v="20200"/>
    <n v="3320"/>
    <s v="profit"/>
  </r>
  <r>
    <x v="47"/>
    <s v="october"/>
    <s v="Pinnacle Design Studio"/>
    <x v="0"/>
    <x v="2"/>
    <x v="13"/>
    <s v="Female"/>
    <n v="14"/>
    <n v="799"/>
    <n v="1154"/>
    <n v="11186"/>
    <n v="16156"/>
    <n v="4970"/>
    <s v="profit"/>
  </r>
  <r>
    <x v="48"/>
    <s v="january"/>
    <s v="Legacy Travel Ventures"/>
    <x v="0"/>
    <x v="0"/>
    <x v="3"/>
    <s v="Female"/>
    <n v="19"/>
    <n v="608"/>
    <n v="1032"/>
    <n v="11552"/>
    <n v="19608"/>
    <n v="8056"/>
    <s v="profit"/>
  </r>
  <r>
    <x v="50"/>
    <s v="january"/>
    <s v="Stellar Design Group"/>
    <x v="0"/>
    <x v="0"/>
    <x v="14"/>
    <s v="Female"/>
    <n v="14"/>
    <n v="579"/>
    <n v="907"/>
    <n v="8106"/>
    <n v="12698"/>
    <n v="4592"/>
    <s v="profit"/>
  </r>
  <r>
    <x v="51"/>
    <s v="january"/>
    <s v="Horizon Ventures Co."/>
    <x v="0"/>
    <x v="0"/>
    <x v="1"/>
    <s v="Female"/>
    <n v="17"/>
    <n v="825"/>
    <n v="1080"/>
    <n v="14025"/>
    <n v="18360"/>
    <n v="4335"/>
    <s v="profit"/>
  </r>
  <r>
    <x v="52"/>
    <s v="january"/>
    <s v="Zenith Wellness Services"/>
    <x v="0"/>
    <x v="0"/>
    <x v="3"/>
    <s v="Male"/>
    <n v="15"/>
    <n v="827"/>
    <n v="931"/>
    <n v="12405"/>
    <n v="13965"/>
    <n v="1560"/>
    <s v="profit"/>
  </r>
  <r>
    <x v="75"/>
    <s v="september"/>
    <s v="Stellar Travel Solutions"/>
    <x v="0"/>
    <x v="0"/>
    <x v="7"/>
    <s v="Female"/>
    <n v="15"/>
    <n v="650"/>
    <n v="1347"/>
    <n v="9750"/>
    <n v="20205"/>
    <n v="10455"/>
    <s v="profit"/>
  </r>
  <r>
    <x v="53"/>
    <s v="january"/>
    <s v="Legacy Travel Co."/>
    <x v="0"/>
    <x v="2"/>
    <x v="0"/>
    <s v="Female"/>
    <n v="20"/>
    <n v="900"/>
    <n v="1431"/>
    <n v="18000"/>
    <n v="28620"/>
    <n v="10620"/>
    <s v="profit"/>
  </r>
  <r>
    <x v="76"/>
    <s v="september"/>
    <s v="Pure Harmony Solutions"/>
    <x v="0"/>
    <x v="0"/>
    <x v="13"/>
    <s v="Female"/>
    <n v="15"/>
    <n v="825"/>
    <n v="947"/>
    <n v="12375"/>
    <n v="14205"/>
    <n v="1830"/>
    <s v="profit"/>
  </r>
  <r>
    <x v="54"/>
    <s v="january"/>
    <s v="Pinnacle Innovations Group"/>
    <x v="0"/>
    <x v="2"/>
    <x v="1"/>
    <s v="Female"/>
    <n v="19"/>
    <n v="791"/>
    <n v="965"/>
    <n v="15029"/>
    <n v="18335"/>
    <n v="3306"/>
    <s v="profit"/>
  </r>
  <r>
    <x v="55"/>
    <s v="january"/>
    <s v="Stellar Health Services"/>
    <x v="0"/>
    <x v="2"/>
    <x v="2"/>
    <s v="Female"/>
    <n v="18"/>
    <n v="963"/>
    <n v="1178"/>
    <n v="17334"/>
    <n v="21204"/>
    <n v="3870"/>
    <s v="profit"/>
  </r>
  <r>
    <x v="56"/>
    <s v="january"/>
    <s v="Radiance Design Co."/>
    <x v="0"/>
    <x v="2"/>
    <x v="3"/>
    <s v="Female"/>
    <n v="19"/>
    <n v="763"/>
    <n v="1036"/>
    <n v="14497"/>
    <n v="19684"/>
    <n v="5187"/>
    <s v="profit"/>
  </r>
  <r>
    <x v="57"/>
    <s v="january"/>
    <s v="Harmony Consulting Group"/>
    <x v="0"/>
    <x v="2"/>
    <x v="3"/>
    <s v="Female"/>
    <n v="19"/>
    <n v="795"/>
    <n v="1471"/>
    <n v="15105"/>
    <n v="27949"/>
    <n v="12844"/>
    <s v="profit"/>
  </r>
  <r>
    <x v="59"/>
    <s v="january"/>
    <s v="Apex Educational Group"/>
    <x v="0"/>
    <x v="2"/>
    <x v="5"/>
    <s v="Male"/>
    <n v="16"/>
    <n v="731"/>
    <n v="1296"/>
    <n v="11696"/>
    <n v="20736"/>
    <n v="9040"/>
    <s v="profit"/>
  </r>
  <r>
    <x v="77"/>
    <s v="october"/>
    <s v="Modern Spectrum Solutions"/>
    <x v="1"/>
    <x v="5"/>
    <x v="8"/>
    <s v="Female"/>
    <n v="92"/>
    <n v="923"/>
    <n v="1151"/>
    <n v="84916"/>
    <n v="105892"/>
    <n v="20976"/>
    <s v="profit"/>
  </r>
  <r>
    <x v="60"/>
    <s v="january"/>
    <s v="Modern Wellness Co."/>
    <x v="0"/>
    <x v="2"/>
    <x v="3"/>
    <s v="Male"/>
    <n v="12"/>
    <n v="927"/>
    <n v="1162"/>
    <n v="11124"/>
    <n v="13944"/>
    <n v="2820"/>
    <s v="profit"/>
  </r>
  <r>
    <x v="61"/>
    <s v="january"/>
    <s v="Pure Spectrum Innovations"/>
    <x v="0"/>
    <x v="2"/>
    <x v="7"/>
    <s v="Male"/>
    <n v="13"/>
    <n v="528"/>
    <n v="1175"/>
    <n v="6864"/>
    <n v="15275"/>
    <n v="8411"/>
    <s v="profit"/>
  </r>
  <r>
    <x v="62"/>
    <s v="january"/>
    <s v="Pinnacle Travel Co."/>
    <x v="0"/>
    <x v="2"/>
    <x v="17"/>
    <s v="Male"/>
    <n v="16"/>
    <n v="998"/>
    <n v="835"/>
    <n v="15968"/>
    <n v="13360"/>
    <n v="-2608"/>
    <s v="loss"/>
  </r>
  <r>
    <x v="78"/>
    <s v="april"/>
    <s v="Bharat Innovations"/>
    <x v="2"/>
    <x v="3"/>
    <x v="14"/>
    <s v="Male"/>
    <n v="29"/>
    <n v="924"/>
    <n v="1101"/>
    <n v="26796"/>
    <n v="31929"/>
    <n v="5133"/>
    <s v="profit"/>
  </r>
  <r>
    <x v="79"/>
    <s v="april"/>
    <s v="Green Leaf Enterprises"/>
    <x v="2"/>
    <x v="8"/>
    <x v="8"/>
    <s v="Male"/>
    <n v="30"/>
    <n v="817"/>
    <n v="1334"/>
    <n v="24510"/>
    <n v="40020"/>
    <n v="15510"/>
    <s v="profit"/>
  </r>
  <r>
    <x v="80"/>
    <s v="april"/>
    <s v="Urban Pulse Technologies"/>
    <x v="2"/>
    <x v="8"/>
    <x v="3"/>
    <s v="Male"/>
    <n v="23"/>
    <n v="753"/>
    <n v="987"/>
    <n v="17319"/>
    <n v="22701"/>
    <n v="5382"/>
    <s v="profit"/>
  </r>
  <r>
    <x v="81"/>
    <s v="october"/>
    <s v="Apex Creative Solutions"/>
    <x v="1"/>
    <x v="7"/>
    <x v="3"/>
    <s v="Male"/>
    <n v="57"/>
    <n v="927"/>
    <n v="1477"/>
    <n v="52839"/>
    <n v="84189"/>
    <n v="31350"/>
    <s v="profit"/>
  </r>
  <r>
    <x v="82"/>
    <s v="april"/>
    <s v="Mystic India Exports"/>
    <x v="2"/>
    <x v="8"/>
    <x v="13"/>
    <s v="Male"/>
    <n v="26"/>
    <n v="809"/>
    <n v="800"/>
    <n v="21034"/>
    <n v="20800"/>
    <n v="-234"/>
    <s v="loss"/>
  </r>
  <r>
    <x v="83"/>
    <s v="april"/>
    <s v="Pure Essence Skincare"/>
    <x v="2"/>
    <x v="3"/>
    <x v="12"/>
    <s v="Female"/>
    <n v="23"/>
    <n v="852"/>
    <n v="1480"/>
    <n v="19596"/>
    <n v="34040"/>
    <n v="14444"/>
    <s v="profit"/>
  </r>
  <r>
    <x v="84"/>
    <s v="april"/>
    <s v="Zenith Construction Co."/>
    <x v="2"/>
    <x v="3"/>
    <x v="6"/>
    <s v="Female"/>
    <n v="24"/>
    <n v="903"/>
    <n v="1338"/>
    <n v="21672"/>
    <n v="32112"/>
    <n v="10440"/>
    <s v="profit"/>
  </r>
  <r>
    <x v="85"/>
    <s v="april"/>
    <s v="Radiant Health Systems"/>
    <x v="2"/>
    <x v="3"/>
    <x v="7"/>
    <s v="Female"/>
    <n v="21"/>
    <n v="829"/>
    <n v="950"/>
    <n v="17409"/>
    <n v="19950"/>
    <n v="2541"/>
    <s v="profit"/>
  </r>
  <r>
    <x v="86"/>
    <s v="october"/>
    <s v="Radiance Solutions Group"/>
    <x v="0"/>
    <x v="2"/>
    <x v="11"/>
    <s v="Female"/>
    <n v="16"/>
    <n v="584"/>
    <n v="1278"/>
    <n v="9344"/>
    <n v="20448"/>
    <n v="11104"/>
    <s v="profit"/>
  </r>
  <r>
    <x v="87"/>
    <s v="april"/>
    <s v="Divine Creations"/>
    <x v="2"/>
    <x v="3"/>
    <x v="7"/>
    <s v="Female"/>
    <n v="20"/>
    <n v="557"/>
    <n v="1002"/>
    <n v="11140"/>
    <n v="20040"/>
    <n v="8900"/>
    <s v="profit"/>
  </r>
  <r>
    <x v="88"/>
    <s v="april"/>
    <s v="True Path Logistics"/>
    <x v="2"/>
    <x v="3"/>
    <x v="4"/>
    <s v="Female"/>
    <n v="20"/>
    <n v="648"/>
    <n v="1106"/>
    <n v="12960"/>
    <n v="22120"/>
    <n v="9160"/>
    <s v="profit"/>
  </r>
  <r>
    <x v="89"/>
    <s v="october"/>
    <s v="Modern Edge Solutions"/>
    <x v="0"/>
    <x v="2"/>
    <x v="7"/>
    <s v="Female"/>
    <n v="19"/>
    <n v="589"/>
    <n v="1100"/>
    <n v="11191"/>
    <n v="20900"/>
    <n v="9709"/>
    <s v="profit"/>
  </r>
  <r>
    <x v="90"/>
    <s v="april"/>
    <s v="Prestige Automobiles"/>
    <x v="2"/>
    <x v="4"/>
    <x v="7"/>
    <s v="Male"/>
    <n v="26"/>
    <n v="942"/>
    <n v="1143"/>
    <n v="24492"/>
    <n v="29718"/>
    <n v="5226"/>
    <s v="profit"/>
  </r>
  <r>
    <x v="91"/>
    <s v="october"/>
    <s v="Horizon Health Solutions"/>
    <x v="2"/>
    <x v="3"/>
    <x v="13"/>
    <s v="Female"/>
    <n v="30"/>
    <n v="869"/>
    <n v="1033"/>
    <n v="26070"/>
    <n v="30990"/>
    <n v="4920"/>
    <s v="profit"/>
  </r>
  <r>
    <x v="92"/>
    <s v="april"/>
    <s v="Natural Bliss Beverages"/>
    <x v="2"/>
    <x v="4"/>
    <x v="13"/>
    <s v="Male"/>
    <n v="20"/>
    <n v="606"/>
    <n v="806"/>
    <n v="12120"/>
    <n v="16120"/>
    <n v="4000"/>
    <s v="profit"/>
  </r>
  <r>
    <x v="93"/>
    <s v="october"/>
    <s v="Apex Marketing Solutions"/>
    <x v="2"/>
    <x v="8"/>
    <x v="7"/>
    <s v="Male"/>
    <n v="20"/>
    <n v="979"/>
    <n v="1471"/>
    <n v="19580"/>
    <n v="29420"/>
    <n v="9840"/>
    <s v="profit"/>
  </r>
  <r>
    <x v="94"/>
    <s v="april"/>
    <s v="Modern Trends Fashion"/>
    <x v="2"/>
    <x v="4"/>
    <x v="7"/>
    <s v="Female"/>
    <n v="22"/>
    <n v="822"/>
    <n v="1153"/>
    <n v="18084"/>
    <n v="25366"/>
    <n v="7282"/>
    <s v="profit"/>
  </r>
  <r>
    <x v="95"/>
    <s v="april"/>
    <s v="Heritage Crafts"/>
    <x v="2"/>
    <x v="4"/>
    <x v="5"/>
    <s v="Female"/>
    <n v="26"/>
    <n v="505"/>
    <n v="1337"/>
    <n v="13130"/>
    <n v="34762"/>
    <n v="21632"/>
    <s v="profit"/>
  </r>
  <r>
    <x v="96"/>
    <s v="april"/>
    <s v="Future Insights Analytics"/>
    <x v="2"/>
    <x v="4"/>
    <x v="17"/>
    <s v="Female"/>
    <n v="23"/>
    <n v="649"/>
    <n v="1210"/>
    <n v="14927"/>
    <n v="27830"/>
    <n v="12903"/>
    <s v="profit"/>
  </r>
  <r>
    <x v="97"/>
    <s v="april"/>
    <s v="Emerald Estate Developers"/>
    <x v="2"/>
    <x v="4"/>
    <x v="8"/>
    <s v="Female"/>
    <n v="26"/>
    <n v="647"/>
    <n v="1025"/>
    <n v="16822"/>
    <n v="26650"/>
    <n v="9828"/>
    <s v="profit"/>
  </r>
  <r>
    <x v="98"/>
    <s v="april"/>
    <s v="Starlight Media Group"/>
    <x v="2"/>
    <x v="4"/>
    <x v="18"/>
    <s v="Female"/>
    <n v="30"/>
    <n v="843"/>
    <n v="953"/>
    <n v="25290"/>
    <n v="28590"/>
    <n v="3300"/>
    <s v="profit"/>
  </r>
  <r>
    <x v="99"/>
    <s v="may"/>
    <s v="Supreme Electronics"/>
    <x v="2"/>
    <x v="4"/>
    <x v="19"/>
    <s v="Female"/>
    <n v="21"/>
    <n v="571"/>
    <n v="900"/>
    <n v="11991"/>
    <n v="18900"/>
    <n v="6909"/>
    <s v="profit"/>
  </r>
  <r>
    <x v="100"/>
    <s v="may"/>
    <s v="Optimum Wellness"/>
    <x v="2"/>
    <x v="4"/>
    <x v="0"/>
    <s v="Male"/>
    <n v="25"/>
    <n v="909"/>
    <n v="970"/>
    <n v="22725"/>
    <n v="24250"/>
    <n v="1525"/>
    <s v="profit"/>
  </r>
  <r>
    <x v="101"/>
    <s v="may"/>
    <s v="Zenith Books Publishing"/>
    <x v="2"/>
    <x v="4"/>
    <x v="1"/>
    <s v="Male"/>
    <n v="24"/>
    <n v="584"/>
    <n v="1158"/>
    <n v="14016"/>
    <n v="27792"/>
    <n v="13776"/>
    <s v="profit"/>
  </r>
  <r>
    <x v="102"/>
    <s v="may"/>
    <s v="Pinnacle Innovations"/>
    <x v="2"/>
    <x v="4"/>
    <x v="2"/>
    <s v="Male"/>
    <n v="28"/>
    <n v="787"/>
    <n v="1452"/>
    <n v="22036"/>
    <n v="40656"/>
    <n v="18620"/>
    <s v="profit"/>
  </r>
  <r>
    <x v="103"/>
    <s v="may"/>
    <s v="Apex Travel Services"/>
    <x v="2"/>
    <x v="4"/>
    <x v="3"/>
    <s v="Male"/>
    <n v="23"/>
    <n v="768"/>
    <n v="1102"/>
    <n v="17664"/>
    <n v="25346"/>
    <n v="7682"/>
    <s v="profit"/>
  </r>
  <r>
    <x v="104"/>
    <s v="may"/>
    <s v="Golden Era Realty"/>
    <x v="2"/>
    <x v="4"/>
    <x v="3"/>
    <s v="Female"/>
    <n v="23"/>
    <n v="584"/>
    <n v="1168"/>
    <n v="13432"/>
    <n v="26864"/>
    <n v="13432"/>
    <s v="profit"/>
  </r>
  <r>
    <x v="105"/>
    <s v="november"/>
    <s v="Radiance Solutions Co."/>
    <x v="1"/>
    <x v="9"/>
    <x v="5"/>
    <s v="Female"/>
    <n v="57"/>
    <n v="541"/>
    <n v="819"/>
    <n v="30837"/>
    <n v="46683"/>
    <n v="15846"/>
    <s v="profit"/>
  </r>
  <r>
    <x v="106"/>
    <s v="may"/>
    <s v="Radiant Jewelry"/>
    <x v="2"/>
    <x v="6"/>
    <x v="4"/>
    <s v="Female"/>
    <n v="20"/>
    <n v="778"/>
    <n v="1096"/>
    <n v="15560"/>
    <n v="21920"/>
    <n v="6360"/>
    <s v="profit"/>
  </r>
  <r>
    <x v="107"/>
    <s v="may"/>
    <s v="Infinity Ventures"/>
    <x v="2"/>
    <x v="6"/>
    <x v="5"/>
    <s v="Female"/>
    <n v="26"/>
    <n v="595"/>
    <n v="914"/>
    <n v="15470"/>
    <n v="23764"/>
    <n v="8294"/>
    <s v="profit"/>
  </r>
  <r>
    <x v="108"/>
    <s v="november"/>
    <s v="Horizon Creative Solutions"/>
    <x v="1"/>
    <x v="9"/>
    <x v="14"/>
    <s v="Female"/>
    <n v="70"/>
    <n v="871"/>
    <n v="862"/>
    <n v="60970"/>
    <n v="60340"/>
    <n v="-630"/>
    <s v="loss"/>
  </r>
  <r>
    <x v="109"/>
    <s v="may"/>
    <s v="Royal Taste Foods"/>
    <x v="2"/>
    <x v="6"/>
    <x v="3"/>
    <s v="Female"/>
    <n v="27"/>
    <n v="722"/>
    <n v="1497"/>
    <n v="19494"/>
    <n v="40419"/>
    <n v="20925"/>
    <s v="profit"/>
  </r>
  <r>
    <x v="110"/>
    <s v="may"/>
    <s v="Harmony Homes"/>
    <x v="2"/>
    <x v="6"/>
    <x v="15"/>
    <s v="Female"/>
    <n v="25"/>
    <n v="982"/>
    <n v="1395"/>
    <n v="24550"/>
    <n v="34875"/>
    <n v="10325"/>
    <s v="profit"/>
  </r>
  <r>
    <x v="111"/>
    <s v="may"/>
    <s v="Urban Edge Consulting"/>
    <x v="2"/>
    <x v="6"/>
    <x v="14"/>
    <s v="Female"/>
    <n v="25"/>
    <n v="982"/>
    <n v="1389"/>
    <n v="24550"/>
    <n v="34725"/>
    <n v="10175"/>
    <s v="profit"/>
  </r>
  <r>
    <x v="112"/>
    <s v="may"/>
    <s v="Prime Tech Innovations"/>
    <x v="2"/>
    <x v="6"/>
    <x v="8"/>
    <s v="Female"/>
    <n v="25"/>
    <n v="810"/>
    <n v="1086"/>
    <n v="20250"/>
    <n v="27150"/>
    <n v="6900"/>
    <s v="profit"/>
  </r>
  <r>
    <x v="113"/>
    <s v="november"/>
    <s v="Urban Spectrum Solutions"/>
    <x v="2"/>
    <x v="4"/>
    <x v="16"/>
    <s v="Male"/>
    <n v="20"/>
    <n v="773"/>
    <n v="823"/>
    <n v="15460"/>
    <n v="16460"/>
    <n v="1000"/>
    <s v="profit"/>
  </r>
  <r>
    <x v="114"/>
    <s v="may"/>
    <s v="Legacy Designs"/>
    <x v="2"/>
    <x v="6"/>
    <x v="3"/>
    <s v="Female"/>
    <n v="26"/>
    <n v="781"/>
    <n v="1019"/>
    <n v="20306"/>
    <n v="26494"/>
    <n v="6188"/>
    <s v="profit"/>
  </r>
  <r>
    <x v="115"/>
    <s v="may"/>
    <s v="Virtue Enterprises"/>
    <x v="2"/>
    <x v="6"/>
    <x v="13"/>
    <s v="Female"/>
    <n v="26"/>
    <n v="630"/>
    <n v="767"/>
    <n v="16380"/>
    <n v="19942"/>
    <n v="3562"/>
    <s v="profit"/>
  </r>
  <r>
    <x v="116"/>
    <s v="may"/>
    <s v="Radiant Health Club"/>
    <x v="2"/>
    <x v="6"/>
    <x v="15"/>
    <s v="Female"/>
    <n v="23"/>
    <n v="972"/>
    <n v="782"/>
    <n v="22356"/>
    <n v="17986"/>
    <n v="-4370"/>
    <s v="loss"/>
  </r>
  <r>
    <x v="117"/>
    <s v="november"/>
    <s v="Legacy Wellness Solutions"/>
    <x v="2"/>
    <x v="4"/>
    <x v="6"/>
    <s v="Female"/>
    <n v="23"/>
    <n v="906"/>
    <n v="1275"/>
    <n v="20838"/>
    <n v="29325"/>
    <n v="8487"/>
    <s v="profit"/>
  </r>
  <r>
    <x v="118"/>
    <s v="may"/>
    <s v="Bright Horizon Ventures"/>
    <x v="2"/>
    <x v="6"/>
    <x v="16"/>
    <s v="Male"/>
    <n v="30"/>
    <n v="987"/>
    <n v="1366"/>
    <n v="29610"/>
    <n v="40980"/>
    <n v="11370"/>
    <s v="profit"/>
  </r>
  <r>
    <x v="119"/>
    <s v="november"/>
    <s v="Horizon Media Solutions"/>
    <x v="2"/>
    <x v="4"/>
    <x v="7"/>
    <s v="Female"/>
    <n v="24"/>
    <n v="927"/>
    <n v="1379"/>
    <n v="22248"/>
    <n v="33096"/>
    <n v="10848"/>
    <s v="profit"/>
  </r>
  <r>
    <x v="120"/>
    <s v="may"/>
    <s v="Modern Lifestyle Products"/>
    <x v="2"/>
    <x v="6"/>
    <x v="6"/>
    <s v="Male"/>
    <n v="25"/>
    <n v="877"/>
    <n v="797"/>
    <n v="21925"/>
    <n v="19925"/>
    <n v="-2000"/>
    <s v="loss"/>
  </r>
  <r>
    <x v="121"/>
    <s v="may"/>
    <s v="Nexus Trading Co."/>
    <x v="2"/>
    <x v="6"/>
    <x v="8"/>
    <s v="Male"/>
    <n v="26"/>
    <n v="596"/>
    <n v="1136"/>
    <n v="15496"/>
    <n v="29536"/>
    <n v="14040"/>
    <s v="profit"/>
  </r>
  <r>
    <x v="122"/>
    <s v="july"/>
    <s v="Radiance Health and Wellness"/>
    <x v="2"/>
    <x v="6"/>
    <x v="7"/>
    <s v="Male"/>
    <n v="26"/>
    <n v="771"/>
    <n v="1172"/>
    <n v="20046"/>
    <n v="30472"/>
    <n v="10426"/>
    <s v="profit"/>
  </r>
  <r>
    <x v="123"/>
    <s v="july"/>
    <s v="Legacy Auto Works"/>
    <x v="2"/>
    <x v="6"/>
    <x v="13"/>
    <s v="Male"/>
    <n v="30"/>
    <n v="859"/>
    <n v="1123"/>
    <n v="25770"/>
    <n v="33690"/>
    <n v="7920"/>
    <s v="profit"/>
  </r>
  <r>
    <x v="124"/>
    <s v="july"/>
    <s v="Prime Essence Creations"/>
    <x v="2"/>
    <x v="6"/>
    <x v="13"/>
    <s v="Male"/>
    <n v="30"/>
    <n v="726"/>
    <n v="964"/>
    <n v="21780"/>
    <n v="28920"/>
    <n v="7140"/>
    <s v="profit"/>
  </r>
  <r>
    <x v="125"/>
    <s v="july"/>
    <s v="Quantum Ventures"/>
    <x v="2"/>
    <x v="6"/>
    <x v="12"/>
    <s v="Male"/>
    <n v="29"/>
    <n v="861"/>
    <n v="820"/>
    <n v="24969"/>
    <n v="23780"/>
    <n v="-1189"/>
    <s v="loss"/>
  </r>
  <r>
    <x v="126"/>
    <s v="july"/>
    <s v="Urban Legends Apparel"/>
    <x v="2"/>
    <x v="6"/>
    <x v="5"/>
    <s v="Female"/>
    <n v="24"/>
    <n v="978"/>
    <n v="773"/>
    <n v="23472"/>
    <n v="18552"/>
    <n v="-4920"/>
    <s v="loss"/>
  </r>
  <r>
    <x v="127"/>
    <s v="july"/>
    <s v="Pure Bliss Beverages"/>
    <x v="2"/>
    <x v="6"/>
    <x v="17"/>
    <s v="Female"/>
    <n v="30"/>
    <n v="514"/>
    <n v="1333"/>
    <n v="15420"/>
    <n v="39990"/>
    <n v="24570"/>
    <s v="profit"/>
  </r>
  <r>
    <x v="128"/>
    <s v="july"/>
    <s v="Noble Heights Builders"/>
    <x v="2"/>
    <x v="6"/>
    <x v="8"/>
    <s v="Female"/>
    <n v="26"/>
    <n v="656"/>
    <n v="908"/>
    <n v="17056"/>
    <n v="23608"/>
    <n v="6552"/>
    <s v="profit"/>
  </r>
  <r>
    <x v="129"/>
    <s v="november"/>
    <s v="Urban Vision Solutions"/>
    <x v="2"/>
    <x v="6"/>
    <x v="7"/>
    <s v="Female"/>
    <n v="28"/>
    <n v="866"/>
    <n v="1102"/>
    <n v="24248"/>
    <n v="30856"/>
    <n v="6608"/>
    <s v="profit"/>
  </r>
  <r>
    <x v="130"/>
    <s v="july"/>
    <s v="Radiant Foods"/>
    <x v="2"/>
    <x v="6"/>
    <x v="18"/>
    <s v="Female"/>
    <n v="28"/>
    <n v="866"/>
    <n v="1080"/>
    <n v="24248"/>
    <n v="30240"/>
    <n v="5992"/>
    <s v="profit"/>
  </r>
  <r>
    <x v="131"/>
    <s v="july"/>
    <s v="Zenith Financial Services"/>
    <x v="2"/>
    <x v="6"/>
    <x v="19"/>
    <s v="Female"/>
    <n v="23"/>
    <n v="969"/>
    <n v="1075"/>
    <n v="22287"/>
    <n v="24725"/>
    <n v="2438"/>
    <s v="profit"/>
  </r>
  <r>
    <x v="132"/>
    <s v="december"/>
    <s v="Pinnacle Travel Solutions"/>
    <x v="2"/>
    <x v="6"/>
    <x v="12"/>
    <s v="Male"/>
    <n v="29"/>
    <n v="639"/>
    <n v="1257"/>
    <n v="18531"/>
    <n v="36453"/>
    <n v="17922"/>
    <s v="profit"/>
  </r>
  <r>
    <x v="133"/>
    <s v="july"/>
    <s v="Apex Travel Ventures"/>
    <x v="2"/>
    <x v="6"/>
    <x v="0"/>
    <s v="Female"/>
    <n v="21"/>
    <n v="626"/>
    <n v="772"/>
    <n v="13146"/>
    <n v="16212"/>
    <n v="3066"/>
    <s v="profit"/>
  </r>
  <r>
    <x v="134"/>
    <s v="august"/>
    <s v="Future Vision Realty"/>
    <x v="2"/>
    <x v="6"/>
    <x v="8"/>
    <s v="Male"/>
    <n v="26"/>
    <n v="715"/>
    <n v="1113"/>
    <n v="18590"/>
    <n v="28938"/>
    <n v="10348"/>
    <s v="profit"/>
  </r>
  <r>
    <x v="135"/>
    <s v="august"/>
    <s v="Urban Pulse Media"/>
    <x v="2"/>
    <x v="6"/>
    <x v="9"/>
    <s v="Male"/>
    <n v="27"/>
    <n v="611"/>
    <n v="1309"/>
    <n v="16497"/>
    <n v="35343"/>
    <n v="18846"/>
    <s v="profit"/>
  </r>
  <r>
    <x v="136"/>
    <s v="august"/>
    <s v="True Essence Health"/>
    <x v="2"/>
    <x v="6"/>
    <x v="4"/>
    <s v="Female"/>
    <n v="29"/>
    <n v="544"/>
    <n v="1436"/>
    <n v="15776"/>
    <n v="41644"/>
    <n v="25868"/>
    <s v="profit"/>
  </r>
  <r>
    <x v="137"/>
    <s v="december"/>
    <s v="Harmony Health Solutions"/>
    <x v="2"/>
    <x v="6"/>
    <x v="18"/>
    <s v="Male"/>
    <n v="23"/>
    <n v="771"/>
    <n v="1430"/>
    <n v="17733"/>
    <n v="32890"/>
    <n v="15157"/>
    <s v="profit"/>
  </r>
  <r>
    <x v="138"/>
    <s v="august"/>
    <s v="Radiant Vision Realty"/>
    <x v="2"/>
    <x v="6"/>
    <x v="11"/>
    <s v="Male"/>
    <n v="30"/>
    <n v="652"/>
    <n v="1151"/>
    <n v="19560"/>
    <n v="34530"/>
    <n v="14970"/>
    <s v="profit"/>
  </r>
  <r>
    <x v="139"/>
    <s v="august"/>
    <s v="Harmony Consulting Group"/>
    <x v="2"/>
    <x v="6"/>
    <x v="6"/>
    <s v="Male"/>
    <n v="22"/>
    <n v="681"/>
    <n v="1087"/>
    <n v="14982"/>
    <n v="23914"/>
    <n v="8932"/>
    <s v="profit"/>
  </r>
  <r>
    <x v="140"/>
    <s v="december"/>
    <s v="Modern Vision Solutions"/>
    <x v="1"/>
    <x v="5"/>
    <x v="1"/>
    <s v="Male"/>
    <n v="66"/>
    <n v="888"/>
    <n v="809"/>
    <n v="58608"/>
    <n v="53394"/>
    <n v="-5214"/>
    <s v="loss"/>
  </r>
  <r>
    <x v="141"/>
    <s v="august"/>
    <s v="Zenith Tech Ventures"/>
    <x v="2"/>
    <x v="6"/>
    <x v="7"/>
    <s v="Male"/>
    <n v="28"/>
    <n v="923"/>
    <n v="1395"/>
    <n v="25844"/>
    <n v="39060"/>
    <n v="13216"/>
    <s v="profit"/>
  </r>
  <r>
    <x v="142"/>
    <s v="august"/>
    <s v="Stellar Health Services"/>
    <x v="2"/>
    <x v="6"/>
    <x v="7"/>
    <s v="Female"/>
    <n v="26"/>
    <n v="999"/>
    <n v="1112"/>
    <n v="25974"/>
    <n v="28912"/>
    <n v="2938"/>
    <s v="profit"/>
  </r>
  <r>
    <x v="143"/>
    <s v="august"/>
    <s v="Pure Path Foods"/>
    <x v="2"/>
    <x v="6"/>
    <x v="13"/>
    <s v="Female"/>
    <n v="30"/>
    <n v="792"/>
    <n v="1010"/>
    <n v="23760"/>
    <n v="30300"/>
    <n v="6540"/>
    <s v="profit"/>
  </r>
  <r>
    <x v="144"/>
    <s v="august"/>
    <s v="Bright Horizon Realty"/>
    <x v="2"/>
    <x v="6"/>
    <x v="12"/>
    <s v="Female"/>
    <n v="22"/>
    <n v="774"/>
    <n v="1387"/>
    <n v="17028"/>
    <n v="30514"/>
    <n v="13486"/>
    <s v="profit"/>
  </r>
  <r>
    <x v="145"/>
    <s v="december"/>
    <s v="Radiant Educational Solutions"/>
    <x v="1"/>
    <x v="5"/>
    <x v="7"/>
    <s v="Female"/>
    <n v="56"/>
    <n v="516"/>
    <n v="1316"/>
    <n v="28896"/>
    <n v="73696"/>
    <n v="44800"/>
    <s v="profit"/>
  </r>
  <r>
    <x v="146"/>
    <s v="october"/>
    <s v="Crystal Clear Consulting"/>
    <x v="2"/>
    <x v="8"/>
    <x v="12"/>
    <s v="Female"/>
    <n v="20"/>
    <n v="999"/>
    <n v="1191"/>
    <n v="19980"/>
    <n v="23820"/>
    <n v="3840"/>
    <s v="profit"/>
  </r>
  <r>
    <x v="147"/>
    <s v="october"/>
    <s v="Zenith Innovations"/>
    <x v="2"/>
    <x v="8"/>
    <x v="5"/>
    <s v="Male"/>
    <n v="29"/>
    <n v="661"/>
    <n v="1400"/>
    <n v="19169"/>
    <n v="40600"/>
    <n v="21431"/>
    <s v="profit"/>
  </r>
  <r>
    <x v="148"/>
    <s v="october"/>
    <s v="True Essence Innovations"/>
    <x v="2"/>
    <x v="3"/>
    <x v="0"/>
    <s v="Male"/>
    <n v="30"/>
    <n v="539"/>
    <n v="1364"/>
    <n v="16170"/>
    <n v="40920"/>
    <n v="24750"/>
    <s v="profit"/>
  </r>
  <r>
    <x v="149"/>
    <s v="december"/>
    <s v="Zenith Creative Solutions"/>
    <x v="1"/>
    <x v="5"/>
    <x v="7"/>
    <s v="Female"/>
    <n v="60"/>
    <n v="901"/>
    <n v="1148"/>
    <n v="54060"/>
    <n v="68880"/>
    <n v="14820"/>
    <s v="profit"/>
  </r>
  <r>
    <x v="150"/>
    <s v="november"/>
    <s v="Pinnacle Media Group"/>
    <x v="2"/>
    <x v="3"/>
    <x v="1"/>
    <s v="Male"/>
    <n v="26"/>
    <n v="726"/>
    <n v="1335"/>
    <n v="18876"/>
    <n v="34710"/>
    <n v="15834"/>
    <s v="profit"/>
  </r>
  <r>
    <x v="151"/>
    <s v="december"/>
    <s v="Pure Vision Solutions"/>
    <x v="1"/>
    <x v="7"/>
    <x v="17"/>
    <s v="Female"/>
    <n v="50"/>
    <n v="749"/>
    <n v="1269"/>
    <n v="37450"/>
    <n v="63450"/>
    <n v="26000"/>
    <s v="profit"/>
  </r>
  <r>
    <x v="152"/>
    <s v="november"/>
    <s v="Legacy Design Co."/>
    <x v="2"/>
    <x v="3"/>
    <x v="2"/>
    <s v="Male"/>
    <n v="29"/>
    <n v="510"/>
    <n v="1131"/>
    <n v="14790"/>
    <n v="32799"/>
    <n v="18009"/>
    <s v="profit"/>
  </r>
  <r>
    <x v="153"/>
    <s v="november"/>
    <s v="Apex Health Products"/>
    <x v="2"/>
    <x v="3"/>
    <x v="3"/>
    <s v="Female"/>
    <n v="27"/>
    <n v="752"/>
    <n v="1258"/>
    <n v="20304"/>
    <n v="33966"/>
    <n v="13662"/>
    <s v="profit"/>
  </r>
  <r>
    <x v="154"/>
    <s v="november"/>
    <s v="Zenith Travel Ventures"/>
    <x v="2"/>
    <x v="3"/>
    <x v="3"/>
    <s v="Female"/>
    <n v="28"/>
    <n v="924"/>
    <n v="847"/>
    <n v="25872"/>
    <n v="23716"/>
    <n v="-2156"/>
    <s v="loss"/>
  </r>
  <r>
    <x v="155"/>
    <s v="november"/>
    <s v="Pure Path Consulting"/>
    <x v="2"/>
    <x v="3"/>
    <x v="4"/>
    <s v="Female"/>
    <n v="26"/>
    <n v="643"/>
    <n v="1341"/>
    <n v="16718"/>
    <n v="34866"/>
    <n v="18148"/>
    <s v="profit"/>
  </r>
  <r>
    <x v="156"/>
    <s v="december"/>
    <s v="Harmony Edge Solutions"/>
    <x v="1"/>
    <x v="7"/>
    <x v="1"/>
    <s v="Male"/>
    <n v="59"/>
    <n v="774"/>
    <n v="1374"/>
    <n v="45666"/>
    <n v="81066"/>
    <n v="35400"/>
    <s v="profit"/>
  </r>
  <r>
    <x v="157"/>
    <s v="november"/>
    <s v="Harmony Educational Group"/>
    <x v="2"/>
    <x v="4"/>
    <x v="15"/>
    <s v="Male"/>
    <n v="23"/>
    <n v="584"/>
    <n v="1140"/>
    <n v="13432"/>
    <n v="26220"/>
    <n v="12788"/>
    <s v="profit"/>
  </r>
  <r>
    <x v="158"/>
    <s v="november"/>
    <s v="Radiant Design Studio"/>
    <x v="2"/>
    <x v="4"/>
    <x v="6"/>
    <s v="Male"/>
    <n v="21"/>
    <n v="608"/>
    <n v="983"/>
    <n v="12768"/>
    <n v="20643"/>
    <n v="7875"/>
    <s v="profit"/>
  </r>
  <r>
    <x v="159"/>
    <s v="november"/>
    <s v="Zenith Health Innovations"/>
    <x v="2"/>
    <x v="4"/>
    <x v="8"/>
    <s v="Male"/>
    <n v="30"/>
    <n v="712"/>
    <n v="1311"/>
    <n v="21360"/>
    <n v="39330"/>
    <n v="17970"/>
    <s v="profit"/>
  </r>
  <r>
    <x v="160"/>
    <s v="november"/>
    <s v="Apex Realty Ventures"/>
    <x v="2"/>
    <x v="4"/>
    <x v="12"/>
    <s v="Male"/>
    <n v="24"/>
    <n v="672"/>
    <n v="878"/>
    <n v="16128"/>
    <n v="21072"/>
    <n v="4944"/>
    <s v="profit"/>
  </r>
  <r>
    <x v="161"/>
    <s v="november"/>
    <s v="True Value Ventures"/>
    <x v="2"/>
    <x v="4"/>
    <x v="7"/>
    <s v="Female"/>
    <n v="29"/>
    <n v="520"/>
    <n v="770"/>
    <n v="15080"/>
    <n v="22330"/>
    <n v="7250"/>
    <s v="profit"/>
  </r>
  <r>
    <x v="162"/>
    <s v="november"/>
    <s v="Crystal Clear Designs"/>
    <x v="2"/>
    <x v="4"/>
    <x v="8"/>
    <s v="Male"/>
    <n v="28"/>
    <n v="884"/>
    <n v="1165"/>
    <n v="24752"/>
    <n v="32620"/>
    <n v="7868"/>
    <s v="profit"/>
  </r>
  <r>
    <x v="163"/>
    <s v="january"/>
    <s v="Pinnacle Media Solutions"/>
    <x v="0"/>
    <x v="0"/>
    <x v="15"/>
    <s v="Female"/>
    <n v="11"/>
    <n v="562"/>
    <n v="800"/>
    <n v="6182"/>
    <n v="8800"/>
    <n v="2618"/>
    <s v="profit"/>
  </r>
  <r>
    <x v="164"/>
    <s v="november"/>
    <s v="Pinnacle Innovations Co."/>
    <x v="2"/>
    <x v="4"/>
    <x v="4"/>
    <s v="Male"/>
    <n v="25"/>
    <n v="990"/>
    <n v="868"/>
    <n v="24750"/>
    <n v="21700"/>
    <n v="-3050"/>
    <s v="loss"/>
  </r>
  <r>
    <x v="165"/>
    <s v="january"/>
    <s v="Radiant Tech Solutions"/>
    <x v="0"/>
    <x v="0"/>
    <x v="8"/>
    <s v="Female"/>
    <n v="15"/>
    <n v="992"/>
    <n v="1404"/>
    <n v="14880"/>
    <n v="21060"/>
    <n v="6180"/>
    <s v="profit"/>
  </r>
  <r>
    <x v="166"/>
    <s v="november"/>
    <s v="Modern Pathways"/>
    <x v="2"/>
    <x v="4"/>
    <x v="8"/>
    <s v="Male"/>
    <n v="22"/>
    <n v="524"/>
    <n v="1156"/>
    <n v="11528"/>
    <n v="25432"/>
    <n v="13904"/>
    <s v="profit"/>
  </r>
  <r>
    <x v="167"/>
    <s v="january"/>
    <s v="Elite Creative Solutions"/>
    <x v="0"/>
    <x v="0"/>
    <x v="2"/>
    <s v="Female"/>
    <n v="11"/>
    <n v="668"/>
    <n v="1096"/>
    <n v="7348"/>
    <n v="12056"/>
    <n v="4708"/>
    <s v="profit"/>
  </r>
  <r>
    <x v="168"/>
    <s v="november"/>
    <s v="Stellar Finance Co."/>
    <x v="2"/>
    <x v="4"/>
    <x v="9"/>
    <s v="Male"/>
    <n v="26"/>
    <n v="997"/>
    <n v="982"/>
    <n v="25922"/>
    <n v="25532"/>
    <n v="-390"/>
    <s v="loss"/>
  </r>
  <r>
    <x v="169"/>
    <s v="november"/>
    <s v="Radiant Spectrum Group"/>
    <x v="2"/>
    <x v="4"/>
    <x v="4"/>
    <s v="Male"/>
    <n v="27"/>
    <n v="922"/>
    <n v="1284"/>
    <n v="24894"/>
    <n v="34668"/>
    <n v="9774"/>
    <s v="profit"/>
  </r>
  <r>
    <x v="170"/>
    <s v="november"/>
    <s v="Harmony Design Ventures"/>
    <x v="2"/>
    <x v="4"/>
    <x v="10"/>
    <s v="Female"/>
    <n v="21"/>
    <n v="978"/>
    <n v="1139"/>
    <n v="20538"/>
    <n v="23919"/>
    <n v="3381"/>
    <s v="profit"/>
  </r>
  <r>
    <x v="171"/>
    <s v="november"/>
    <s v="Elite Edge Products"/>
    <x v="2"/>
    <x v="4"/>
    <x v="11"/>
    <s v="Female"/>
    <n v="24"/>
    <n v="830"/>
    <n v="1355"/>
    <n v="19920"/>
    <n v="32520"/>
    <n v="12600"/>
    <s v="profit"/>
  </r>
  <r>
    <x v="172"/>
    <s v="november"/>
    <s v="Zenith Consulting Co."/>
    <x v="2"/>
    <x v="6"/>
    <x v="6"/>
    <s v="Female"/>
    <n v="21"/>
    <n v="751"/>
    <n v="1498"/>
    <n v="15771"/>
    <n v="31458"/>
    <n v="15687"/>
    <s v="profit"/>
  </r>
  <r>
    <x v="173"/>
    <s v="november"/>
    <s v="Apex Wellness Products"/>
    <x v="2"/>
    <x v="6"/>
    <x v="7"/>
    <s v="Female"/>
    <n v="26"/>
    <n v="520"/>
    <n v="1261"/>
    <n v="13520"/>
    <n v="32786"/>
    <n v="19266"/>
    <s v="profit"/>
  </r>
  <r>
    <x v="174"/>
    <s v="january"/>
    <s v="Pinnacle Design Solutions"/>
    <x v="1"/>
    <x v="7"/>
    <x v="12"/>
    <s v="Male"/>
    <n v="56"/>
    <n v="685"/>
    <n v="771"/>
    <n v="38360"/>
    <n v="43176"/>
    <n v="4816"/>
    <s v="profit"/>
  </r>
  <r>
    <x v="175"/>
    <s v="december"/>
    <s v="Pure Harmony Innovations"/>
    <x v="2"/>
    <x v="6"/>
    <x v="13"/>
    <s v="Female"/>
    <n v="21"/>
    <n v="605"/>
    <n v="1264"/>
    <n v="12705"/>
    <n v="26544"/>
    <n v="13839"/>
    <s v="profit"/>
  </r>
  <r>
    <x v="176"/>
    <s v="december"/>
    <s v="Legacy Media Group"/>
    <x v="2"/>
    <x v="6"/>
    <x v="13"/>
    <s v="Female"/>
    <n v="20"/>
    <n v="666"/>
    <n v="1087"/>
    <n v="13320"/>
    <n v="21740"/>
    <n v="8420"/>
    <s v="profit"/>
  </r>
  <r>
    <x v="177"/>
    <s v="december"/>
    <s v="Horizon Tech Innovations"/>
    <x v="2"/>
    <x v="6"/>
    <x v="7"/>
    <s v="Male"/>
    <n v="23"/>
    <n v="632"/>
    <n v="762"/>
    <n v="14536"/>
    <n v="17526"/>
    <n v="2990"/>
    <s v="profit"/>
  </r>
  <r>
    <x v="178"/>
    <s v="december"/>
    <s v="Crystal Spectrum Consulting"/>
    <x v="2"/>
    <x v="6"/>
    <x v="5"/>
    <s v="Male"/>
    <n v="21"/>
    <n v="540"/>
    <n v="812"/>
    <n v="11340"/>
    <n v="17052"/>
    <n v="5712"/>
    <s v="profit"/>
  </r>
  <r>
    <x v="179"/>
    <s v="december"/>
    <s v="Stellar Creative Co."/>
    <x v="2"/>
    <x v="6"/>
    <x v="17"/>
    <s v="Male"/>
    <n v="30"/>
    <n v="557"/>
    <n v="886"/>
    <n v="16710"/>
    <n v="26580"/>
    <n v="9870"/>
    <s v="profit"/>
  </r>
  <r>
    <x v="180"/>
    <s v="january"/>
    <s v="Pure Harmony Solutions"/>
    <x v="0"/>
    <x v="2"/>
    <x v="19"/>
    <s v="Female"/>
    <n v="20"/>
    <n v="803"/>
    <n v="941"/>
    <n v="16060"/>
    <n v="18820"/>
    <n v="2760"/>
    <s v="profit"/>
  </r>
  <r>
    <x v="181"/>
    <s v="december"/>
    <s v="Radiance Media Ventures"/>
    <x v="2"/>
    <x v="6"/>
    <x v="8"/>
    <s v="Female"/>
    <n v="24"/>
    <n v="651"/>
    <n v="1386"/>
    <n v="15624"/>
    <n v="33264"/>
    <n v="17640"/>
    <s v="profit"/>
  </r>
  <r>
    <x v="182"/>
    <s v="december"/>
    <s v="Zenith Edge Services"/>
    <x v="2"/>
    <x v="6"/>
    <x v="19"/>
    <s v="Male"/>
    <n v="20"/>
    <n v="565"/>
    <n v="943"/>
    <n v="11300"/>
    <n v="18860"/>
    <n v="7560"/>
    <s v="profit"/>
  </r>
  <r>
    <x v="183"/>
    <s v="february"/>
    <s v="Stellar Consulting Services"/>
    <x v="2"/>
    <x v="6"/>
    <x v="8"/>
    <s v="Female"/>
    <n v="22"/>
    <n v="810"/>
    <n v="1201"/>
    <n v="17820"/>
    <n v="26422"/>
    <n v="8602"/>
    <s v="profit"/>
  </r>
  <r>
    <x v="184"/>
    <s v="february"/>
    <s v="Radiant Ventures"/>
    <x v="2"/>
    <x v="6"/>
    <x v="18"/>
    <s v="Female"/>
    <n v="23"/>
    <n v="827"/>
    <n v="1185"/>
    <n v="19021"/>
    <n v="27255"/>
    <n v="8234"/>
    <s v="profit"/>
  </r>
  <r>
    <x v="185"/>
    <s v="february"/>
    <s v="Harmony Tech Co."/>
    <x v="2"/>
    <x v="6"/>
    <x v="19"/>
    <s v="Female"/>
    <n v="23"/>
    <n v="570"/>
    <n v="1230"/>
    <n v="13110"/>
    <n v="28290"/>
    <n v="15180"/>
    <s v="profit"/>
  </r>
  <r>
    <x v="186"/>
    <s v="january"/>
    <s v="Zenith Path Solutions"/>
    <x v="0"/>
    <x v="2"/>
    <x v="4"/>
    <s v="Female"/>
    <n v="19"/>
    <n v="911"/>
    <n v="1116"/>
    <n v="17309"/>
    <n v="21204"/>
    <n v="3895"/>
    <s v="profit"/>
  </r>
  <r>
    <x v="187"/>
    <s v="february"/>
    <s v="Zenith Creative Ventures"/>
    <x v="2"/>
    <x v="6"/>
    <x v="0"/>
    <s v="Male"/>
    <n v="21"/>
    <n v="938"/>
    <n v="1275"/>
    <n v="19698"/>
    <n v="26775"/>
    <n v="7077"/>
    <s v="profit"/>
  </r>
  <r>
    <x v="188"/>
    <s v="february"/>
    <s v="Apex Health Services"/>
    <x v="2"/>
    <x v="6"/>
    <x v="1"/>
    <s v="Male"/>
    <n v="24"/>
    <n v="993"/>
    <n v="987"/>
    <n v="23832"/>
    <n v="23688"/>
    <n v="-144"/>
    <s v="loss"/>
  </r>
  <r>
    <x v="189"/>
    <s v="february"/>
    <s v="Pure Vision Media"/>
    <x v="2"/>
    <x v="6"/>
    <x v="2"/>
    <s v="Male"/>
    <n v="20"/>
    <n v="534"/>
    <n v="1233"/>
    <n v="10680"/>
    <n v="24660"/>
    <n v="13980"/>
    <s v="profit"/>
  </r>
  <r>
    <x v="190"/>
    <s v="january"/>
    <s v="Legacy Media Solutions"/>
    <x v="0"/>
    <x v="2"/>
    <x v="5"/>
    <s v="Male"/>
    <n v="10"/>
    <n v="911"/>
    <n v="1097"/>
    <n v="9110"/>
    <n v="10970"/>
    <n v="1860"/>
    <s v="profit"/>
  </r>
  <r>
    <x v="191"/>
    <s v="february"/>
    <s v="Legacy Innovations Group"/>
    <x v="2"/>
    <x v="6"/>
    <x v="3"/>
    <s v="Male"/>
    <n v="23"/>
    <n v="761"/>
    <n v="901"/>
    <n v="17503"/>
    <n v="20723"/>
    <n v="3220"/>
    <s v="profit"/>
  </r>
  <r>
    <x v="192"/>
    <s v="february"/>
    <s v="Pinnacle Consulting Co."/>
    <x v="2"/>
    <x v="6"/>
    <x v="3"/>
    <s v="Male"/>
    <n v="23"/>
    <n v="701"/>
    <n v="1322"/>
    <n v="16123"/>
    <n v="30406"/>
    <n v="14283"/>
    <s v="profit"/>
  </r>
  <r>
    <x v="193"/>
    <s v="february"/>
    <s v="Stellar Finance Group"/>
    <x v="2"/>
    <x v="6"/>
    <x v="4"/>
    <s v="Female"/>
    <n v="25"/>
    <n v="541"/>
    <n v="1090"/>
    <n v="13525"/>
    <n v="27250"/>
    <n v="13725"/>
    <s v="profit"/>
  </r>
  <r>
    <x v="194"/>
    <s v="february"/>
    <s v="Harmony Ventures Group"/>
    <x v="2"/>
    <x v="6"/>
    <x v="6"/>
    <s v="Female"/>
    <n v="28"/>
    <n v="708"/>
    <n v="1358"/>
    <n v="19824"/>
    <n v="38024"/>
    <n v="18200"/>
    <s v="profit"/>
  </r>
  <r>
    <x v="78"/>
    <s v="april"/>
    <s v="Bharat Innovations"/>
    <x v="2"/>
    <x v="3"/>
    <x v="14"/>
    <s v="Male"/>
    <n v="28"/>
    <n v="826"/>
    <n v="929"/>
    <n v="23128"/>
    <n v="26012"/>
    <n v="2884"/>
    <s v="profit"/>
  </r>
  <r>
    <x v="79"/>
    <s v="april"/>
    <s v="Green Leaf Enterprises"/>
    <x v="2"/>
    <x v="8"/>
    <x v="8"/>
    <s v="Male"/>
    <n v="25"/>
    <n v="952"/>
    <n v="1261"/>
    <n v="23800"/>
    <n v="31525"/>
    <n v="7725"/>
    <s v="profit"/>
  </r>
  <r>
    <x v="80"/>
    <s v="april"/>
    <s v="Urban Pulse Technologies"/>
    <x v="2"/>
    <x v="8"/>
    <x v="3"/>
    <s v="Male"/>
    <n v="20"/>
    <n v="940"/>
    <n v="1259"/>
    <n v="18800"/>
    <n v="25180"/>
    <n v="6380"/>
    <s v="profit"/>
  </r>
  <r>
    <x v="82"/>
    <s v="april"/>
    <s v="Mystic India Exports"/>
    <x v="2"/>
    <x v="8"/>
    <x v="13"/>
    <s v="Male"/>
    <n v="22"/>
    <n v="785"/>
    <n v="1292"/>
    <n v="17270"/>
    <n v="28424"/>
    <n v="11154"/>
    <s v="profit"/>
  </r>
  <r>
    <x v="83"/>
    <s v="april"/>
    <s v="Pure Essence Skincare"/>
    <x v="2"/>
    <x v="3"/>
    <x v="12"/>
    <s v="Female"/>
    <n v="21"/>
    <n v="879"/>
    <n v="1019"/>
    <n v="18459"/>
    <n v="21399"/>
    <n v="2940"/>
    <s v="profit"/>
  </r>
  <r>
    <x v="84"/>
    <s v="april"/>
    <s v="Zenith Construction Co."/>
    <x v="2"/>
    <x v="3"/>
    <x v="6"/>
    <s v="Female"/>
    <n v="28"/>
    <n v="937"/>
    <n v="872"/>
    <n v="26236"/>
    <n v="24416"/>
    <n v="-1820"/>
    <s v="loss"/>
  </r>
  <r>
    <x v="195"/>
    <s v="february"/>
    <s v="Radiant Solutions Co."/>
    <x v="2"/>
    <x v="6"/>
    <x v="5"/>
    <s v="Female"/>
    <n v="26"/>
    <n v="751"/>
    <n v="1292"/>
    <n v="19526"/>
    <n v="33592"/>
    <n v="14066"/>
    <s v="profit"/>
  </r>
  <r>
    <x v="85"/>
    <s v="april"/>
    <s v="Radiant Health Systems"/>
    <x v="2"/>
    <x v="3"/>
    <x v="7"/>
    <s v="Female"/>
    <n v="22"/>
    <n v="832"/>
    <n v="769"/>
    <n v="18304"/>
    <n v="16918"/>
    <n v="-1386"/>
    <s v="loss"/>
  </r>
  <r>
    <x v="87"/>
    <s v="april"/>
    <s v="Divine Creations"/>
    <x v="2"/>
    <x v="3"/>
    <x v="7"/>
    <s v="Female"/>
    <n v="28"/>
    <n v="832"/>
    <n v="1028"/>
    <n v="23296"/>
    <n v="28784"/>
    <n v="5488"/>
    <s v="profit"/>
  </r>
  <r>
    <x v="88"/>
    <s v="april"/>
    <s v="True Path Logistics"/>
    <x v="2"/>
    <x v="3"/>
    <x v="4"/>
    <s v="Female"/>
    <n v="22"/>
    <n v="622"/>
    <n v="822"/>
    <n v="13684"/>
    <n v="18084"/>
    <n v="4400"/>
    <s v="profit"/>
  </r>
  <r>
    <x v="196"/>
    <s v="february"/>
    <s v="Modern Travel Solutions"/>
    <x v="1"/>
    <x v="5"/>
    <x v="13"/>
    <s v="Female"/>
    <n v="55"/>
    <n v="856"/>
    <n v="756"/>
    <n v="47080"/>
    <n v="41580"/>
    <n v="-5500"/>
    <s v="loss"/>
  </r>
  <r>
    <x v="90"/>
    <s v="april"/>
    <s v="Prestige Automobiles"/>
    <x v="2"/>
    <x v="4"/>
    <x v="7"/>
    <s v="Male"/>
    <n v="23"/>
    <n v="663"/>
    <n v="1153"/>
    <n v="15249"/>
    <n v="26519"/>
    <n v="11270"/>
    <s v="profit"/>
  </r>
  <r>
    <x v="92"/>
    <s v="april"/>
    <s v="Natural Bliss Beverages"/>
    <x v="2"/>
    <x v="4"/>
    <x v="13"/>
    <s v="Male"/>
    <n v="23"/>
    <n v="779"/>
    <n v="1415"/>
    <n v="17917"/>
    <n v="32545"/>
    <n v="14628"/>
    <s v="profit"/>
  </r>
  <r>
    <x v="94"/>
    <s v="april"/>
    <s v="Modern Trends Fashion"/>
    <x v="2"/>
    <x v="4"/>
    <x v="7"/>
    <s v="Female"/>
    <n v="29"/>
    <n v="952"/>
    <n v="1428"/>
    <n v="27608"/>
    <n v="41412"/>
    <n v="13804"/>
    <s v="profit"/>
  </r>
  <r>
    <x v="95"/>
    <s v="april"/>
    <s v="Heritage Crafts"/>
    <x v="2"/>
    <x v="4"/>
    <x v="5"/>
    <s v="Female"/>
    <n v="26"/>
    <n v="983"/>
    <n v="1270"/>
    <n v="25558"/>
    <n v="33020"/>
    <n v="7462"/>
    <s v="profit"/>
  </r>
  <r>
    <x v="96"/>
    <s v="april"/>
    <s v="Future Insights Analytics"/>
    <x v="2"/>
    <x v="4"/>
    <x v="17"/>
    <s v="Female"/>
    <n v="28"/>
    <n v="814"/>
    <n v="1343"/>
    <n v="22792"/>
    <n v="37604"/>
    <n v="14812"/>
    <s v="profit"/>
  </r>
  <r>
    <x v="97"/>
    <s v="april"/>
    <s v="Emerald Estate Developers"/>
    <x v="2"/>
    <x v="4"/>
    <x v="8"/>
    <s v="Female"/>
    <n v="26"/>
    <n v="835"/>
    <n v="973"/>
    <n v="21710"/>
    <n v="25298"/>
    <n v="3588"/>
    <s v="profit"/>
  </r>
  <r>
    <x v="197"/>
    <s v="february"/>
    <s v="Zenith Tech Solutions"/>
    <x v="1"/>
    <x v="5"/>
    <x v="18"/>
    <s v="Male"/>
    <n v="88"/>
    <n v="635"/>
    <n v="1370"/>
    <n v="55880"/>
    <n v="120560"/>
    <n v="64680"/>
    <s v="profit"/>
  </r>
  <r>
    <x v="98"/>
    <s v="april"/>
    <s v="Starlight Media Group"/>
    <x v="2"/>
    <x v="4"/>
    <x v="18"/>
    <s v="Female"/>
    <n v="24"/>
    <n v="631"/>
    <n v="1304"/>
    <n v="15144"/>
    <n v="31296"/>
    <n v="16152"/>
    <s v="profit"/>
  </r>
  <r>
    <x v="99"/>
    <s v="may"/>
    <s v="Supreme Electronics"/>
    <x v="2"/>
    <x v="4"/>
    <x v="19"/>
    <s v="Female"/>
    <n v="24"/>
    <n v="833"/>
    <n v="1280"/>
    <n v="19992"/>
    <n v="30720"/>
    <n v="10728"/>
    <s v="profit"/>
  </r>
  <r>
    <x v="100"/>
    <s v="may"/>
    <s v="Optimum Wellness"/>
    <x v="2"/>
    <x v="4"/>
    <x v="0"/>
    <s v="Male"/>
    <n v="21"/>
    <n v="680"/>
    <n v="1049"/>
    <n v="14280"/>
    <n v="22029"/>
    <n v="7749"/>
    <s v="profit"/>
  </r>
  <r>
    <x v="101"/>
    <s v="may"/>
    <s v="Zenith Books Publishing"/>
    <x v="2"/>
    <x v="4"/>
    <x v="1"/>
    <s v="Male"/>
    <n v="23"/>
    <n v="667"/>
    <n v="962"/>
    <n v="15341"/>
    <n v="22126"/>
    <n v="6785"/>
    <s v="profit"/>
  </r>
  <r>
    <x v="102"/>
    <s v="may"/>
    <s v="Pinnacle Innovations"/>
    <x v="2"/>
    <x v="4"/>
    <x v="2"/>
    <s v="Male"/>
    <n v="24"/>
    <n v="504"/>
    <n v="1283"/>
    <n v="12096"/>
    <n v="30792"/>
    <n v="18696"/>
    <s v="profit"/>
  </r>
  <r>
    <x v="103"/>
    <s v="may"/>
    <s v="Apex Travel Services"/>
    <x v="2"/>
    <x v="4"/>
    <x v="3"/>
    <s v="Male"/>
    <n v="26"/>
    <n v="985"/>
    <n v="1407"/>
    <n v="25610"/>
    <n v="36582"/>
    <n v="10972"/>
    <s v="profit"/>
  </r>
  <r>
    <x v="104"/>
    <s v="may"/>
    <s v="Golden Era Realty"/>
    <x v="2"/>
    <x v="4"/>
    <x v="3"/>
    <s v="Female"/>
    <n v="27"/>
    <n v="890"/>
    <n v="853"/>
    <n v="24030"/>
    <n v="23031"/>
    <n v="-999"/>
    <s v="loss"/>
  </r>
  <r>
    <x v="106"/>
    <s v="may"/>
    <s v="Radiant Jewelry"/>
    <x v="2"/>
    <x v="6"/>
    <x v="4"/>
    <s v="Female"/>
    <n v="21"/>
    <n v="722"/>
    <n v="1247"/>
    <n v="15162"/>
    <n v="26187"/>
    <n v="11025"/>
    <s v="profit"/>
  </r>
  <r>
    <x v="107"/>
    <s v="may"/>
    <s v="Infinity Ventures"/>
    <x v="2"/>
    <x v="6"/>
    <x v="5"/>
    <s v="Female"/>
    <n v="22"/>
    <n v="725"/>
    <n v="765"/>
    <n v="15950"/>
    <n v="16830"/>
    <n v="880"/>
    <s v="profit"/>
  </r>
  <r>
    <x v="109"/>
    <s v="may"/>
    <s v="Royal Taste Foods"/>
    <x v="2"/>
    <x v="6"/>
    <x v="3"/>
    <s v="Female"/>
    <n v="26"/>
    <n v="509"/>
    <n v="1120"/>
    <n v="13234"/>
    <n v="29120"/>
    <n v="15886"/>
    <s v="profit"/>
  </r>
  <r>
    <x v="6"/>
    <s v="april"/>
    <s v="Apex Solutions"/>
    <x v="1"/>
    <x v="1"/>
    <x v="6"/>
    <s v="Male"/>
    <n v="55"/>
    <n v="906"/>
    <n v="880"/>
    <n v="49830"/>
    <n v="48400"/>
    <n v="-1430"/>
    <s v="loss"/>
  </r>
  <r>
    <x v="110"/>
    <s v="may"/>
    <s v="Harmony Homes"/>
    <x v="2"/>
    <x v="6"/>
    <x v="15"/>
    <s v="Female"/>
    <n v="28"/>
    <n v="905"/>
    <n v="958"/>
    <n v="25340"/>
    <n v="26824"/>
    <n v="1484"/>
    <s v="profit"/>
  </r>
  <r>
    <x v="111"/>
    <s v="may"/>
    <s v="Urban Edge Consulting"/>
    <x v="2"/>
    <x v="6"/>
    <x v="14"/>
    <s v="Female"/>
    <n v="22"/>
    <n v="866"/>
    <n v="1453"/>
    <n v="19052"/>
    <n v="31966"/>
    <n v="12914"/>
    <s v="profit"/>
  </r>
  <r>
    <x v="112"/>
    <s v="may"/>
    <s v="Prime Tech Innovations"/>
    <x v="2"/>
    <x v="6"/>
    <x v="8"/>
    <s v="Female"/>
    <n v="23"/>
    <n v="816"/>
    <n v="1273"/>
    <n v="18768"/>
    <n v="29279"/>
    <n v="10511"/>
    <s v="profit"/>
  </r>
  <r>
    <x v="114"/>
    <s v="may"/>
    <s v="Legacy Designs"/>
    <x v="2"/>
    <x v="6"/>
    <x v="3"/>
    <s v="Female"/>
    <n v="30"/>
    <n v="738"/>
    <n v="1216"/>
    <n v="22140"/>
    <n v="36480"/>
    <n v="14340"/>
    <s v="profit"/>
  </r>
  <r>
    <x v="115"/>
    <s v="may"/>
    <s v="Virtue Enterprises"/>
    <x v="2"/>
    <x v="6"/>
    <x v="13"/>
    <s v="Female"/>
    <n v="24"/>
    <n v="653"/>
    <n v="1293"/>
    <n v="15672"/>
    <n v="31032"/>
    <n v="15360"/>
    <s v="profit"/>
  </r>
  <r>
    <x v="12"/>
    <s v="april"/>
    <s v="Metro Tech Solutions"/>
    <x v="2"/>
    <x v="3"/>
    <x v="8"/>
    <s v="Female"/>
    <n v="22"/>
    <n v="692"/>
    <n v="906"/>
    <n v="15224"/>
    <n v="19932"/>
    <n v="4708"/>
    <s v="profit"/>
  </r>
  <r>
    <x v="116"/>
    <s v="may"/>
    <s v="Radiant Health Club"/>
    <x v="2"/>
    <x v="6"/>
    <x v="15"/>
    <s v="Female"/>
    <n v="30"/>
    <n v="583"/>
    <n v="1500"/>
    <n v="17490"/>
    <n v="45000"/>
    <n v="27510"/>
    <s v="profit"/>
  </r>
  <r>
    <x v="118"/>
    <s v="may"/>
    <s v="Bright Horizon Ventures"/>
    <x v="2"/>
    <x v="6"/>
    <x v="16"/>
    <s v="Male"/>
    <n v="26"/>
    <n v="1000"/>
    <n v="765"/>
    <n v="26000"/>
    <n v="19890"/>
    <n v="-6110"/>
    <s v="loss"/>
  </r>
  <r>
    <x v="120"/>
    <s v="may"/>
    <s v="Modern Lifestyle Products"/>
    <x v="2"/>
    <x v="6"/>
    <x v="6"/>
    <s v="Male"/>
    <n v="27"/>
    <n v="913"/>
    <n v="1197"/>
    <n v="24651"/>
    <n v="32319"/>
    <n v="7668"/>
    <s v="profit"/>
  </r>
  <r>
    <x v="121"/>
    <s v="may"/>
    <s v="Nexus Trading Co."/>
    <x v="2"/>
    <x v="6"/>
    <x v="8"/>
    <s v="Male"/>
    <n v="29"/>
    <n v="735"/>
    <n v="1388"/>
    <n v="21315"/>
    <n v="40252"/>
    <n v="18937"/>
    <s v="profit"/>
  </r>
  <r>
    <x v="122"/>
    <s v="july"/>
    <s v="Radiance Health and Wellness"/>
    <x v="2"/>
    <x v="6"/>
    <x v="7"/>
    <s v="Male"/>
    <n v="29"/>
    <n v="965"/>
    <n v="1195"/>
    <n v="27985"/>
    <n v="34655"/>
    <n v="6670"/>
    <s v="profit"/>
  </r>
  <r>
    <x v="123"/>
    <s v="july"/>
    <s v="Legacy Auto Works"/>
    <x v="2"/>
    <x v="6"/>
    <x v="13"/>
    <s v="Male"/>
    <n v="24"/>
    <n v="970"/>
    <n v="1256"/>
    <n v="23280"/>
    <n v="30144"/>
    <n v="6864"/>
    <s v="profit"/>
  </r>
  <r>
    <x v="124"/>
    <s v="july"/>
    <s v="Prime Essence Creations"/>
    <x v="2"/>
    <x v="6"/>
    <x v="13"/>
    <s v="Male"/>
    <n v="22"/>
    <n v="974"/>
    <n v="1329"/>
    <n v="21428"/>
    <n v="29238"/>
    <n v="7810"/>
    <s v="profit"/>
  </r>
  <r>
    <x v="125"/>
    <s v="july"/>
    <s v="Quantum Ventures"/>
    <x v="2"/>
    <x v="6"/>
    <x v="12"/>
    <s v="Male"/>
    <n v="21"/>
    <n v="915"/>
    <n v="1442"/>
    <n v="19215"/>
    <n v="30282"/>
    <n v="11067"/>
    <s v="profit"/>
  </r>
  <r>
    <x v="126"/>
    <s v="july"/>
    <s v="Urban Legends Apparel"/>
    <x v="2"/>
    <x v="6"/>
    <x v="5"/>
    <s v="Female"/>
    <n v="27"/>
    <n v="605"/>
    <n v="826"/>
    <n v="16335"/>
    <n v="22302"/>
    <n v="5967"/>
    <s v="profit"/>
  </r>
  <r>
    <x v="22"/>
    <s v="april"/>
    <s v="Elite Marketing Solutions"/>
    <x v="2"/>
    <x v="4"/>
    <x v="13"/>
    <s v="Male"/>
    <n v="29"/>
    <n v="893"/>
    <n v="865"/>
    <n v="25897"/>
    <n v="25085"/>
    <n v="-812"/>
    <s v="loss"/>
  </r>
  <r>
    <x v="127"/>
    <s v="july"/>
    <s v="Pure Bliss Beverages"/>
    <x v="2"/>
    <x v="6"/>
    <x v="17"/>
    <s v="Female"/>
    <n v="29"/>
    <n v="689"/>
    <n v="783"/>
    <n v="19981"/>
    <n v="22707"/>
    <n v="2726"/>
    <s v="profit"/>
  </r>
  <r>
    <x v="24"/>
    <s v="april"/>
    <s v="Crystal Clear Solutions"/>
    <x v="2"/>
    <x v="4"/>
    <x v="12"/>
    <s v="Female"/>
    <n v="24"/>
    <n v="859"/>
    <n v="1473"/>
    <n v="20616"/>
    <n v="35352"/>
    <n v="14736"/>
    <s v="profit"/>
  </r>
  <r>
    <x v="128"/>
    <s v="july"/>
    <s v="Noble Heights Builders"/>
    <x v="2"/>
    <x v="6"/>
    <x v="8"/>
    <s v="Female"/>
    <n v="25"/>
    <n v="861"/>
    <n v="843"/>
    <n v="21525"/>
    <n v="21075"/>
    <n v="-450"/>
    <s v="loss"/>
  </r>
  <r>
    <x v="130"/>
    <s v="july"/>
    <s v="Radiant Foods"/>
    <x v="2"/>
    <x v="6"/>
    <x v="18"/>
    <s v="Female"/>
    <n v="22"/>
    <n v="629"/>
    <n v="1263"/>
    <n v="13838"/>
    <n v="27786"/>
    <n v="13948"/>
    <s v="profit"/>
  </r>
  <r>
    <x v="131"/>
    <s v="july"/>
    <s v="Zenith Financial Services"/>
    <x v="2"/>
    <x v="6"/>
    <x v="19"/>
    <s v="Female"/>
    <n v="22"/>
    <n v="779"/>
    <n v="1301"/>
    <n v="17138"/>
    <n v="28622"/>
    <n v="11484"/>
    <s v="profit"/>
  </r>
  <r>
    <x v="133"/>
    <s v="july"/>
    <s v="Apex Travel Ventures"/>
    <x v="2"/>
    <x v="6"/>
    <x v="0"/>
    <s v="Female"/>
    <n v="23"/>
    <n v="730"/>
    <n v="1189"/>
    <n v="16790"/>
    <n v="27347"/>
    <n v="10557"/>
    <s v="profit"/>
  </r>
  <r>
    <x v="134"/>
    <s v="august"/>
    <s v="Future Vision Realty"/>
    <x v="2"/>
    <x v="6"/>
    <x v="8"/>
    <s v="Male"/>
    <n v="26"/>
    <n v="847"/>
    <n v="1116"/>
    <n v="22022"/>
    <n v="29016"/>
    <n v="6994"/>
    <s v="profit"/>
  </r>
  <r>
    <x v="135"/>
    <s v="august"/>
    <s v="Urban Pulse Media"/>
    <x v="2"/>
    <x v="6"/>
    <x v="9"/>
    <s v="Male"/>
    <n v="24"/>
    <n v="942"/>
    <n v="1313"/>
    <n v="22608"/>
    <n v="31512"/>
    <n v="8904"/>
    <s v="profit"/>
  </r>
  <r>
    <x v="136"/>
    <s v="august"/>
    <s v="True Essence Health"/>
    <x v="2"/>
    <x v="6"/>
    <x v="4"/>
    <s v="Female"/>
    <n v="20"/>
    <n v="751"/>
    <n v="861"/>
    <n v="15020"/>
    <n v="17220"/>
    <n v="2200"/>
    <s v="profit"/>
  </r>
  <r>
    <x v="138"/>
    <s v="august"/>
    <s v="Radiant Vision Realty"/>
    <x v="2"/>
    <x v="6"/>
    <x v="11"/>
    <s v="Male"/>
    <n v="28"/>
    <n v="855"/>
    <n v="930"/>
    <n v="23940"/>
    <n v="26040"/>
    <n v="2100"/>
    <s v="profit"/>
  </r>
  <r>
    <x v="139"/>
    <s v="august"/>
    <s v="Harmony Consulting Group"/>
    <x v="2"/>
    <x v="6"/>
    <x v="6"/>
    <s v="Male"/>
    <n v="22"/>
    <n v="806"/>
    <n v="1391"/>
    <n v="17732"/>
    <n v="30602"/>
    <n v="12870"/>
    <s v="profit"/>
  </r>
  <r>
    <x v="141"/>
    <s v="august"/>
    <s v="Zenith Tech Ventures"/>
    <x v="2"/>
    <x v="6"/>
    <x v="7"/>
    <s v="Male"/>
    <n v="30"/>
    <n v="624"/>
    <n v="999"/>
    <n v="18720"/>
    <n v="29970"/>
    <n v="11250"/>
    <s v="profit"/>
  </r>
  <r>
    <x v="142"/>
    <s v="august"/>
    <s v="Stellar Health Services"/>
    <x v="2"/>
    <x v="6"/>
    <x v="7"/>
    <s v="Female"/>
    <n v="25"/>
    <n v="533"/>
    <n v="860"/>
    <n v="13325"/>
    <n v="21500"/>
    <n v="8175"/>
    <s v="profit"/>
  </r>
  <r>
    <x v="143"/>
    <s v="august"/>
    <s v="Pure Path Foods"/>
    <x v="2"/>
    <x v="6"/>
    <x v="13"/>
    <s v="Female"/>
    <n v="20"/>
    <n v="681"/>
    <n v="823"/>
    <n v="13620"/>
    <n v="16460"/>
    <n v="2840"/>
    <s v="profit"/>
  </r>
  <r>
    <x v="144"/>
    <s v="august"/>
    <s v="Bright Horizon Realty"/>
    <x v="2"/>
    <x v="6"/>
    <x v="12"/>
    <s v="Female"/>
    <n v="23"/>
    <n v="577"/>
    <n v="1125"/>
    <n v="13271"/>
    <n v="25875"/>
    <n v="12604"/>
    <s v="profit"/>
  </r>
  <r>
    <x v="146"/>
    <s v="october"/>
    <s v="Crystal Clear Consulting"/>
    <x v="2"/>
    <x v="8"/>
    <x v="12"/>
    <s v="Female"/>
    <n v="28"/>
    <n v="537"/>
    <n v="828"/>
    <n v="15036"/>
    <n v="23184"/>
    <n v="8148"/>
    <s v="profit"/>
  </r>
  <r>
    <x v="147"/>
    <s v="october"/>
    <s v="Zenith Innovations"/>
    <x v="2"/>
    <x v="8"/>
    <x v="5"/>
    <s v="Male"/>
    <n v="23"/>
    <n v="746"/>
    <n v="1410"/>
    <n v="17158"/>
    <n v="32430"/>
    <n v="15272"/>
    <s v="profit"/>
  </r>
  <r>
    <x v="148"/>
    <s v="october"/>
    <s v="True Essence Innovations"/>
    <x v="2"/>
    <x v="3"/>
    <x v="0"/>
    <s v="Male"/>
    <n v="29"/>
    <n v="895"/>
    <n v="882"/>
    <n v="25955"/>
    <n v="25578"/>
    <n v="-377"/>
    <s v="loss"/>
  </r>
  <r>
    <x v="150"/>
    <s v="november"/>
    <s v="Pinnacle Media Group"/>
    <x v="2"/>
    <x v="3"/>
    <x v="1"/>
    <s v="Male"/>
    <n v="26"/>
    <n v="728"/>
    <n v="1466"/>
    <n v="18928"/>
    <n v="38116"/>
    <n v="19188"/>
    <s v="profit"/>
  </r>
  <r>
    <x v="152"/>
    <s v="november"/>
    <s v="Legacy Design Co."/>
    <x v="2"/>
    <x v="3"/>
    <x v="2"/>
    <s v="Male"/>
    <n v="22"/>
    <n v="586"/>
    <n v="1206"/>
    <n v="12892"/>
    <n v="26532"/>
    <n v="13640"/>
    <s v="profit"/>
  </r>
  <r>
    <x v="153"/>
    <s v="november"/>
    <s v="Apex Health Products"/>
    <x v="2"/>
    <x v="3"/>
    <x v="3"/>
    <s v="Female"/>
    <n v="29"/>
    <n v="724"/>
    <n v="858"/>
    <n v="20996"/>
    <n v="24882"/>
    <n v="3886"/>
    <s v="profit"/>
  </r>
  <r>
    <x v="154"/>
    <s v="november"/>
    <s v="Zenith Travel Ventures"/>
    <x v="2"/>
    <x v="3"/>
    <x v="3"/>
    <s v="Female"/>
    <n v="20"/>
    <n v="941"/>
    <n v="1181"/>
    <n v="18820"/>
    <n v="23620"/>
    <n v="4800"/>
    <s v="profit"/>
  </r>
  <r>
    <x v="155"/>
    <s v="november"/>
    <s v="Pure Path Consulting"/>
    <x v="2"/>
    <x v="3"/>
    <x v="4"/>
    <s v="Female"/>
    <n v="22"/>
    <n v="618"/>
    <n v="1373"/>
    <n v="13596"/>
    <n v="30206"/>
    <n v="16610"/>
    <s v="profit"/>
  </r>
  <r>
    <x v="157"/>
    <s v="november"/>
    <s v="Harmony Educational Group"/>
    <x v="2"/>
    <x v="4"/>
    <x v="15"/>
    <s v="Male"/>
    <n v="28"/>
    <n v="896"/>
    <n v="1363"/>
    <n v="25088"/>
    <n v="38164"/>
    <n v="13076"/>
    <s v="profit"/>
  </r>
  <r>
    <x v="158"/>
    <s v="november"/>
    <s v="Radiant Design Studio"/>
    <x v="2"/>
    <x v="4"/>
    <x v="6"/>
    <s v="Male"/>
    <n v="28"/>
    <n v="986"/>
    <n v="866"/>
    <n v="27608"/>
    <n v="24248"/>
    <n v="-3360"/>
    <s v="loss"/>
  </r>
  <r>
    <x v="159"/>
    <s v="november"/>
    <s v="Zenith Health Innovations"/>
    <x v="2"/>
    <x v="4"/>
    <x v="8"/>
    <s v="Male"/>
    <n v="27"/>
    <n v="951"/>
    <n v="1255"/>
    <n v="25677"/>
    <n v="33885"/>
    <n v="8208"/>
    <s v="profit"/>
  </r>
  <r>
    <x v="49"/>
    <s v="may"/>
    <s v="Absolute Solutions"/>
    <x v="1"/>
    <x v="5"/>
    <x v="6"/>
    <s v="Male"/>
    <n v="63"/>
    <n v="929"/>
    <n v="1320"/>
    <n v="58527"/>
    <n v="83160"/>
    <n v="24633"/>
    <s v="profit"/>
  </r>
  <r>
    <x v="160"/>
    <s v="november"/>
    <s v="Apex Realty Ventures"/>
    <x v="2"/>
    <x v="4"/>
    <x v="12"/>
    <s v="Male"/>
    <n v="22"/>
    <n v="783"/>
    <n v="886"/>
    <n v="17226"/>
    <n v="19492"/>
    <n v="2266"/>
    <s v="profit"/>
  </r>
  <r>
    <x v="161"/>
    <s v="november"/>
    <s v="True Value Ventures"/>
    <x v="2"/>
    <x v="4"/>
    <x v="7"/>
    <s v="Female"/>
    <n v="21"/>
    <n v="547"/>
    <n v="784"/>
    <n v="11487"/>
    <n v="16464"/>
    <n v="4977"/>
    <s v="profit"/>
  </r>
  <r>
    <x v="162"/>
    <s v="november"/>
    <s v="Crystal Clear Designs"/>
    <x v="2"/>
    <x v="4"/>
    <x v="8"/>
    <s v="Male"/>
    <n v="20"/>
    <n v="737"/>
    <n v="932"/>
    <n v="14740"/>
    <n v="18640"/>
    <n v="3900"/>
    <s v="profit"/>
  </r>
  <r>
    <x v="164"/>
    <s v="november"/>
    <s v="Pinnacle Innovations Co."/>
    <x v="2"/>
    <x v="4"/>
    <x v="4"/>
    <s v="Male"/>
    <n v="25"/>
    <n v="924"/>
    <n v="1062"/>
    <n v="23100"/>
    <n v="26550"/>
    <n v="3450"/>
    <s v="profit"/>
  </r>
  <r>
    <x v="166"/>
    <s v="november"/>
    <s v="Modern Pathways"/>
    <x v="2"/>
    <x v="4"/>
    <x v="8"/>
    <s v="Male"/>
    <n v="28"/>
    <n v="665"/>
    <n v="1467"/>
    <n v="18620"/>
    <n v="41076"/>
    <n v="22456"/>
    <s v="profit"/>
  </r>
  <r>
    <x v="168"/>
    <s v="november"/>
    <s v="Stellar Finance Co."/>
    <x v="2"/>
    <x v="4"/>
    <x v="9"/>
    <s v="Male"/>
    <n v="24"/>
    <n v="839"/>
    <n v="1092"/>
    <n v="20136"/>
    <n v="26208"/>
    <n v="6072"/>
    <s v="profit"/>
  </r>
  <r>
    <x v="169"/>
    <s v="november"/>
    <s v="Radiant Spectrum Group"/>
    <x v="2"/>
    <x v="4"/>
    <x v="4"/>
    <s v="Male"/>
    <n v="30"/>
    <n v="790"/>
    <n v="1245"/>
    <n v="23700"/>
    <n v="37350"/>
    <n v="13650"/>
    <s v="profit"/>
  </r>
  <r>
    <x v="170"/>
    <s v="november"/>
    <s v="Harmony Design Ventures"/>
    <x v="2"/>
    <x v="4"/>
    <x v="10"/>
    <s v="Female"/>
    <n v="30"/>
    <n v="651"/>
    <n v="1277"/>
    <n v="19530"/>
    <n v="38310"/>
    <n v="18780"/>
    <s v="profit"/>
  </r>
  <r>
    <x v="58"/>
    <s v="may"/>
    <s v="Synergy Tech Solutions"/>
    <x v="1"/>
    <x v="5"/>
    <x v="11"/>
    <s v="Male"/>
    <n v="67"/>
    <n v="796"/>
    <n v="1347"/>
    <n v="53332"/>
    <n v="90249"/>
    <n v="36917"/>
    <s v="profit"/>
  </r>
  <r>
    <x v="171"/>
    <s v="november"/>
    <s v="Elite Edge Products"/>
    <x v="2"/>
    <x v="4"/>
    <x v="11"/>
    <s v="Female"/>
    <n v="23"/>
    <n v="531"/>
    <n v="1072"/>
    <n v="12213"/>
    <n v="24656"/>
    <n v="12443"/>
    <s v="profit"/>
  </r>
  <r>
    <x v="172"/>
    <s v="november"/>
    <s v="Zenith Consulting Co."/>
    <x v="2"/>
    <x v="6"/>
    <x v="6"/>
    <s v="Female"/>
    <n v="30"/>
    <n v="591"/>
    <n v="949"/>
    <n v="17730"/>
    <n v="28470"/>
    <n v="10740"/>
    <s v="profit"/>
  </r>
  <r>
    <x v="173"/>
    <s v="november"/>
    <s v="Apex Wellness Products"/>
    <x v="2"/>
    <x v="6"/>
    <x v="7"/>
    <s v="Female"/>
    <n v="29"/>
    <n v="621"/>
    <n v="1485"/>
    <n v="18009"/>
    <n v="43065"/>
    <n v="25056"/>
    <s v="profit"/>
  </r>
  <r>
    <x v="175"/>
    <s v="december"/>
    <s v="Pure Harmony Innovations"/>
    <x v="2"/>
    <x v="6"/>
    <x v="13"/>
    <s v="Female"/>
    <n v="30"/>
    <n v="857"/>
    <n v="1455"/>
    <n v="25710"/>
    <n v="43650"/>
    <n v="17940"/>
    <s v="profit"/>
  </r>
  <r>
    <x v="176"/>
    <s v="december"/>
    <s v="Legacy Media Group"/>
    <x v="2"/>
    <x v="6"/>
    <x v="13"/>
    <s v="Female"/>
    <n v="20"/>
    <n v="897"/>
    <n v="1024"/>
    <n v="17940"/>
    <n v="20480"/>
    <n v="2540"/>
    <s v="profit"/>
  </r>
  <r>
    <x v="177"/>
    <s v="december"/>
    <s v="Horizon Tech Innovations"/>
    <x v="2"/>
    <x v="6"/>
    <x v="7"/>
    <s v="Male"/>
    <n v="22"/>
    <n v="781"/>
    <n v="1423"/>
    <n v="17182"/>
    <n v="31306"/>
    <n v="14124"/>
    <s v="profit"/>
  </r>
  <r>
    <x v="178"/>
    <s v="december"/>
    <s v="Crystal Spectrum Consulting"/>
    <x v="2"/>
    <x v="6"/>
    <x v="5"/>
    <s v="Male"/>
    <n v="20"/>
    <n v="854"/>
    <n v="956"/>
    <n v="17080"/>
    <n v="19120"/>
    <n v="2040"/>
    <s v="profit"/>
  </r>
  <r>
    <x v="179"/>
    <s v="december"/>
    <s v="Stellar Creative Co."/>
    <x v="2"/>
    <x v="6"/>
    <x v="17"/>
    <s v="Male"/>
    <n v="26"/>
    <n v="909"/>
    <n v="1206"/>
    <n v="23634"/>
    <n v="31356"/>
    <n v="7722"/>
    <s v="profit"/>
  </r>
  <r>
    <x v="181"/>
    <s v="december"/>
    <s v="Radiance Media Ventures"/>
    <x v="2"/>
    <x v="6"/>
    <x v="8"/>
    <s v="Female"/>
    <n v="20"/>
    <n v="976"/>
    <n v="905"/>
    <n v="19520"/>
    <n v="18100"/>
    <n v="-1420"/>
    <s v="loss"/>
  </r>
  <r>
    <x v="182"/>
    <s v="december"/>
    <s v="Zenith Edge Services"/>
    <x v="2"/>
    <x v="6"/>
    <x v="19"/>
    <s v="Male"/>
    <n v="24"/>
    <n v="787"/>
    <n v="1122"/>
    <n v="18888"/>
    <n v="26928"/>
    <n v="8040"/>
    <s v="profit"/>
  </r>
  <r>
    <x v="183"/>
    <s v="february"/>
    <s v="Stellar Consulting Services"/>
    <x v="2"/>
    <x v="6"/>
    <x v="8"/>
    <s v="Female"/>
    <n v="23"/>
    <n v="755"/>
    <n v="806"/>
    <n v="17365"/>
    <n v="18538"/>
    <n v="1173"/>
    <s v="profit"/>
  </r>
  <r>
    <x v="184"/>
    <s v="february"/>
    <s v="Radiant Ventures"/>
    <x v="2"/>
    <x v="6"/>
    <x v="18"/>
    <s v="Female"/>
    <n v="26"/>
    <n v="573"/>
    <n v="1309"/>
    <n v="14898"/>
    <n v="34034"/>
    <n v="19136"/>
    <s v="profit"/>
  </r>
  <r>
    <x v="185"/>
    <s v="february"/>
    <s v="Harmony Tech Co."/>
    <x v="2"/>
    <x v="6"/>
    <x v="19"/>
    <s v="Female"/>
    <n v="30"/>
    <n v="946"/>
    <n v="1089"/>
    <n v="28380"/>
    <n v="32670"/>
    <n v="4290"/>
    <s v="profit"/>
  </r>
  <r>
    <x v="187"/>
    <s v="february"/>
    <s v="Zenith Creative Ventures"/>
    <x v="2"/>
    <x v="6"/>
    <x v="0"/>
    <s v="Male"/>
    <n v="22"/>
    <n v="679"/>
    <n v="1463"/>
    <n v="14938"/>
    <n v="32186"/>
    <n v="17248"/>
    <s v="profit"/>
  </r>
  <r>
    <x v="188"/>
    <s v="february"/>
    <s v="Apex Health Services"/>
    <x v="2"/>
    <x v="6"/>
    <x v="1"/>
    <s v="Male"/>
    <n v="25"/>
    <n v="975"/>
    <n v="935"/>
    <n v="24375"/>
    <n v="23375"/>
    <n v="-1000"/>
    <s v="loss"/>
  </r>
  <r>
    <x v="189"/>
    <s v="february"/>
    <s v="Pure Vision Media"/>
    <x v="2"/>
    <x v="6"/>
    <x v="2"/>
    <s v="Male"/>
    <n v="24"/>
    <n v="642"/>
    <n v="996"/>
    <n v="15408"/>
    <n v="23904"/>
    <n v="8496"/>
    <s v="profit"/>
  </r>
  <r>
    <x v="63"/>
    <s v="june"/>
    <s v="Radiant Enterprise Solutions"/>
    <x v="0"/>
    <x v="0"/>
    <x v="3"/>
    <s v="Female"/>
    <n v="14"/>
    <n v="603"/>
    <n v="1104"/>
    <n v="8442"/>
    <n v="15456"/>
    <n v="7014"/>
    <s v="profit"/>
  </r>
  <r>
    <x v="191"/>
    <s v="february"/>
    <s v="Legacy Innovations Group"/>
    <x v="2"/>
    <x v="6"/>
    <x v="3"/>
    <s v="Male"/>
    <n v="29"/>
    <n v="598"/>
    <n v="923"/>
    <n v="17342"/>
    <n v="26767"/>
    <n v="9425"/>
    <s v="profit"/>
  </r>
  <r>
    <x v="192"/>
    <s v="february"/>
    <s v="Pinnacle Consulting Co."/>
    <x v="2"/>
    <x v="6"/>
    <x v="3"/>
    <s v="Male"/>
    <n v="22"/>
    <n v="719"/>
    <n v="1079"/>
    <n v="15818"/>
    <n v="23738"/>
    <n v="7920"/>
    <s v="profit"/>
  </r>
  <r>
    <x v="193"/>
    <s v="february"/>
    <s v="Stellar Finance Group"/>
    <x v="2"/>
    <x v="6"/>
    <x v="4"/>
    <s v="Female"/>
    <n v="30"/>
    <n v="716"/>
    <n v="956"/>
    <n v="21480"/>
    <n v="28680"/>
    <n v="7200"/>
    <s v="profit"/>
  </r>
  <r>
    <x v="194"/>
    <s v="february"/>
    <s v="Harmony Ventures Group"/>
    <x v="2"/>
    <x v="6"/>
    <x v="6"/>
    <s v="Female"/>
    <n v="29"/>
    <n v="623"/>
    <n v="919"/>
    <n v="18067"/>
    <n v="26651"/>
    <n v="8584"/>
    <s v="profit"/>
  </r>
  <r>
    <x v="78"/>
    <s v="april"/>
    <s v="Bharat Innovations"/>
    <x v="2"/>
    <x v="3"/>
    <x v="14"/>
    <s v="Male"/>
    <n v="21"/>
    <n v="553"/>
    <n v="1459"/>
    <n v="11613"/>
    <n v="30639"/>
    <n v="19026"/>
    <s v="profit"/>
  </r>
  <r>
    <x v="64"/>
    <s v="june"/>
    <s v="Infinite Solutions"/>
    <x v="1"/>
    <x v="5"/>
    <x v="8"/>
    <s v="Female"/>
    <n v="77"/>
    <n v="923"/>
    <n v="1132"/>
    <n v="71071"/>
    <n v="87164"/>
    <n v="16093"/>
    <s v="profit"/>
  </r>
  <r>
    <x v="79"/>
    <s v="april"/>
    <s v="Green Leaf Enterprises"/>
    <x v="2"/>
    <x v="8"/>
    <x v="8"/>
    <s v="Male"/>
    <n v="30"/>
    <n v="719"/>
    <n v="1162"/>
    <n v="21570"/>
    <n v="34860"/>
    <n v="13290"/>
    <s v="profit"/>
  </r>
  <r>
    <x v="80"/>
    <s v="april"/>
    <s v="Urban Pulse Technologies"/>
    <x v="2"/>
    <x v="8"/>
    <x v="3"/>
    <s v="Male"/>
    <n v="25"/>
    <n v="980"/>
    <n v="926"/>
    <n v="24500"/>
    <n v="23150"/>
    <n v="-1350"/>
    <s v="loss"/>
  </r>
  <r>
    <x v="82"/>
    <s v="april"/>
    <s v="Mystic India Exports"/>
    <x v="2"/>
    <x v="8"/>
    <x v="13"/>
    <s v="Male"/>
    <n v="22"/>
    <n v="718"/>
    <n v="1335"/>
    <n v="15796"/>
    <n v="29370"/>
    <n v="13574"/>
    <s v="profit"/>
  </r>
  <r>
    <x v="83"/>
    <s v="april"/>
    <s v="Pure Essence Skincare"/>
    <x v="2"/>
    <x v="3"/>
    <x v="12"/>
    <s v="Female"/>
    <n v="30"/>
    <n v="520"/>
    <n v="1251"/>
    <n v="15600"/>
    <n v="37530"/>
    <n v="21930"/>
    <s v="profit"/>
  </r>
  <r>
    <x v="84"/>
    <s v="april"/>
    <s v="Zenith Construction Co."/>
    <x v="2"/>
    <x v="3"/>
    <x v="6"/>
    <s v="Female"/>
    <n v="26"/>
    <n v="808"/>
    <n v="1135"/>
    <n v="21008"/>
    <n v="29510"/>
    <n v="8502"/>
    <s v="profit"/>
  </r>
  <r>
    <x v="85"/>
    <s v="april"/>
    <s v="Radiant Health Systems"/>
    <x v="2"/>
    <x v="3"/>
    <x v="7"/>
    <s v="Female"/>
    <n v="23"/>
    <n v="504"/>
    <n v="1328"/>
    <n v="11592"/>
    <n v="30544"/>
    <n v="18952"/>
    <s v="profit"/>
  </r>
  <r>
    <x v="87"/>
    <s v="april"/>
    <s v="Divine Creations"/>
    <x v="2"/>
    <x v="3"/>
    <x v="7"/>
    <s v="Female"/>
    <n v="28"/>
    <n v="918"/>
    <n v="808"/>
    <n v="25704"/>
    <n v="22624"/>
    <n v="-3080"/>
    <s v="loss"/>
  </r>
  <r>
    <x v="88"/>
    <s v="april"/>
    <s v="True Path Logistics"/>
    <x v="2"/>
    <x v="3"/>
    <x v="4"/>
    <s v="Female"/>
    <n v="27"/>
    <n v="966"/>
    <n v="850"/>
    <n v="26082"/>
    <n v="22950"/>
    <n v="-3132"/>
    <s v="loss"/>
  </r>
  <r>
    <x v="90"/>
    <s v="april"/>
    <s v="Prestige Automobiles"/>
    <x v="2"/>
    <x v="4"/>
    <x v="7"/>
    <s v="Male"/>
    <n v="20"/>
    <n v="664"/>
    <n v="924"/>
    <n v="13280"/>
    <n v="18480"/>
    <n v="5200"/>
    <s v="profit"/>
  </r>
  <r>
    <x v="92"/>
    <s v="april"/>
    <s v="Natural Bliss Beverages"/>
    <x v="2"/>
    <x v="4"/>
    <x v="13"/>
    <s v="Male"/>
    <n v="26"/>
    <n v="608"/>
    <n v="1125"/>
    <n v="15808"/>
    <n v="29250"/>
    <n v="13442"/>
    <s v="profit"/>
  </r>
  <r>
    <x v="65"/>
    <s v="july"/>
    <s v="Synergy Solutions Group"/>
    <x v="0"/>
    <x v="2"/>
    <x v="8"/>
    <s v="Female"/>
    <n v="19"/>
    <n v="860"/>
    <n v="1234"/>
    <n v="16340"/>
    <n v="23446"/>
    <n v="7106"/>
    <s v="profit"/>
  </r>
  <r>
    <x v="94"/>
    <s v="april"/>
    <s v="Modern Trends Fashion"/>
    <x v="2"/>
    <x v="4"/>
    <x v="7"/>
    <s v="Female"/>
    <n v="24"/>
    <n v="826"/>
    <n v="975"/>
    <n v="19824"/>
    <n v="23400"/>
    <n v="3576"/>
    <s v="profit"/>
  </r>
  <r>
    <x v="95"/>
    <s v="april"/>
    <s v="Heritage Crafts"/>
    <x v="2"/>
    <x v="4"/>
    <x v="5"/>
    <s v="Female"/>
    <n v="24"/>
    <n v="877"/>
    <n v="762"/>
    <n v="21048"/>
    <n v="18288"/>
    <n v="-2760"/>
    <s v="loss"/>
  </r>
  <r>
    <x v="96"/>
    <s v="april"/>
    <s v="Future Insights Analytics"/>
    <x v="2"/>
    <x v="4"/>
    <x v="17"/>
    <s v="Female"/>
    <n v="23"/>
    <n v="736"/>
    <n v="872"/>
    <n v="16928"/>
    <n v="20056"/>
    <n v="3128"/>
    <s v="profit"/>
  </r>
  <r>
    <x v="97"/>
    <s v="april"/>
    <s v="Emerald Estate Developers"/>
    <x v="2"/>
    <x v="4"/>
    <x v="8"/>
    <s v="Female"/>
    <n v="27"/>
    <n v="828"/>
    <n v="1008"/>
    <n v="22356"/>
    <n v="27216"/>
    <n v="4860"/>
    <s v="profit"/>
  </r>
  <r>
    <x v="98"/>
    <s v="april"/>
    <s v="Starlight Media Group"/>
    <x v="2"/>
    <x v="4"/>
    <x v="18"/>
    <s v="Female"/>
    <n v="28"/>
    <n v="901"/>
    <n v="1260"/>
    <n v="25228"/>
    <n v="35280"/>
    <n v="10052"/>
    <s v="profit"/>
  </r>
  <r>
    <x v="99"/>
    <s v="may"/>
    <s v="Supreme Electronics"/>
    <x v="2"/>
    <x v="4"/>
    <x v="19"/>
    <s v="Female"/>
    <n v="28"/>
    <n v="796"/>
    <n v="1407"/>
    <n v="22288"/>
    <n v="39396"/>
    <n v="17108"/>
    <s v="profit"/>
  </r>
  <r>
    <x v="100"/>
    <s v="may"/>
    <s v="Optimum Wellness"/>
    <x v="2"/>
    <x v="4"/>
    <x v="0"/>
    <s v="Male"/>
    <n v="27"/>
    <n v="794"/>
    <n v="905"/>
    <n v="21438"/>
    <n v="24435"/>
    <n v="2997"/>
    <s v="profit"/>
  </r>
  <r>
    <x v="101"/>
    <s v="may"/>
    <s v="Zenith Books Publishing"/>
    <x v="2"/>
    <x v="4"/>
    <x v="1"/>
    <s v="Male"/>
    <n v="20"/>
    <n v="812"/>
    <n v="1248"/>
    <n v="16240"/>
    <n v="24960"/>
    <n v="8720"/>
    <s v="profit"/>
  </r>
  <r>
    <x v="102"/>
    <s v="may"/>
    <s v="Pinnacle Innovations"/>
    <x v="2"/>
    <x v="4"/>
    <x v="2"/>
    <s v="Male"/>
    <n v="20"/>
    <n v="908"/>
    <n v="1130"/>
    <n v="18160"/>
    <n v="22600"/>
    <n v="4440"/>
    <s v="profit"/>
  </r>
  <r>
    <x v="103"/>
    <s v="may"/>
    <s v="Apex Travel Services"/>
    <x v="2"/>
    <x v="4"/>
    <x v="3"/>
    <s v="Male"/>
    <n v="23"/>
    <n v="846"/>
    <n v="1143"/>
    <n v="19458"/>
    <n v="26289"/>
    <n v="6831"/>
    <s v="profit"/>
  </r>
  <r>
    <x v="104"/>
    <s v="may"/>
    <s v="Golden Era Realty"/>
    <x v="2"/>
    <x v="4"/>
    <x v="3"/>
    <s v="Female"/>
    <n v="25"/>
    <n v="627"/>
    <n v="1071"/>
    <n v="15675"/>
    <n v="26775"/>
    <n v="11100"/>
    <s v="profit"/>
  </r>
  <r>
    <x v="106"/>
    <s v="may"/>
    <s v="Radiant Jewelry"/>
    <x v="2"/>
    <x v="6"/>
    <x v="4"/>
    <s v="Female"/>
    <n v="27"/>
    <n v="817"/>
    <n v="977"/>
    <n v="22059"/>
    <n v="26379"/>
    <n v="4320"/>
    <s v="profit"/>
  </r>
  <r>
    <x v="66"/>
    <s v="july"/>
    <s v="Horizon Tech Solutions"/>
    <x v="2"/>
    <x v="6"/>
    <x v="7"/>
    <s v="Female"/>
    <n v="29"/>
    <n v="929"/>
    <n v="1429"/>
    <n v="26941"/>
    <n v="41441"/>
    <n v="14500"/>
    <s v="profit"/>
  </r>
  <r>
    <x v="107"/>
    <s v="may"/>
    <s v="Infinity Ventures"/>
    <x v="2"/>
    <x v="6"/>
    <x v="5"/>
    <s v="Female"/>
    <n v="27"/>
    <n v="675"/>
    <n v="1138"/>
    <n v="18225"/>
    <n v="30726"/>
    <n v="12501"/>
    <s v="profit"/>
  </r>
  <r>
    <x v="109"/>
    <s v="may"/>
    <s v="Royal Taste Foods"/>
    <x v="2"/>
    <x v="6"/>
    <x v="3"/>
    <s v="Female"/>
    <n v="22"/>
    <n v="695"/>
    <n v="830"/>
    <n v="15290"/>
    <n v="18260"/>
    <n v="2970"/>
    <s v="profit"/>
  </r>
  <r>
    <x v="110"/>
    <s v="may"/>
    <s v="Harmony Homes"/>
    <x v="2"/>
    <x v="6"/>
    <x v="15"/>
    <s v="Female"/>
    <n v="21"/>
    <n v="781"/>
    <n v="816"/>
    <n v="16401"/>
    <n v="17136"/>
    <n v="735"/>
    <s v="profit"/>
  </r>
  <r>
    <x v="111"/>
    <s v="may"/>
    <s v="Urban Edge Consulting"/>
    <x v="2"/>
    <x v="6"/>
    <x v="14"/>
    <s v="Female"/>
    <n v="25"/>
    <n v="517"/>
    <n v="939"/>
    <n v="12925"/>
    <n v="23475"/>
    <n v="10550"/>
    <s v="profit"/>
  </r>
  <r>
    <x v="112"/>
    <s v="may"/>
    <s v="Prime Tech Innovations"/>
    <x v="2"/>
    <x v="6"/>
    <x v="8"/>
    <s v="Female"/>
    <n v="24"/>
    <n v="730"/>
    <n v="886"/>
    <n v="17520"/>
    <n v="21264"/>
    <n v="3744"/>
    <s v="profit"/>
  </r>
  <r>
    <x v="114"/>
    <s v="may"/>
    <s v="Legacy Designs"/>
    <x v="2"/>
    <x v="6"/>
    <x v="3"/>
    <s v="Female"/>
    <n v="23"/>
    <n v="811"/>
    <n v="1142"/>
    <n v="18653"/>
    <n v="26266"/>
    <n v="7613"/>
    <s v="profit"/>
  </r>
  <r>
    <x v="115"/>
    <s v="may"/>
    <s v="Virtue Enterprises"/>
    <x v="2"/>
    <x v="6"/>
    <x v="13"/>
    <s v="Female"/>
    <n v="21"/>
    <n v="967"/>
    <n v="888"/>
    <n v="20307"/>
    <n v="18648"/>
    <n v="-1659"/>
    <s v="loss"/>
  </r>
  <r>
    <x v="116"/>
    <s v="may"/>
    <s v="Radiant Health Club"/>
    <x v="2"/>
    <x v="6"/>
    <x v="15"/>
    <s v="Female"/>
    <n v="29"/>
    <n v="655"/>
    <n v="950"/>
    <n v="18995"/>
    <n v="27550"/>
    <n v="8555"/>
    <s v="profit"/>
  </r>
  <r>
    <x v="118"/>
    <s v="may"/>
    <s v="Bright Horizon Ventures"/>
    <x v="2"/>
    <x v="6"/>
    <x v="16"/>
    <s v="Male"/>
    <n v="30"/>
    <n v="616"/>
    <n v="804"/>
    <n v="18480"/>
    <n v="24120"/>
    <n v="5640"/>
    <s v="profit"/>
  </r>
  <r>
    <x v="120"/>
    <s v="may"/>
    <s v="Modern Lifestyle Products"/>
    <x v="2"/>
    <x v="6"/>
    <x v="6"/>
    <s v="Male"/>
    <n v="30"/>
    <n v="709"/>
    <n v="1209"/>
    <n v="21270"/>
    <n v="36270"/>
    <n v="15000"/>
    <s v="profit"/>
  </r>
  <r>
    <x v="121"/>
    <s v="may"/>
    <s v="Nexus Trading Co."/>
    <x v="2"/>
    <x v="6"/>
    <x v="8"/>
    <s v="Male"/>
    <n v="23"/>
    <n v="875"/>
    <n v="843"/>
    <n v="20125"/>
    <n v="19389"/>
    <n v="-736"/>
    <s v="loss"/>
  </r>
  <r>
    <x v="122"/>
    <s v="july"/>
    <s v="Radiance Health and Wellness"/>
    <x v="2"/>
    <x v="6"/>
    <x v="7"/>
    <s v="Male"/>
    <n v="26"/>
    <n v="766"/>
    <n v="836"/>
    <n v="19916"/>
    <n v="21736"/>
    <n v="1820"/>
    <s v="profit"/>
  </r>
  <r>
    <x v="123"/>
    <s v="july"/>
    <s v="Legacy Auto Works"/>
    <x v="2"/>
    <x v="6"/>
    <x v="13"/>
    <s v="Male"/>
    <n v="23"/>
    <n v="589"/>
    <n v="982"/>
    <n v="13547"/>
    <n v="22586"/>
    <n v="9039"/>
    <s v="profit"/>
  </r>
  <r>
    <x v="124"/>
    <s v="july"/>
    <s v="Prime Essence Creations"/>
    <x v="2"/>
    <x v="6"/>
    <x v="13"/>
    <s v="Male"/>
    <n v="24"/>
    <n v="718"/>
    <n v="1218"/>
    <n v="17232"/>
    <n v="29232"/>
    <n v="12000"/>
    <s v="profit"/>
  </r>
  <r>
    <x v="125"/>
    <s v="july"/>
    <s v="Quantum Ventures"/>
    <x v="2"/>
    <x v="6"/>
    <x v="12"/>
    <s v="Male"/>
    <n v="22"/>
    <n v="877"/>
    <n v="1120"/>
    <n v="19294"/>
    <n v="24640"/>
    <n v="5346"/>
    <s v="profit"/>
  </r>
  <r>
    <x v="126"/>
    <s v="july"/>
    <s v="Urban Legends Apparel"/>
    <x v="2"/>
    <x v="6"/>
    <x v="5"/>
    <s v="Female"/>
    <n v="23"/>
    <n v="641"/>
    <n v="1445"/>
    <n v="14743"/>
    <n v="33235"/>
    <n v="18492"/>
    <s v="profit"/>
  </r>
  <r>
    <x v="127"/>
    <s v="july"/>
    <s v="Pure Bliss Beverages"/>
    <x v="2"/>
    <x v="6"/>
    <x v="17"/>
    <s v="Female"/>
    <n v="30"/>
    <n v="916"/>
    <n v="1497"/>
    <n v="27480"/>
    <n v="44910"/>
    <n v="17430"/>
    <s v="profit"/>
  </r>
  <r>
    <x v="128"/>
    <s v="july"/>
    <s v="Noble Heights Builders"/>
    <x v="2"/>
    <x v="6"/>
    <x v="8"/>
    <s v="Female"/>
    <n v="28"/>
    <n v="588"/>
    <n v="784"/>
    <n v="16464"/>
    <n v="21952"/>
    <n v="5488"/>
    <s v="profit"/>
  </r>
  <r>
    <x v="67"/>
    <s v="august"/>
    <s v="Apex Wellness Solutions"/>
    <x v="1"/>
    <x v="7"/>
    <x v="15"/>
    <s v="Male"/>
    <n v="60"/>
    <n v="642"/>
    <n v="1497"/>
    <n v="38520"/>
    <n v="89820"/>
    <n v="51300"/>
    <s v="profit"/>
  </r>
  <r>
    <x v="130"/>
    <s v="july"/>
    <s v="Radiant Foods"/>
    <x v="2"/>
    <x v="6"/>
    <x v="18"/>
    <s v="Female"/>
    <n v="26"/>
    <n v="969"/>
    <n v="1087"/>
    <n v="25194"/>
    <n v="28262"/>
    <n v="3068"/>
    <s v="profit"/>
  </r>
  <r>
    <x v="131"/>
    <s v="july"/>
    <s v="Zenith Financial Services"/>
    <x v="2"/>
    <x v="6"/>
    <x v="19"/>
    <s v="Female"/>
    <n v="25"/>
    <n v="839"/>
    <n v="1233"/>
    <n v="20975"/>
    <n v="30825"/>
    <n v="9850"/>
    <s v="profit"/>
  </r>
  <r>
    <x v="133"/>
    <s v="july"/>
    <s v="Apex Travel Ventures"/>
    <x v="2"/>
    <x v="6"/>
    <x v="0"/>
    <s v="Female"/>
    <n v="25"/>
    <n v="536"/>
    <n v="1407"/>
    <n v="13400"/>
    <n v="35175"/>
    <n v="21775"/>
    <s v="profit"/>
  </r>
  <r>
    <x v="134"/>
    <s v="august"/>
    <s v="Future Vision Realty"/>
    <x v="2"/>
    <x v="6"/>
    <x v="8"/>
    <s v="Male"/>
    <n v="27"/>
    <n v="966"/>
    <n v="1255"/>
    <n v="26082"/>
    <n v="33885"/>
    <n v="7803"/>
    <s v="profit"/>
  </r>
  <r>
    <x v="68"/>
    <s v="august"/>
    <s v="Radiance Tech Solutions"/>
    <x v="0"/>
    <x v="2"/>
    <x v="6"/>
    <s v="Female"/>
    <n v="20"/>
    <n v="525"/>
    <n v="1122"/>
    <n v="10500"/>
    <n v="22440"/>
    <n v="11940"/>
    <s v="profit"/>
  </r>
  <r>
    <x v="135"/>
    <s v="august"/>
    <s v="Urban Pulse Media"/>
    <x v="2"/>
    <x v="6"/>
    <x v="9"/>
    <s v="Male"/>
    <n v="23"/>
    <n v="694"/>
    <n v="1309"/>
    <n v="15962"/>
    <n v="30107"/>
    <n v="14145"/>
    <s v="profit"/>
  </r>
  <r>
    <x v="136"/>
    <s v="august"/>
    <s v="True Essence Health"/>
    <x v="2"/>
    <x v="6"/>
    <x v="4"/>
    <s v="Female"/>
    <n v="22"/>
    <n v="749"/>
    <n v="850"/>
    <n v="16478"/>
    <n v="18700"/>
    <n v="2222"/>
    <s v="profit"/>
  </r>
  <r>
    <x v="138"/>
    <s v="august"/>
    <s v="Radiant Vision Realty"/>
    <x v="2"/>
    <x v="6"/>
    <x v="11"/>
    <s v="Male"/>
    <n v="24"/>
    <n v="845"/>
    <n v="1429"/>
    <n v="20280"/>
    <n v="34296"/>
    <n v="14016"/>
    <s v="profit"/>
  </r>
  <r>
    <x v="139"/>
    <s v="august"/>
    <s v="Harmony Consulting Group"/>
    <x v="2"/>
    <x v="6"/>
    <x v="6"/>
    <s v="Male"/>
    <n v="29"/>
    <n v="872"/>
    <n v="1351"/>
    <n v="25288"/>
    <n v="39179"/>
    <n v="13891"/>
    <s v="profit"/>
  </r>
  <r>
    <x v="141"/>
    <s v="august"/>
    <s v="Zenith Tech Ventures"/>
    <x v="2"/>
    <x v="6"/>
    <x v="7"/>
    <s v="Male"/>
    <n v="27"/>
    <n v="674"/>
    <n v="1119"/>
    <n v="18198"/>
    <n v="30213"/>
    <n v="12015"/>
    <s v="profit"/>
  </r>
  <r>
    <x v="142"/>
    <s v="august"/>
    <s v="Stellar Health Services"/>
    <x v="2"/>
    <x v="6"/>
    <x v="7"/>
    <s v="Female"/>
    <n v="27"/>
    <n v="583"/>
    <n v="1379"/>
    <n v="15741"/>
    <n v="37233"/>
    <n v="21492"/>
    <s v="profit"/>
  </r>
  <r>
    <x v="143"/>
    <s v="august"/>
    <s v="Pure Path Foods"/>
    <x v="2"/>
    <x v="6"/>
    <x v="13"/>
    <s v="Female"/>
    <n v="21"/>
    <n v="929"/>
    <n v="910"/>
    <n v="19509"/>
    <n v="19110"/>
    <n v="-399"/>
    <s v="loss"/>
  </r>
  <r>
    <x v="69"/>
    <s v="august"/>
    <s v="Apex Enterprise Solutions"/>
    <x v="2"/>
    <x v="6"/>
    <x v="10"/>
    <s v="Male"/>
    <n v="23"/>
    <n v="884"/>
    <n v="1392"/>
    <n v="20332"/>
    <n v="32016"/>
    <n v="11684"/>
    <s v="profit"/>
  </r>
  <r>
    <x v="144"/>
    <s v="august"/>
    <s v="Bright Horizon Realty"/>
    <x v="2"/>
    <x v="6"/>
    <x v="12"/>
    <s v="Female"/>
    <n v="28"/>
    <n v="873"/>
    <n v="809"/>
    <n v="24444"/>
    <n v="22652"/>
    <n v="-1792"/>
    <s v="loss"/>
  </r>
  <r>
    <x v="146"/>
    <s v="october"/>
    <s v="Crystal Clear Consulting"/>
    <x v="2"/>
    <x v="8"/>
    <x v="12"/>
    <s v="Female"/>
    <n v="21"/>
    <n v="541"/>
    <n v="1339"/>
    <n v="11361"/>
    <n v="28119"/>
    <n v="16758"/>
    <s v="profit"/>
  </r>
  <r>
    <x v="147"/>
    <s v="october"/>
    <s v="Zenith Innovations"/>
    <x v="2"/>
    <x v="8"/>
    <x v="5"/>
    <s v="Male"/>
    <n v="22"/>
    <n v="725"/>
    <n v="1268"/>
    <n v="15950"/>
    <n v="27896"/>
    <n v="11946"/>
    <s v="profit"/>
  </r>
  <r>
    <x v="148"/>
    <s v="october"/>
    <s v="True Essence Innovations"/>
    <x v="2"/>
    <x v="3"/>
    <x v="0"/>
    <s v="Male"/>
    <n v="21"/>
    <n v="596"/>
    <n v="838"/>
    <n v="12516"/>
    <n v="17598"/>
    <n v="5082"/>
    <s v="profit"/>
  </r>
  <r>
    <x v="150"/>
    <s v="november"/>
    <s v="Pinnacle Media Group"/>
    <x v="2"/>
    <x v="3"/>
    <x v="1"/>
    <s v="Male"/>
    <n v="30"/>
    <n v="910"/>
    <n v="1290"/>
    <n v="27300"/>
    <n v="38700"/>
    <n v="11400"/>
    <s v="profit"/>
  </r>
  <r>
    <x v="70"/>
    <s v="august"/>
    <s v="Prestige Solutions"/>
    <x v="2"/>
    <x v="6"/>
    <x v="13"/>
    <s v="Female"/>
    <n v="20"/>
    <n v="997"/>
    <n v="784"/>
    <n v="19940"/>
    <n v="15680"/>
    <n v="-4260"/>
    <s v="loss"/>
  </r>
  <r>
    <x v="152"/>
    <s v="november"/>
    <s v="Legacy Design Co."/>
    <x v="2"/>
    <x v="3"/>
    <x v="2"/>
    <s v="Male"/>
    <n v="25"/>
    <n v="532"/>
    <n v="1358"/>
    <n v="13300"/>
    <n v="33950"/>
    <n v="20650"/>
    <s v="profit"/>
  </r>
  <r>
    <x v="153"/>
    <s v="november"/>
    <s v="Apex Health Products"/>
    <x v="2"/>
    <x v="3"/>
    <x v="3"/>
    <s v="Female"/>
    <n v="29"/>
    <n v="813"/>
    <n v="1241"/>
    <n v="23577"/>
    <n v="35989"/>
    <n v="12412"/>
    <s v="profit"/>
  </r>
  <r>
    <x v="154"/>
    <s v="november"/>
    <s v="Zenith Travel Ventures"/>
    <x v="2"/>
    <x v="3"/>
    <x v="3"/>
    <s v="Female"/>
    <n v="28"/>
    <n v="858"/>
    <n v="1127"/>
    <n v="24024"/>
    <n v="31556"/>
    <n v="7532"/>
    <s v="profit"/>
  </r>
  <r>
    <x v="155"/>
    <s v="november"/>
    <s v="Pure Path Consulting"/>
    <x v="2"/>
    <x v="3"/>
    <x v="4"/>
    <s v="Female"/>
    <n v="24"/>
    <n v="641"/>
    <n v="1337"/>
    <n v="15384"/>
    <n v="32088"/>
    <n v="16704"/>
    <s v="profit"/>
  </r>
  <r>
    <x v="157"/>
    <s v="november"/>
    <s v="Harmony Educational Group"/>
    <x v="2"/>
    <x v="4"/>
    <x v="15"/>
    <s v="Male"/>
    <n v="25"/>
    <n v="709"/>
    <n v="1386"/>
    <n v="17725"/>
    <n v="34650"/>
    <n v="16925"/>
    <s v="profit"/>
  </r>
  <r>
    <x v="158"/>
    <s v="november"/>
    <s v="Radiant Design Studio"/>
    <x v="2"/>
    <x v="4"/>
    <x v="6"/>
    <s v="Male"/>
    <n v="25"/>
    <n v="802"/>
    <n v="1126"/>
    <n v="20050"/>
    <n v="28150"/>
    <n v="8100"/>
    <s v="profit"/>
  </r>
  <r>
    <x v="159"/>
    <s v="november"/>
    <s v="Zenith Health Innovations"/>
    <x v="2"/>
    <x v="4"/>
    <x v="8"/>
    <s v="Male"/>
    <n v="23"/>
    <n v="893"/>
    <n v="761"/>
    <n v="20539"/>
    <n v="17503"/>
    <n v="-3036"/>
    <s v="loss"/>
  </r>
  <r>
    <x v="160"/>
    <s v="november"/>
    <s v="Apex Realty Ventures"/>
    <x v="2"/>
    <x v="4"/>
    <x v="12"/>
    <s v="Male"/>
    <n v="29"/>
    <n v="852"/>
    <n v="1452"/>
    <n v="24708"/>
    <n v="42108"/>
    <n v="17400"/>
    <s v="profit"/>
  </r>
  <r>
    <x v="71"/>
    <s v="august"/>
    <s v="Urban Wave Solutions"/>
    <x v="1"/>
    <x v="5"/>
    <x v="1"/>
    <s v="Male"/>
    <n v="64"/>
    <n v="580"/>
    <n v="1164"/>
    <n v="37120"/>
    <n v="74496"/>
    <n v="37376"/>
    <s v="profit"/>
  </r>
  <r>
    <x v="161"/>
    <s v="november"/>
    <s v="True Value Ventures"/>
    <x v="2"/>
    <x v="4"/>
    <x v="7"/>
    <s v="Female"/>
    <n v="23"/>
    <n v="747"/>
    <n v="1340"/>
    <n v="17181"/>
    <n v="30820"/>
    <n v="13639"/>
    <s v="profit"/>
  </r>
  <r>
    <x v="162"/>
    <s v="november"/>
    <s v="Crystal Clear Designs"/>
    <x v="2"/>
    <x v="4"/>
    <x v="8"/>
    <s v="Male"/>
    <n v="26"/>
    <n v="625"/>
    <n v="1298"/>
    <n v="16250"/>
    <n v="33748"/>
    <n v="17498"/>
    <s v="profit"/>
  </r>
  <r>
    <x v="164"/>
    <s v="november"/>
    <s v="Pinnacle Innovations Co."/>
    <x v="2"/>
    <x v="4"/>
    <x v="4"/>
    <s v="Male"/>
    <n v="23"/>
    <n v="706"/>
    <n v="988"/>
    <n v="16238"/>
    <n v="22724"/>
    <n v="6486"/>
    <s v="profit"/>
  </r>
  <r>
    <x v="166"/>
    <s v="november"/>
    <s v="Modern Pathways"/>
    <x v="2"/>
    <x v="4"/>
    <x v="8"/>
    <s v="Male"/>
    <n v="28"/>
    <n v="858"/>
    <n v="1113"/>
    <n v="24024"/>
    <n v="31164"/>
    <n v="7140"/>
    <s v="profit"/>
  </r>
  <r>
    <x v="72"/>
    <s v="september"/>
    <s v="Visionary Realty Solutions"/>
    <x v="1"/>
    <x v="7"/>
    <x v="5"/>
    <s v="Female"/>
    <n v="52"/>
    <n v="893"/>
    <n v="1055"/>
    <n v="46436"/>
    <n v="54860"/>
    <n v="8424"/>
    <s v="profit"/>
  </r>
  <r>
    <x v="168"/>
    <s v="november"/>
    <s v="Stellar Finance Co."/>
    <x v="2"/>
    <x v="4"/>
    <x v="9"/>
    <s v="Male"/>
    <n v="24"/>
    <n v="736"/>
    <n v="1406"/>
    <n v="17664"/>
    <n v="33744"/>
    <n v="16080"/>
    <s v="profit"/>
  </r>
  <r>
    <x v="169"/>
    <s v="november"/>
    <s v="Radiant Spectrum Group"/>
    <x v="2"/>
    <x v="4"/>
    <x v="4"/>
    <s v="Male"/>
    <n v="20"/>
    <n v="599"/>
    <n v="1023"/>
    <n v="11980"/>
    <n v="20460"/>
    <n v="8480"/>
    <s v="profit"/>
  </r>
  <r>
    <x v="170"/>
    <s v="november"/>
    <s v="Harmony Design Ventures"/>
    <x v="2"/>
    <x v="4"/>
    <x v="10"/>
    <s v="Female"/>
    <n v="22"/>
    <n v="524"/>
    <n v="1147"/>
    <n v="11528"/>
    <n v="25234"/>
    <n v="13706"/>
    <s v="profit"/>
  </r>
  <r>
    <x v="171"/>
    <s v="november"/>
    <s v="Elite Edge Products"/>
    <x v="2"/>
    <x v="4"/>
    <x v="11"/>
    <s v="Female"/>
    <n v="27"/>
    <n v="744"/>
    <n v="1253"/>
    <n v="20088"/>
    <n v="33831"/>
    <n v="13743"/>
    <s v="profit"/>
  </r>
  <r>
    <x v="172"/>
    <s v="november"/>
    <s v="Zenith Consulting Co."/>
    <x v="2"/>
    <x v="6"/>
    <x v="6"/>
    <s v="Female"/>
    <n v="27"/>
    <n v="826"/>
    <n v="917"/>
    <n v="22302"/>
    <n v="24759"/>
    <n v="2457"/>
    <s v="profit"/>
  </r>
  <r>
    <x v="173"/>
    <s v="november"/>
    <s v="Apex Wellness Products"/>
    <x v="2"/>
    <x v="6"/>
    <x v="7"/>
    <s v="Female"/>
    <n v="27"/>
    <n v="573"/>
    <n v="1266"/>
    <n v="15471"/>
    <n v="34182"/>
    <n v="18711"/>
    <s v="profit"/>
  </r>
  <r>
    <x v="175"/>
    <s v="december"/>
    <s v="Pure Harmony Innovations"/>
    <x v="2"/>
    <x v="6"/>
    <x v="13"/>
    <s v="Female"/>
    <n v="28"/>
    <n v="798"/>
    <n v="1131"/>
    <n v="22344"/>
    <n v="31668"/>
    <n v="9324"/>
    <s v="profit"/>
  </r>
  <r>
    <x v="176"/>
    <s v="december"/>
    <s v="Legacy Media Group"/>
    <x v="2"/>
    <x v="6"/>
    <x v="13"/>
    <s v="Female"/>
    <n v="25"/>
    <n v="982"/>
    <n v="1479"/>
    <n v="24550"/>
    <n v="36975"/>
    <n v="12425"/>
    <s v="profit"/>
  </r>
  <r>
    <x v="73"/>
    <s v="september"/>
    <s v="Pure Essence Solutions"/>
    <x v="0"/>
    <x v="2"/>
    <x v="6"/>
    <s v="Female"/>
    <n v="19"/>
    <n v="938"/>
    <n v="1348"/>
    <n v="17822"/>
    <n v="25612"/>
    <n v="7790"/>
    <s v="profit"/>
  </r>
  <r>
    <x v="177"/>
    <s v="december"/>
    <s v="Horizon Tech Innovations"/>
    <x v="2"/>
    <x v="6"/>
    <x v="7"/>
    <s v="Male"/>
    <n v="29"/>
    <n v="841"/>
    <n v="854"/>
    <n v="24389"/>
    <n v="24766"/>
    <n v="377"/>
    <s v="profit"/>
  </r>
  <r>
    <x v="178"/>
    <s v="december"/>
    <s v="Crystal Spectrum Consulting"/>
    <x v="2"/>
    <x v="6"/>
    <x v="5"/>
    <s v="Male"/>
    <n v="21"/>
    <n v="691"/>
    <n v="1142"/>
    <n v="14511"/>
    <n v="23982"/>
    <n v="9471"/>
    <s v="profit"/>
  </r>
  <r>
    <x v="179"/>
    <s v="december"/>
    <s v="Stellar Creative Co."/>
    <x v="2"/>
    <x v="6"/>
    <x v="17"/>
    <s v="Male"/>
    <n v="24"/>
    <n v="526"/>
    <n v="808"/>
    <n v="12624"/>
    <n v="19392"/>
    <n v="6768"/>
    <s v="profit"/>
  </r>
  <r>
    <x v="181"/>
    <s v="december"/>
    <s v="Radiance Media Ventures"/>
    <x v="2"/>
    <x v="6"/>
    <x v="8"/>
    <s v="Female"/>
    <n v="29"/>
    <n v="932"/>
    <n v="1316"/>
    <n v="27028"/>
    <n v="38164"/>
    <n v="11136"/>
    <s v="profit"/>
  </r>
  <r>
    <x v="74"/>
    <s v="september"/>
    <s v="Crystal Health Solutions"/>
    <x v="0"/>
    <x v="2"/>
    <x v="7"/>
    <s v="Male"/>
    <n v="17"/>
    <n v="614"/>
    <n v="1273"/>
    <n v="10438"/>
    <n v="21641"/>
    <n v="11203"/>
    <s v="profit"/>
  </r>
  <r>
    <x v="182"/>
    <s v="december"/>
    <s v="Zenith Edge Services"/>
    <x v="2"/>
    <x v="6"/>
    <x v="19"/>
    <s v="Male"/>
    <n v="22"/>
    <n v="603"/>
    <n v="794"/>
    <n v="13266"/>
    <n v="17468"/>
    <n v="4202"/>
    <s v="profit"/>
  </r>
  <r>
    <x v="183"/>
    <s v="february"/>
    <s v="Stellar Consulting Services"/>
    <x v="2"/>
    <x v="6"/>
    <x v="8"/>
    <s v="Female"/>
    <n v="30"/>
    <n v="946"/>
    <n v="1109"/>
    <n v="28380"/>
    <n v="33270"/>
    <n v="4890"/>
    <s v="profit"/>
  </r>
  <r>
    <x v="184"/>
    <s v="february"/>
    <s v="Radiant Ventures"/>
    <x v="2"/>
    <x v="6"/>
    <x v="18"/>
    <s v="Female"/>
    <n v="24"/>
    <n v="580"/>
    <n v="809"/>
    <n v="13920"/>
    <n v="19416"/>
    <n v="5496"/>
    <s v="profit"/>
  </r>
  <r>
    <x v="185"/>
    <s v="february"/>
    <s v="Harmony Tech Co."/>
    <x v="2"/>
    <x v="6"/>
    <x v="19"/>
    <s v="Female"/>
    <n v="30"/>
    <n v="732"/>
    <n v="944"/>
    <n v="21960"/>
    <n v="28320"/>
    <n v="6360"/>
    <s v="profit"/>
  </r>
  <r>
    <x v="187"/>
    <s v="february"/>
    <s v="Zenith Creative Ventures"/>
    <x v="2"/>
    <x v="6"/>
    <x v="0"/>
    <s v="Male"/>
    <n v="20"/>
    <n v="552"/>
    <n v="1261"/>
    <n v="11040"/>
    <n v="25220"/>
    <n v="14180"/>
    <s v="profit"/>
  </r>
  <r>
    <x v="188"/>
    <s v="february"/>
    <s v="Apex Health Services"/>
    <x v="2"/>
    <x v="6"/>
    <x v="1"/>
    <s v="Male"/>
    <n v="21"/>
    <n v="876"/>
    <n v="1452"/>
    <n v="18396"/>
    <n v="30492"/>
    <n v="12096"/>
    <s v="profit"/>
  </r>
  <r>
    <x v="189"/>
    <s v="february"/>
    <s v="Pure Vision Media"/>
    <x v="2"/>
    <x v="6"/>
    <x v="2"/>
    <s v="Male"/>
    <n v="27"/>
    <n v="636"/>
    <n v="1284"/>
    <n v="17172"/>
    <n v="34668"/>
    <n v="17496"/>
    <s v="profit"/>
  </r>
  <r>
    <x v="191"/>
    <s v="february"/>
    <s v="Legacy Innovations Group"/>
    <x v="2"/>
    <x v="6"/>
    <x v="3"/>
    <s v="Male"/>
    <n v="21"/>
    <n v="974"/>
    <n v="1363"/>
    <n v="20454"/>
    <n v="28623"/>
    <n v="8169"/>
    <s v="profit"/>
  </r>
  <r>
    <x v="75"/>
    <s v="september"/>
    <s v="Stellar Travel Solutions"/>
    <x v="0"/>
    <x v="0"/>
    <x v="7"/>
    <s v="Female"/>
    <n v="10"/>
    <n v="572"/>
    <n v="801"/>
    <n v="5720"/>
    <n v="8010"/>
    <n v="2290"/>
    <s v="profit"/>
  </r>
  <r>
    <x v="192"/>
    <s v="february"/>
    <s v="Pinnacle Consulting Co."/>
    <x v="2"/>
    <x v="6"/>
    <x v="3"/>
    <s v="Male"/>
    <n v="30"/>
    <n v="518"/>
    <n v="858"/>
    <n v="15540"/>
    <n v="25740"/>
    <n v="10200"/>
    <s v="profit"/>
  </r>
  <r>
    <x v="76"/>
    <s v="september"/>
    <s v="Pure Harmony Solutions"/>
    <x v="0"/>
    <x v="0"/>
    <x v="13"/>
    <s v="Female"/>
    <n v="12"/>
    <n v="674"/>
    <n v="1265"/>
    <n v="8088"/>
    <n v="15180"/>
    <n v="7092"/>
    <s v="profit"/>
  </r>
  <r>
    <x v="193"/>
    <s v="february"/>
    <s v="Stellar Finance Group"/>
    <x v="2"/>
    <x v="6"/>
    <x v="4"/>
    <s v="Female"/>
    <n v="21"/>
    <n v="531"/>
    <n v="955"/>
    <n v="11151"/>
    <n v="20055"/>
    <n v="8904"/>
    <s v="profit"/>
  </r>
  <r>
    <x v="194"/>
    <s v="february"/>
    <s v="Harmony Ventures Group"/>
    <x v="2"/>
    <x v="6"/>
    <x v="6"/>
    <s v="Female"/>
    <n v="26"/>
    <n v="842"/>
    <n v="1074"/>
    <n v="21892"/>
    <n v="27924"/>
    <n v="6032"/>
    <s v="profit"/>
  </r>
  <r>
    <x v="198"/>
    <s v="april"/>
    <s v="Golden Horizon Ventures"/>
    <x v="1"/>
    <x v="1"/>
    <x v="15"/>
    <s v="Male"/>
    <n v="95"/>
    <n v="936"/>
    <n v="1350"/>
    <n v="88920"/>
    <n v="128250"/>
    <n v="39330"/>
    <s v="profit"/>
  </r>
  <r>
    <x v="199"/>
    <s v="april"/>
    <s v="Eternal Traditions"/>
    <x v="1"/>
    <x v="1"/>
    <x v="16"/>
    <s v="Male"/>
    <n v="84"/>
    <n v="784"/>
    <n v="965"/>
    <n v="65856"/>
    <n v="81060"/>
    <n v="15204"/>
    <s v="profit"/>
  </r>
  <r>
    <x v="200"/>
    <s v="april"/>
    <s v="Harmony Foods"/>
    <x v="1"/>
    <x v="1"/>
    <x v="8"/>
    <s v="Male"/>
    <n v="51"/>
    <n v="847"/>
    <n v="972"/>
    <n v="43197"/>
    <n v="49572"/>
    <n v="6375"/>
    <s v="profit"/>
  </r>
  <r>
    <x v="77"/>
    <s v="october"/>
    <s v="Modern Spectrum Solutions"/>
    <x v="1"/>
    <x v="5"/>
    <x v="8"/>
    <s v="Female"/>
    <n v="52"/>
    <n v="546"/>
    <n v="1482"/>
    <n v="28392"/>
    <n v="77064"/>
    <n v="48672"/>
    <s v="profit"/>
  </r>
  <r>
    <x v="201"/>
    <s v="april"/>
    <s v="Sacred Roots Apparel"/>
    <x v="1"/>
    <x v="9"/>
    <x v="8"/>
    <s v="Female"/>
    <n v="68"/>
    <n v="534"/>
    <n v="1085"/>
    <n v="36312"/>
    <n v="73780"/>
    <n v="37468"/>
    <s v="profit"/>
  </r>
  <r>
    <x v="202"/>
    <s v="april"/>
    <s v="Quantum Finance Services"/>
    <x v="1"/>
    <x v="9"/>
    <x v="9"/>
    <s v="Female"/>
    <n v="68"/>
    <n v="575"/>
    <n v="1242"/>
    <n v="39100"/>
    <n v="84456"/>
    <n v="45356"/>
    <s v="profit"/>
  </r>
  <r>
    <x v="203"/>
    <s v="april"/>
    <s v="Brilliant Minds Academy"/>
    <x v="1"/>
    <x v="9"/>
    <x v="4"/>
    <s v="Female"/>
    <n v="79"/>
    <n v="537"/>
    <n v="850"/>
    <n v="42423"/>
    <n v="67150"/>
    <n v="24727"/>
    <s v="profit"/>
  </r>
  <r>
    <x v="204"/>
    <s v="april"/>
    <s v="Visionary Holdings"/>
    <x v="1"/>
    <x v="9"/>
    <x v="10"/>
    <s v="Female"/>
    <n v="65"/>
    <n v="935"/>
    <n v="752"/>
    <n v="60775"/>
    <n v="48880"/>
    <n v="-11895"/>
    <s v="loss"/>
  </r>
  <r>
    <x v="205"/>
    <s v="april"/>
    <s v="Stellar Design Studio"/>
    <x v="1"/>
    <x v="9"/>
    <x v="11"/>
    <s v="Female"/>
    <n v="66"/>
    <n v="709"/>
    <n v="1021"/>
    <n v="46794"/>
    <n v="67386"/>
    <n v="20592"/>
    <s v="profit"/>
  </r>
  <r>
    <x v="206"/>
    <s v="april"/>
    <s v="Classic Cuisines"/>
    <x v="1"/>
    <x v="9"/>
    <x v="6"/>
    <s v="Male"/>
    <n v="70"/>
    <n v="751"/>
    <n v="1485"/>
    <n v="52570"/>
    <n v="103950"/>
    <n v="51380"/>
    <s v="profit"/>
  </r>
  <r>
    <x v="81"/>
    <s v="october"/>
    <s v="Apex Creative Solutions"/>
    <x v="1"/>
    <x v="7"/>
    <x v="3"/>
    <s v="Male"/>
    <n v="86"/>
    <n v="717"/>
    <n v="1445"/>
    <n v="61662"/>
    <n v="124270"/>
    <n v="62608"/>
    <s v="profit"/>
  </r>
  <r>
    <x v="207"/>
    <s v="april"/>
    <s v="Bold Ventures"/>
    <x v="1"/>
    <x v="9"/>
    <x v="7"/>
    <s v="Male"/>
    <n v="75"/>
    <n v="686"/>
    <n v="1254"/>
    <n v="51450"/>
    <n v="94050"/>
    <n v="42600"/>
    <s v="profit"/>
  </r>
  <r>
    <x v="208"/>
    <s v="may"/>
    <s v="Radiance Spa"/>
    <x v="1"/>
    <x v="5"/>
    <x v="12"/>
    <s v="Male"/>
    <n v="91"/>
    <n v="518"/>
    <n v="1465"/>
    <n v="47138"/>
    <n v="133315"/>
    <n v="86177"/>
    <s v="profit"/>
  </r>
  <r>
    <x v="209"/>
    <s v="may"/>
    <s v="Verve Fitness Studio"/>
    <x v="1"/>
    <x v="5"/>
    <x v="7"/>
    <s v="Female"/>
    <n v="96"/>
    <n v="791"/>
    <n v="931"/>
    <n v="75936"/>
    <n v="89376"/>
    <n v="13440"/>
    <s v="profit"/>
  </r>
  <r>
    <x v="210"/>
    <s v="may"/>
    <s v="Sparkle Cleaners"/>
    <x v="1"/>
    <x v="5"/>
    <x v="7"/>
    <s v="Female"/>
    <n v="69"/>
    <n v="864"/>
    <n v="935"/>
    <n v="59616"/>
    <n v="64515"/>
    <n v="4899"/>
    <s v="profit"/>
  </r>
  <r>
    <x v="86"/>
    <s v="october"/>
    <s v="Radiance Solutions Group"/>
    <x v="0"/>
    <x v="2"/>
    <x v="11"/>
    <s v="Female"/>
    <n v="20"/>
    <n v="784"/>
    <n v="1320"/>
    <n v="15680"/>
    <n v="26400"/>
    <n v="10720"/>
    <s v="profit"/>
  </r>
  <r>
    <x v="211"/>
    <s v="may"/>
    <s v="Global Reach Logistics"/>
    <x v="1"/>
    <x v="5"/>
    <x v="8"/>
    <s v="Female"/>
    <n v="55"/>
    <n v="782"/>
    <n v="1335"/>
    <n v="43010"/>
    <n v="73425"/>
    <n v="30415"/>
    <s v="profit"/>
  </r>
  <r>
    <x v="212"/>
    <s v="may"/>
    <s v="Noble Path Finance"/>
    <x v="1"/>
    <x v="5"/>
    <x v="4"/>
    <s v="Female"/>
    <n v="71"/>
    <n v="653"/>
    <n v="963"/>
    <n v="46363"/>
    <n v="68373"/>
    <n v="22010"/>
    <s v="profit"/>
  </r>
  <r>
    <x v="89"/>
    <s v="october"/>
    <s v="Modern Edge Solutions"/>
    <x v="0"/>
    <x v="2"/>
    <x v="7"/>
    <s v="Female"/>
    <n v="19"/>
    <n v="664"/>
    <n v="1091"/>
    <n v="12616"/>
    <n v="20729"/>
    <n v="8113"/>
    <s v="profit"/>
  </r>
  <r>
    <x v="213"/>
    <s v="may"/>
    <s v="Dynamic Events Management"/>
    <x v="1"/>
    <x v="5"/>
    <x v="8"/>
    <s v="Female"/>
    <n v="88"/>
    <n v="959"/>
    <n v="985"/>
    <n v="84392"/>
    <n v="86680"/>
    <n v="2288"/>
    <s v="profit"/>
  </r>
  <r>
    <x v="91"/>
    <s v="october"/>
    <s v="Horizon Health Solutions"/>
    <x v="2"/>
    <x v="3"/>
    <x v="13"/>
    <s v="Female"/>
    <n v="26"/>
    <n v="674"/>
    <n v="857"/>
    <n v="17524"/>
    <n v="22282"/>
    <n v="4758"/>
    <s v="profit"/>
  </r>
  <r>
    <x v="214"/>
    <s v="may"/>
    <s v="Crystal Waters Resort"/>
    <x v="1"/>
    <x v="5"/>
    <x v="9"/>
    <s v="Female"/>
    <n v="72"/>
    <n v="805"/>
    <n v="826"/>
    <n v="57960"/>
    <n v="59472"/>
    <n v="1512"/>
    <s v="profit"/>
  </r>
  <r>
    <x v="93"/>
    <s v="october"/>
    <s v="Apex Marketing Solutions"/>
    <x v="2"/>
    <x v="8"/>
    <x v="7"/>
    <s v="Male"/>
    <n v="29"/>
    <n v="774"/>
    <n v="793"/>
    <n v="22446"/>
    <n v="22997"/>
    <n v="551"/>
    <s v="profit"/>
  </r>
  <r>
    <x v="215"/>
    <s v="may"/>
    <s v="Excellence Tutors"/>
    <x v="1"/>
    <x v="5"/>
    <x v="4"/>
    <s v="Female"/>
    <n v="53"/>
    <n v="665"/>
    <n v="1206"/>
    <n v="35245"/>
    <n v="63918"/>
    <n v="28673"/>
    <s v="profit"/>
  </r>
  <r>
    <x v="216"/>
    <s v="may"/>
    <s v="Horizon Builders"/>
    <x v="1"/>
    <x v="5"/>
    <x v="10"/>
    <s v="Male"/>
    <n v="88"/>
    <n v="607"/>
    <n v="1268"/>
    <n v="53416"/>
    <n v="111584"/>
    <n v="58168"/>
    <s v="profit"/>
  </r>
  <r>
    <x v="217"/>
    <s v="may"/>
    <s v="Classic Heritage Crafts"/>
    <x v="1"/>
    <x v="5"/>
    <x v="6"/>
    <s v="Male"/>
    <n v="99"/>
    <n v="657"/>
    <n v="1033"/>
    <n v="65043"/>
    <n v="102267"/>
    <n v="37224"/>
    <s v="profit"/>
  </r>
  <r>
    <x v="218"/>
    <s v="may"/>
    <s v="Prime Focus Media"/>
    <x v="1"/>
    <x v="7"/>
    <x v="7"/>
    <s v="Male"/>
    <n v="88"/>
    <n v="977"/>
    <n v="1402"/>
    <n v="85976"/>
    <n v="123376"/>
    <n v="37400"/>
    <s v="profit"/>
  </r>
  <r>
    <x v="219"/>
    <s v="june"/>
    <s v="Noble Nutraceuticals"/>
    <x v="1"/>
    <x v="7"/>
    <x v="7"/>
    <s v="Female"/>
    <n v="81"/>
    <n v="528"/>
    <n v="872"/>
    <n v="42768"/>
    <n v="70632"/>
    <n v="27864"/>
    <s v="profit"/>
  </r>
  <r>
    <x v="220"/>
    <s v="june"/>
    <s v="Supreme Travel Agency"/>
    <x v="1"/>
    <x v="7"/>
    <x v="13"/>
    <s v="Male"/>
    <n v="74"/>
    <n v="870"/>
    <n v="1490"/>
    <n v="64380"/>
    <n v="110260"/>
    <n v="45880"/>
    <s v="profit"/>
  </r>
  <r>
    <x v="221"/>
    <s v="june"/>
    <s v="Future Vision Tech"/>
    <x v="1"/>
    <x v="7"/>
    <x v="13"/>
    <s v="Male"/>
    <n v="83"/>
    <n v="655"/>
    <n v="1422"/>
    <n v="54365"/>
    <n v="118026"/>
    <n v="63661"/>
    <s v="profit"/>
  </r>
  <r>
    <x v="222"/>
    <s v="june"/>
    <s v="Urban Groove Apparel"/>
    <x v="1"/>
    <x v="7"/>
    <x v="12"/>
    <s v="Male"/>
    <n v="99"/>
    <n v="649"/>
    <n v="1415"/>
    <n v="64251"/>
    <n v="140085"/>
    <n v="75834"/>
    <s v="profit"/>
  </r>
  <r>
    <x v="223"/>
    <s v="june"/>
    <s v="Echo Real Estate"/>
    <x v="1"/>
    <x v="7"/>
    <x v="7"/>
    <s v="Male"/>
    <n v="97"/>
    <n v="917"/>
    <n v="844"/>
    <n v="88949"/>
    <n v="81868"/>
    <n v="-7081"/>
    <s v="loss"/>
  </r>
  <r>
    <x v="224"/>
    <s v="june"/>
    <s v="Pinnacle Health Products"/>
    <x v="1"/>
    <x v="7"/>
    <x v="5"/>
    <s v="Female"/>
    <n v="57"/>
    <n v="793"/>
    <n v="761"/>
    <n v="45201"/>
    <n v="43377"/>
    <n v="-1824"/>
    <s v="loss"/>
  </r>
  <r>
    <x v="225"/>
    <s v="june"/>
    <s v="Apex Auto Care"/>
    <x v="1"/>
    <x v="7"/>
    <x v="17"/>
    <s v="Female"/>
    <n v="84"/>
    <n v="931"/>
    <n v="1475"/>
    <n v="78204"/>
    <n v="123900"/>
    <n v="45696"/>
    <s v="profit"/>
  </r>
  <r>
    <x v="105"/>
    <s v="november"/>
    <s v="Radiance Solutions Co."/>
    <x v="1"/>
    <x v="9"/>
    <x v="5"/>
    <s v="Female"/>
    <n v="74"/>
    <n v="714"/>
    <n v="1148"/>
    <n v="52836"/>
    <n v="84952"/>
    <n v="32116"/>
    <s v="profit"/>
  </r>
  <r>
    <x v="226"/>
    <s v="june"/>
    <s v="Royal Glow Cosmetics"/>
    <x v="1"/>
    <x v="7"/>
    <x v="8"/>
    <s v="Female"/>
    <n v="76"/>
    <n v="901"/>
    <n v="1471"/>
    <n v="68476"/>
    <n v="111796"/>
    <n v="43320"/>
    <s v="profit"/>
  </r>
  <r>
    <x v="227"/>
    <s v="june"/>
    <s v="Zenith Culinary Arts"/>
    <x v="1"/>
    <x v="7"/>
    <x v="18"/>
    <s v="Female"/>
    <n v="93"/>
    <n v="658"/>
    <n v="1303"/>
    <n v="61194"/>
    <n v="121179"/>
    <n v="59985"/>
    <s v="profit"/>
  </r>
  <r>
    <x v="108"/>
    <s v="november"/>
    <s v="Horizon Creative Solutions"/>
    <x v="1"/>
    <x v="9"/>
    <x v="14"/>
    <s v="Female"/>
    <n v="73"/>
    <n v="957"/>
    <n v="814"/>
    <n v="69861"/>
    <n v="59422"/>
    <n v="-10439"/>
    <s v="loss"/>
  </r>
  <r>
    <x v="228"/>
    <s v="june"/>
    <s v="Visionary Tours"/>
    <x v="1"/>
    <x v="7"/>
    <x v="19"/>
    <s v="Female"/>
    <n v="68"/>
    <n v="651"/>
    <n v="1061"/>
    <n v="44268"/>
    <n v="72148"/>
    <n v="27880"/>
    <s v="profit"/>
  </r>
  <r>
    <x v="229"/>
    <s v="june"/>
    <s v="Elite Essence Products"/>
    <x v="1"/>
    <x v="5"/>
    <x v="3"/>
    <s v="Male"/>
    <n v="98"/>
    <n v="596"/>
    <n v="1155"/>
    <n v="58408"/>
    <n v="113190"/>
    <n v="54782"/>
    <s v="profit"/>
  </r>
  <r>
    <x v="230"/>
    <s v="june"/>
    <s v="Dynamic Creations"/>
    <x v="1"/>
    <x v="5"/>
    <x v="15"/>
    <s v="Male"/>
    <n v="84"/>
    <n v="911"/>
    <n v="1370"/>
    <n v="76524"/>
    <n v="115080"/>
    <n v="38556"/>
    <s v="profit"/>
  </r>
  <r>
    <x v="231"/>
    <s v="june"/>
    <s v="Quantum Design Studio"/>
    <x v="1"/>
    <x v="5"/>
    <x v="14"/>
    <s v="Male"/>
    <n v="81"/>
    <n v="702"/>
    <n v="1494"/>
    <n v="56862"/>
    <n v="121014"/>
    <n v="64152"/>
    <s v="profit"/>
  </r>
  <r>
    <x v="113"/>
    <s v="november"/>
    <s v="Urban Spectrum Solutions"/>
    <x v="2"/>
    <x v="4"/>
    <x v="16"/>
    <s v="Male"/>
    <n v="24"/>
    <n v="553"/>
    <n v="964"/>
    <n v="13272"/>
    <n v="23136"/>
    <n v="9864"/>
    <s v="profit"/>
  </r>
  <r>
    <x v="232"/>
    <s v="june"/>
    <s v="Apex Construction"/>
    <x v="1"/>
    <x v="5"/>
    <x v="3"/>
    <s v="Female"/>
    <n v="58"/>
    <n v="510"/>
    <n v="1456"/>
    <n v="29580"/>
    <n v="84448"/>
    <n v="54868"/>
    <s v="profit"/>
  </r>
  <r>
    <x v="233"/>
    <s v="june"/>
    <s v="Legacy Innovations"/>
    <x v="1"/>
    <x v="7"/>
    <x v="13"/>
    <s v="Female"/>
    <n v="59"/>
    <n v="506"/>
    <n v="1498"/>
    <n v="29854"/>
    <n v="88382"/>
    <n v="58528"/>
    <s v="profit"/>
  </r>
  <r>
    <x v="234"/>
    <s v="june"/>
    <s v="Pure Harmony Foods"/>
    <x v="1"/>
    <x v="7"/>
    <x v="15"/>
    <s v="Male"/>
    <n v="51"/>
    <n v="868"/>
    <n v="938"/>
    <n v="44268"/>
    <n v="47838"/>
    <n v="3570"/>
    <s v="profit"/>
  </r>
  <r>
    <x v="117"/>
    <s v="november"/>
    <s v="Legacy Wellness Solutions"/>
    <x v="2"/>
    <x v="4"/>
    <x v="6"/>
    <s v="Female"/>
    <n v="22"/>
    <n v="688"/>
    <n v="985"/>
    <n v="15136"/>
    <n v="21670"/>
    <n v="6534"/>
    <s v="profit"/>
  </r>
  <r>
    <x v="235"/>
    <s v="june"/>
    <s v="Zenith Security Systems"/>
    <x v="1"/>
    <x v="7"/>
    <x v="16"/>
    <s v="Male"/>
    <n v="76"/>
    <n v="602"/>
    <n v="1356"/>
    <n v="45752"/>
    <n v="103056"/>
    <n v="57304"/>
    <s v="profit"/>
  </r>
  <r>
    <x v="119"/>
    <s v="november"/>
    <s v="Horizon Media Solutions"/>
    <x v="2"/>
    <x v="4"/>
    <x v="7"/>
    <s v="Female"/>
    <n v="27"/>
    <n v="933"/>
    <n v="983"/>
    <n v="25191"/>
    <n v="26541"/>
    <n v="1350"/>
    <s v="profit"/>
  </r>
  <r>
    <x v="236"/>
    <s v="june"/>
    <s v="Crystal Clear Beverages"/>
    <x v="1"/>
    <x v="7"/>
    <x v="6"/>
    <s v="Male"/>
    <n v="55"/>
    <n v="928"/>
    <n v="1264"/>
    <n v="51040"/>
    <n v="69520"/>
    <n v="18480"/>
    <s v="profit"/>
  </r>
  <r>
    <x v="237"/>
    <s v="june"/>
    <s v="Metro Line Tech"/>
    <x v="1"/>
    <x v="7"/>
    <x v="8"/>
    <s v="Male"/>
    <n v="74"/>
    <n v="758"/>
    <n v="765"/>
    <n v="56092"/>
    <n v="56610"/>
    <n v="518"/>
    <s v="profit"/>
  </r>
  <r>
    <x v="238"/>
    <s v="june"/>
    <s v="Urban Pulse Consulting"/>
    <x v="1"/>
    <x v="7"/>
    <x v="12"/>
    <s v="Male"/>
    <n v="88"/>
    <n v="566"/>
    <n v="1093"/>
    <n v="49808"/>
    <n v="96184"/>
    <n v="46376"/>
    <s v="profit"/>
  </r>
  <r>
    <x v="239"/>
    <s v="july"/>
    <s v="Legacy Design Group"/>
    <x v="1"/>
    <x v="5"/>
    <x v="1"/>
    <s v="Female"/>
    <n v="58"/>
    <n v="898"/>
    <n v="1068"/>
    <n v="52084"/>
    <n v="61944"/>
    <n v="9860"/>
    <s v="profit"/>
  </r>
  <r>
    <x v="240"/>
    <s v="july"/>
    <s v="Supreme Wellness"/>
    <x v="1"/>
    <x v="5"/>
    <x v="2"/>
    <s v="Female"/>
    <n v="83"/>
    <n v="943"/>
    <n v="867"/>
    <n v="78269"/>
    <n v="71961"/>
    <n v="-6308"/>
    <s v="loss"/>
  </r>
  <r>
    <x v="241"/>
    <s v="july"/>
    <s v="Harmony Tech Innovations"/>
    <x v="1"/>
    <x v="5"/>
    <x v="3"/>
    <s v="Female"/>
    <n v="85"/>
    <n v="641"/>
    <n v="892"/>
    <n v="54485"/>
    <n v="75820"/>
    <n v="21335"/>
    <s v="profit"/>
  </r>
  <r>
    <x v="242"/>
    <s v="july"/>
    <s v="Stellar Education Services"/>
    <x v="1"/>
    <x v="5"/>
    <x v="3"/>
    <s v="Female"/>
    <n v="57"/>
    <n v="784"/>
    <n v="859"/>
    <n v="44688"/>
    <n v="48963"/>
    <n v="4275"/>
    <s v="profit"/>
  </r>
  <r>
    <x v="243"/>
    <s v="july"/>
    <s v="Visionary Health Products"/>
    <x v="1"/>
    <x v="5"/>
    <x v="4"/>
    <s v="Female"/>
    <n v="98"/>
    <n v="579"/>
    <n v="1046"/>
    <n v="56742"/>
    <n v="102508"/>
    <n v="45766"/>
    <s v="profit"/>
  </r>
  <r>
    <x v="244"/>
    <s v="july"/>
    <s v="Crystal Innovations"/>
    <x v="1"/>
    <x v="5"/>
    <x v="5"/>
    <s v="Female"/>
    <n v="98"/>
    <n v="605"/>
    <n v="1155"/>
    <n v="59290"/>
    <n v="113190"/>
    <n v="53900"/>
    <s v="profit"/>
  </r>
  <r>
    <x v="129"/>
    <s v="november"/>
    <s v="Urban Vision Solutions"/>
    <x v="2"/>
    <x v="6"/>
    <x v="7"/>
    <s v="Female"/>
    <n v="20"/>
    <n v="989"/>
    <n v="1298"/>
    <n v="19780"/>
    <n v="25960"/>
    <n v="6180"/>
    <s v="profit"/>
  </r>
  <r>
    <x v="245"/>
    <s v="july"/>
    <s v="Future Trends Retail"/>
    <x v="1"/>
    <x v="5"/>
    <x v="3"/>
    <s v="Female"/>
    <n v="63"/>
    <n v="952"/>
    <n v="824"/>
    <n v="59976"/>
    <n v="51912"/>
    <n v="-8064"/>
    <s v="loss"/>
  </r>
  <r>
    <x v="246"/>
    <s v="july"/>
    <s v="Radiant Horizon Ventures"/>
    <x v="1"/>
    <x v="5"/>
    <x v="15"/>
    <s v="Female"/>
    <n v="91"/>
    <n v="938"/>
    <n v="1156"/>
    <n v="85358"/>
    <n v="105196"/>
    <n v="19838"/>
    <s v="profit"/>
  </r>
  <r>
    <x v="132"/>
    <s v="december"/>
    <s v="Pinnacle Travel Solutions"/>
    <x v="2"/>
    <x v="6"/>
    <x v="12"/>
    <s v="Male"/>
    <n v="26"/>
    <n v="870"/>
    <n v="1123"/>
    <n v="22620"/>
    <n v="29198"/>
    <n v="6578"/>
    <s v="profit"/>
  </r>
  <r>
    <x v="247"/>
    <s v="july"/>
    <s v="Urban Edge Realty"/>
    <x v="1"/>
    <x v="5"/>
    <x v="14"/>
    <s v="Male"/>
    <n v="66"/>
    <n v="512"/>
    <n v="1208"/>
    <n v="33792"/>
    <n v="79728"/>
    <n v="45936"/>
    <s v="profit"/>
  </r>
  <r>
    <x v="248"/>
    <s v="july"/>
    <s v="Prime Focus Innovations"/>
    <x v="1"/>
    <x v="5"/>
    <x v="8"/>
    <s v="Male"/>
    <n v="88"/>
    <n v="691"/>
    <n v="1394"/>
    <n v="60808"/>
    <n v="122672"/>
    <n v="61864"/>
    <s v="profit"/>
  </r>
  <r>
    <x v="249"/>
    <s v="august"/>
    <s v="Elite Spectrum Consulting"/>
    <x v="1"/>
    <x v="5"/>
    <x v="3"/>
    <s v="Male"/>
    <n v="54"/>
    <n v="518"/>
    <n v="1106"/>
    <n v="27972"/>
    <n v="59724"/>
    <n v="31752"/>
    <s v="profit"/>
  </r>
  <r>
    <x v="250"/>
    <s v="august"/>
    <s v="Dynamic Design Studio"/>
    <x v="1"/>
    <x v="5"/>
    <x v="13"/>
    <s v="Male"/>
    <n v="67"/>
    <n v="780"/>
    <n v="864"/>
    <n v="52260"/>
    <n v="57888"/>
    <n v="5628"/>
    <s v="profit"/>
  </r>
  <r>
    <x v="137"/>
    <s v="december"/>
    <s v="Harmony Health Solutions"/>
    <x v="2"/>
    <x v="6"/>
    <x v="18"/>
    <s v="Male"/>
    <n v="23"/>
    <n v="945"/>
    <n v="1268"/>
    <n v="21735"/>
    <n v="29164"/>
    <n v="7429"/>
    <s v="profit"/>
  </r>
  <r>
    <x v="251"/>
    <s v="august"/>
    <s v="Royal Crest Foods"/>
    <x v="1"/>
    <x v="7"/>
    <x v="16"/>
    <s v="Female"/>
    <n v="85"/>
    <n v="853"/>
    <n v="1453"/>
    <n v="72505"/>
    <n v="123505"/>
    <n v="51000"/>
    <s v="profit"/>
  </r>
  <r>
    <x v="252"/>
    <s v="august"/>
    <s v="Zenith Travels"/>
    <x v="1"/>
    <x v="7"/>
    <x v="6"/>
    <s v="Female"/>
    <n v="69"/>
    <n v="745"/>
    <n v="1075"/>
    <n v="51405"/>
    <n v="74175"/>
    <n v="22770"/>
    <s v="profit"/>
  </r>
  <r>
    <x v="140"/>
    <s v="december"/>
    <s v="Modern Vision Solutions"/>
    <x v="1"/>
    <x v="5"/>
    <x v="1"/>
    <s v="Male"/>
    <n v="78"/>
    <n v="522"/>
    <n v="1064"/>
    <n v="40716"/>
    <n v="82992"/>
    <n v="42276"/>
    <s v="profit"/>
  </r>
  <r>
    <x v="253"/>
    <s v="august"/>
    <s v="Quantum Media Group"/>
    <x v="1"/>
    <x v="5"/>
    <x v="7"/>
    <s v="Female"/>
    <n v="63"/>
    <n v="525"/>
    <n v="1182"/>
    <n v="33075"/>
    <n v="74466"/>
    <n v="41391"/>
    <s v="profit"/>
  </r>
  <r>
    <x v="254"/>
    <s v="august"/>
    <s v="Legacy Builders"/>
    <x v="1"/>
    <x v="5"/>
    <x v="5"/>
    <s v="Female"/>
    <n v="73"/>
    <n v="709"/>
    <n v="1344"/>
    <n v="51757"/>
    <n v="98112"/>
    <n v="46355"/>
    <s v="profit"/>
  </r>
  <r>
    <x v="255"/>
    <s v="august"/>
    <s v="Apex Spa &amp; Wellness"/>
    <x v="1"/>
    <x v="5"/>
    <x v="17"/>
    <s v="Female"/>
    <n v="74"/>
    <n v="914"/>
    <n v="1031"/>
    <n v="67636"/>
    <n v="76294"/>
    <n v="8658"/>
    <s v="profit"/>
  </r>
  <r>
    <x v="256"/>
    <s v="august"/>
    <s v="Radiant Travel Services"/>
    <x v="1"/>
    <x v="5"/>
    <x v="8"/>
    <s v="Female"/>
    <n v="84"/>
    <n v="558"/>
    <n v="1477"/>
    <n v="46872"/>
    <n v="124068"/>
    <n v="77196"/>
    <s v="profit"/>
  </r>
  <r>
    <x v="145"/>
    <s v="december"/>
    <s v="Radiant Educational Solutions"/>
    <x v="1"/>
    <x v="5"/>
    <x v="7"/>
    <s v="Female"/>
    <n v="60"/>
    <n v="642"/>
    <n v="1110"/>
    <n v="38520"/>
    <n v="66600"/>
    <n v="28080"/>
    <s v="profit"/>
  </r>
  <r>
    <x v="257"/>
    <s v="august"/>
    <s v="Modern Trends Consulting"/>
    <x v="1"/>
    <x v="5"/>
    <x v="18"/>
    <s v="Female"/>
    <n v="99"/>
    <n v="934"/>
    <n v="1318"/>
    <n v="92466"/>
    <n v="130482"/>
    <n v="38016"/>
    <s v="profit"/>
  </r>
  <r>
    <x v="258"/>
    <s v="august"/>
    <s v="Global Horizon Ventures"/>
    <x v="1"/>
    <x v="5"/>
    <x v="19"/>
    <s v="Female"/>
    <n v="52"/>
    <n v="576"/>
    <n v="1419"/>
    <n v="29952"/>
    <n v="73788"/>
    <n v="43836"/>
    <s v="profit"/>
  </r>
  <r>
    <x v="259"/>
    <s v="august"/>
    <s v="Elite Enterprises"/>
    <x v="1"/>
    <x v="5"/>
    <x v="0"/>
    <s v="Male"/>
    <n v="98"/>
    <n v="769"/>
    <n v="1277"/>
    <n v="75362"/>
    <n v="125146"/>
    <n v="49784"/>
    <s v="profit"/>
  </r>
  <r>
    <x v="149"/>
    <s v="december"/>
    <s v="Zenith Creative Solutions"/>
    <x v="1"/>
    <x v="5"/>
    <x v="7"/>
    <s v="Female"/>
    <n v="86"/>
    <n v="668"/>
    <n v="1278"/>
    <n v="57448"/>
    <n v="109908"/>
    <n v="52460"/>
    <s v="profit"/>
  </r>
  <r>
    <x v="260"/>
    <s v="september"/>
    <s v="Pinnacle Health Innovations"/>
    <x v="1"/>
    <x v="5"/>
    <x v="2"/>
    <s v="Male"/>
    <n v="73"/>
    <n v="627"/>
    <n v="769"/>
    <n v="45771"/>
    <n v="56137"/>
    <n v="10366"/>
    <s v="profit"/>
  </r>
  <r>
    <x v="151"/>
    <s v="december"/>
    <s v="Pure Vision Solutions"/>
    <x v="1"/>
    <x v="7"/>
    <x v="17"/>
    <s v="Female"/>
    <n v="57"/>
    <n v="995"/>
    <n v="912"/>
    <n v="56715"/>
    <n v="51984"/>
    <n v="-4731"/>
    <s v="loss"/>
  </r>
  <r>
    <x v="261"/>
    <s v="september"/>
    <s v="Horizon Fashion"/>
    <x v="1"/>
    <x v="7"/>
    <x v="3"/>
    <s v="Male"/>
    <n v="93"/>
    <n v="847"/>
    <n v="1258"/>
    <n v="78771"/>
    <n v="116994"/>
    <n v="38223"/>
    <s v="profit"/>
  </r>
  <r>
    <x v="262"/>
    <s v="september"/>
    <s v="Crystal Essence Beverages"/>
    <x v="1"/>
    <x v="7"/>
    <x v="3"/>
    <s v="Male"/>
    <n v="84"/>
    <n v="522"/>
    <n v="929"/>
    <n v="43848"/>
    <n v="78036"/>
    <n v="34188"/>
    <s v="profit"/>
  </r>
  <r>
    <x v="263"/>
    <s v="september"/>
    <s v="Dynamic Pathways"/>
    <x v="1"/>
    <x v="7"/>
    <x v="4"/>
    <s v="Female"/>
    <n v="85"/>
    <n v="564"/>
    <n v="1049"/>
    <n v="47940"/>
    <n v="89165"/>
    <n v="41225"/>
    <s v="profit"/>
  </r>
  <r>
    <x v="264"/>
    <s v="september"/>
    <s v="Radiance Apparel"/>
    <x v="1"/>
    <x v="7"/>
    <x v="3"/>
    <s v="Female"/>
    <n v="93"/>
    <n v="579"/>
    <n v="1402"/>
    <n v="53847"/>
    <n v="130386"/>
    <n v="76539"/>
    <s v="profit"/>
  </r>
  <r>
    <x v="156"/>
    <s v="december"/>
    <s v="Harmony Edge Solutions"/>
    <x v="1"/>
    <x v="7"/>
    <x v="1"/>
    <s v="Male"/>
    <n v="93"/>
    <n v="886"/>
    <n v="1199"/>
    <n v="82398"/>
    <n v="111507"/>
    <n v="29109"/>
    <s v="profit"/>
  </r>
  <r>
    <x v="265"/>
    <s v="september"/>
    <s v="Zenith Design Group"/>
    <x v="1"/>
    <x v="7"/>
    <x v="15"/>
    <s v="Male"/>
    <n v="56"/>
    <n v="724"/>
    <n v="1391"/>
    <n v="40544"/>
    <n v="77896"/>
    <n v="37352"/>
    <s v="profit"/>
  </r>
  <r>
    <x v="266"/>
    <s v="september"/>
    <s v="Modern Horizons Consulting"/>
    <x v="1"/>
    <x v="7"/>
    <x v="8"/>
    <s v="Male"/>
    <n v="60"/>
    <n v="783"/>
    <n v="881"/>
    <n v="46980"/>
    <n v="52860"/>
    <n v="5880"/>
    <s v="profit"/>
  </r>
  <r>
    <x v="267"/>
    <s v="september"/>
    <s v="Apex Realty Services"/>
    <x v="1"/>
    <x v="7"/>
    <x v="4"/>
    <s v="Male"/>
    <n v="81"/>
    <n v="948"/>
    <n v="904"/>
    <n v="76788"/>
    <n v="73224"/>
    <n v="-3564"/>
    <s v="loss"/>
  </r>
  <r>
    <x v="268"/>
    <s v="september"/>
    <s v="Zenith Educational Group"/>
    <x v="1"/>
    <x v="7"/>
    <x v="8"/>
    <s v="Male"/>
    <n v="80"/>
    <n v="771"/>
    <n v="1090"/>
    <n v="61680"/>
    <n v="87200"/>
    <n v="25520"/>
    <s v="profit"/>
  </r>
  <r>
    <x v="269"/>
    <s v="september"/>
    <s v="True Path Ventures"/>
    <x v="1"/>
    <x v="7"/>
    <x v="9"/>
    <s v="Female"/>
    <n v="88"/>
    <n v="943"/>
    <n v="1082"/>
    <n v="82984"/>
    <n v="95216"/>
    <n v="12232"/>
    <s v="profit"/>
  </r>
  <r>
    <x v="270"/>
    <s v="september"/>
    <s v="Radiance Media"/>
    <x v="1"/>
    <x v="7"/>
    <x v="4"/>
    <s v="Male"/>
    <n v="68"/>
    <n v="909"/>
    <n v="1329"/>
    <n v="61812"/>
    <n v="90372"/>
    <n v="28560"/>
    <s v="profit"/>
  </r>
  <r>
    <x v="163"/>
    <s v="january"/>
    <s v="Pinnacle Media Solutions"/>
    <x v="0"/>
    <x v="0"/>
    <x v="15"/>
    <s v="Female"/>
    <n v="11"/>
    <n v="676"/>
    <n v="1050"/>
    <n v="7436"/>
    <n v="11550"/>
    <n v="4114"/>
    <s v="profit"/>
  </r>
  <r>
    <x v="271"/>
    <s v="september"/>
    <s v="Legacy Health Systems"/>
    <x v="1"/>
    <x v="7"/>
    <x v="10"/>
    <s v="Male"/>
    <n v="65"/>
    <n v="568"/>
    <n v="1482"/>
    <n v="36920"/>
    <n v="96330"/>
    <n v="59410"/>
    <s v="profit"/>
  </r>
  <r>
    <x v="165"/>
    <s v="january"/>
    <s v="Radiant Tech Solutions"/>
    <x v="0"/>
    <x v="0"/>
    <x v="8"/>
    <s v="Female"/>
    <n v="13"/>
    <n v="521"/>
    <n v="1433"/>
    <n v="6773"/>
    <n v="18629"/>
    <n v="11856"/>
    <s v="profit"/>
  </r>
  <r>
    <x v="272"/>
    <s v="september"/>
    <s v="Urban Focus Products"/>
    <x v="1"/>
    <x v="7"/>
    <x v="11"/>
    <s v="Male"/>
    <n v="58"/>
    <n v="758"/>
    <n v="1241"/>
    <n v="43964"/>
    <n v="71978"/>
    <n v="28014"/>
    <s v="profit"/>
  </r>
  <r>
    <x v="167"/>
    <s v="january"/>
    <s v="Elite Creative Solutions"/>
    <x v="0"/>
    <x v="0"/>
    <x v="2"/>
    <s v="Female"/>
    <n v="16"/>
    <n v="887"/>
    <n v="1059"/>
    <n v="14192"/>
    <n v="16944"/>
    <n v="2752"/>
    <s v="profit"/>
  </r>
  <r>
    <x v="273"/>
    <s v="october"/>
    <s v="Visionary Innovations"/>
    <x v="1"/>
    <x v="5"/>
    <x v="5"/>
    <s v="Female"/>
    <n v="61"/>
    <n v="604"/>
    <n v="1251"/>
    <n v="36844"/>
    <n v="76311"/>
    <n v="39467"/>
    <s v="profit"/>
  </r>
  <r>
    <x v="274"/>
    <s v="october"/>
    <s v="Horizon Design Studio"/>
    <x v="1"/>
    <x v="5"/>
    <x v="17"/>
    <s v="Female"/>
    <n v="62"/>
    <n v="641"/>
    <n v="869"/>
    <n v="39742"/>
    <n v="53878"/>
    <n v="14136"/>
    <s v="profit"/>
  </r>
  <r>
    <x v="275"/>
    <s v="october"/>
    <s v="Legacy Tech Products"/>
    <x v="1"/>
    <x v="5"/>
    <x v="18"/>
    <s v="Female"/>
    <n v="53"/>
    <n v="913"/>
    <n v="1369"/>
    <n v="48389"/>
    <n v="72557"/>
    <n v="24168"/>
    <s v="profit"/>
  </r>
  <r>
    <x v="276"/>
    <s v="october"/>
    <s v="Pinnacle Wellness Services"/>
    <x v="1"/>
    <x v="5"/>
    <x v="19"/>
    <s v="Female"/>
    <n v="56"/>
    <n v="840"/>
    <n v="1353"/>
    <n v="47040"/>
    <n v="75768"/>
    <n v="28728"/>
    <s v="profit"/>
  </r>
  <r>
    <x v="277"/>
    <s v="october"/>
    <s v="Urban Insight Consulting"/>
    <x v="1"/>
    <x v="7"/>
    <x v="0"/>
    <s v="Female"/>
    <n v="85"/>
    <n v="541"/>
    <n v="1331"/>
    <n v="45985"/>
    <n v="113135"/>
    <n v="67150"/>
    <s v="profit"/>
  </r>
  <r>
    <x v="278"/>
    <s v="october"/>
    <s v="Crystal Horizons"/>
    <x v="1"/>
    <x v="7"/>
    <x v="1"/>
    <s v="Female"/>
    <n v="56"/>
    <n v="611"/>
    <n v="1240"/>
    <n v="34216"/>
    <n v="69440"/>
    <n v="35224"/>
    <s v="profit"/>
  </r>
  <r>
    <x v="174"/>
    <s v="january"/>
    <s v="Pinnacle Design Solutions"/>
    <x v="1"/>
    <x v="7"/>
    <x v="12"/>
    <s v="Male"/>
    <n v="90"/>
    <n v="554"/>
    <n v="940"/>
    <n v="49860"/>
    <n v="84600"/>
    <n v="34740"/>
    <s v="profit"/>
  </r>
  <r>
    <x v="279"/>
    <s v="october"/>
    <s v="Radiant Apparel"/>
    <x v="1"/>
    <x v="7"/>
    <x v="2"/>
    <s v="Female"/>
    <n v="91"/>
    <n v="867"/>
    <n v="957"/>
    <n v="78897"/>
    <n v="87087"/>
    <n v="8190"/>
    <s v="profit"/>
  </r>
  <r>
    <x v="280"/>
    <s v="october"/>
    <s v="True Value Products"/>
    <x v="1"/>
    <x v="7"/>
    <x v="3"/>
    <s v="Female"/>
    <n v="95"/>
    <n v="508"/>
    <n v="783"/>
    <n v="48260"/>
    <n v="74385"/>
    <n v="26125"/>
    <s v="profit"/>
  </r>
  <r>
    <x v="281"/>
    <s v="october"/>
    <s v="Zenith Health Products"/>
    <x v="1"/>
    <x v="7"/>
    <x v="4"/>
    <s v="Male"/>
    <n v="75"/>
    <n v="549"/>
    <n v="1108"/>
    <n v="41175"/>
    <n v="83100"/>
    <n v="41925"/>
    <s v="profit"/>
  </r>
  <r>
    <x v="282"/>
    <s v="october"/>
    <s v="Stellar Wellness Products"/>
    <x v="1"/>
    <x v="1"/>
    <x v="17"/>
    <s v="Male"/>
    <n v="95"/>
    <n v="845"/>
    <n v="1102"/>
    <n v="80275"/>
    <n v="104690"/>
    <n v="24415"/>
    <s v="profit"/>
  </r>
  <r>
    <x v="283"/>
    <s v="october"/>
    <s v="Radiant Consulting Group"/>
    <x v="1"/>
    <x v="1"/>
    <x v="8"/>
    <s v="Male"/>
    <n v="86"/>
    <n v="949"/>
    <n v="924"/>
    <n v="81614"/>
    <n v="79464"/>
    <n v="-2150"/>
    <s v="loss"/>
  </r>
  <r>
    <x v="180"/>
    <s v="january"/>
    <s v="Pure Harmony Solutions"/>
    <x v="0"/>
    <x v="2"/>
    <x v="19"/>
    <s v="Female"/>
    <n v="11"/>
    <n v="587"/>
    <n v="1386"/>
    <n v="6457"/>
    <n v="15246"/>
    <n v="8789"/>
    <s v="profit"/>
  </r>
  <r>
    <x v="284"/>
    <s v="october"/>
    <s v="Harmony Ventures Co."/>
    <x v="1"/>
    <x v="1"/>
    <x v="18"/>
    <s v="Female"/>
    <n v="73"/>
    <n v="801"/>
    <n v="1092"/>
    <n v="58473"/>
    <n v="79716"/>
    <n v="21243"/>
    <s v="profit"/>
  </r>
  <r>
    <x v="285"/>
    <s v="october"/>
    <s v="Urban Path Technologies"/>
    <x v="1"/>
    <x v="1"/>
    <x v="19"/>
    <s v="Male"/>
    <n v="70"/>
    <n v="699"/>
    <n v="1090"/>
    <n v="48930"/>
    <n v="76300"/>
    <n v="27370"/>
    <s v="profit"/>
  </r>
  <r>
    <x v="286"/>
    <s v="november"/>
    <s v="Modern Vision Ventures"/>
    <x v="1"/>
    <x v="9"/>
    <x v="3"/>
    <s v="Female"/>
    <n v="67"/>
    <n v="674"/>
    <n v="1413"/>
    <n v="45158"/>
    <n v="94671"/>
    <n v="49513"/>
    <s v="profit"/>
  </r>
  <r>
    <x v="287"/>
    <s v="november"/>
    <s v="Elite Travel Services"/>
    <x v="1"/>
    <x v="9"/>
    <x v="15"/>
    <s v="Female"/>
    <n v="55"/>
    <n v="599"/>
    <n v="1482"/>
    <n v="32945"/>
    <n v="81510"/>
    <n v="48565"/>
    <s v="profit"/>
  </r>
  <r>
    <x v="288"/>
    <s v="november"/>
    <s v="Crystal Innovations Group"/>
    <x v="1"/>
    <x v="9"/>
    <x v="8"/>
    <s v="Female"/>
    <n v="90"/>
    <n v="962"/>
    <n v="1495"/>
    <n v="86580"/>
    <n v="134550"/>
    <n v="47970"/>
    <s v="profit"/>
  </r>
  <r>
    <x v="186"/>
    <s v="january"/>
    <s v="Zenith Path Solutions"/>
    <x v="0"/>
    <x v="2"/>
    <x v="4"/>
    <s v="Female"/>
    <n v="18"/>
    <n v="910"/>
    <n v="1065"/>
    <n v="16380"/>
    <n v="19170"/>
    <n v="2790"/>
    <s v="profit"/>
  </r>
  <r>
    <x v="289"/>
    <s v="november"/>
    <s v="Pinnacle Fitness Studio"/>
    <x v="1"/>
    <x v="9"/>
    <x v="3"/>
    <s v="Female"/>
    <n v="71"/>
    <n v="739"/>
    <n v="1353"/>
    <n v="52469"/>
    <n v="96063"/>
    <n v="43594"/>
    <s v="profit"/>
  </r>
  <r>
    <x v="290"/>
    <s v="november"/>
    <s v="Stellar Travel Agency"/>
    <x v="1"/>
    <x v="9"/>
    <x v="13"/>
    <s v="Female"/>
    <n v="63"/>
    <n v="691"/>
    <n v="1058"/>
    <n v="43533"/>
    <n v="66654"/>
    <n v="23121"/>
    <s v="profit"/>
  </r>
  <r>
    <x v="291"/>
    <s v="december"/>
    <s v="Apex Travel Ventures"/>
    <x v="1"/>
    <x v="5"/>
    <x v="0"/>
    <s v="Male"/>
    <n v="99"/>
    <n v="705"/>
    <n v="1356"/>
    <n v="69795"/>
    <n v="134244"/>
    <n v="64449"/>
    <s v="profit"/>
  </r>
  <r>
    <x v="190"/>
    <s v="january"/>
    <s v="Legacy Media Solutions"/>
    <x v="0"/>
    <x v="2"/>
    <x v="5"/>
    <s v="Male"/>
    <n v="11"/>
    <n v="543"/>
    <n v="1153"/>
    <n v="5973"/>
    <n v="12683"/>
    <n v="6710"/>
    <s v="profit"/>
  </r>
  <r>
    <x v="292"/>
    <s v="december"/>
    <s v="True Path Consulting"/>
    <x v="1"/>
    <x v="5"/>
    <x v="2"/>
    <s v="Female"/>
    <n v="74"/>
    <n v="922"/>
    <n v="970"/>
    <n v="68228"/>
    <n v="71780"/>
    <n v="3552"/>
    <s v="profit"/>
  </r>
  <r>
    <x v="293"/>
    <s v="december"/>
    <s v="Legacy Finance Group"/>
    <x v="1"/>
    <x v="5"/>
    <x v="3"/>
    <s v="Female"/>
    <n v="72"/>
    <n v="560"/>
    <n v="918"/>
    <n v="40320"/>
    <n v="66096"/>
    <n v="25776"/>
    <s v="profit"/>
  </r>
  <r>
    <x v="294"/>
    <s v="december"/>
    <s v="Pinnacle Design Ventures"/>
    <x v="1"/>
    <x v="5"/>
    <x v="6"/>
    <s v="Female"/>
    <n v="59"/>
    <n v="834"/>
    <n v="951"/>
    <n v="49206"/>
    <n v="56109"/>
    <n v="6903"/>
    <s v="profit"/>
  </r>
  <r>
    <x v="295"/>
    <s v="december"/>
    <s v="Stellar Innovations Co."/>
    <x v="1"/>
    <x v="5"/>
    <x v="7"/>
    <s v="Female"/>
    <n v="83"/>
    <n v="840"/>
    <n v="828"/>
    <n v="69720"/>
    <n v="68724"/>
    <n v="-996"/>
    <s v="loss"/>
  </r>
  <r>
    <x v="296"/>
    <s v="december"/>
    <s v="Harmony Marketing Co."/>
    <x v="1"/>
    <x v="5"/>
    <x v="13"/>
    <s v="Female"/>
    <n v="64"/>
    <n v="965"/>
    <n v="1357"/>
    <n v="61760"/>
    <n v="86848"/>
    <n v="25088"/>
    <s v="profit"/>
  </r>
  <r>
    <x v="297"/>
    <s v="december"/>
    <s v="Urban Tech Innovations"/>
    <x v="1"/>
    <x v="5"/>
    <x v="13"/>
    <s v="Female"/>
    <n v="59"/>
    <n v="671"/>
    <n v="1410"/>
    <n v="39589"/>
    <n v="83190"/>
    <n v="43601"/>
    <s v="profit"/>
  </r>
  <r>
    <x v="298"/>
    <s v="december"/>
    <s v="Crystal Wellness Group"/>
    <x v="1"/>
    <x v="5"/>
    <x v="12"/>
    <s v="Female"/>
    <n v="85"/>
    <n v="761"/>
    <n v="926"/>
    <n v="64685"/>
    <n v="78710"/>
    <n v="14025"/>
    <s v="profit"/>
  </r>
  <r>
    <x v="299"/>
    <s v="december"/>
    <s v="Apex Media Co."/>
    <x v="1"/>
    <x v="5"/>
    <x v="5"/>
    <s v="Female"/>
    <n v="81"/>
    <n v="522"/>
    <n v="1238"/>
    <n v="42282"/>
    <n v="100278"/>
    <n v="57996"/>
    <s v="profit"/>
  </r>
  <r>
    <x v="300"/>
    <s v="december"/>
    <s v="Legacy Health Ventures"/>
    <x v="1"/>
    <x v="7"/>
    <x v="8"/>
    <s v="Female"/>
    <n v="72"/>
    <n v="943"/>
    <n v="1233"/>
    <n v="67896"/>
    <n v="88776"/>
    <n v="20880"/>
    <s v="profit"/>
  </r>
  <r>
    <x v="301"/>
    <s v="december"/>
    <s v="Pinnacle Spectrum Co."/>
    <x v="1"/>
    <x v="7"/>
    <x v="18"/>
    <s v="Female"/>
    <n v="67"/>
    <n v="801"/>
    <n v="1220"/>
    <n v="53667"/>
    <n v="81740"/>
    <n v="28073"/>
    <s v="profit"/>
  </r>
  <r>
    <x v="195"/>
    <s v="february"/>
    <s v="Radiant Solutions Co."/>
    <x v="2"/>
    <x v="6"/>
    <x v="5"/>
    <s v="Female"/>
    <n v="29"/>
    <n v="725"/>
    <n v="792"/>
    <n v="21025"/>
    <n v="22968"/>
    <n v="1943"/>
    <s v="profit"/>
  </r>
  <r>
    <x v="302"/>
    <s v="december"/>
    <s v="Stellar Travel Products"/>
    <x v="1"/>
    <x v="7"/>
    <x v="19"/>
    <s v="Female"/>
    <n v="57"/>
    <n v="647"/>
    <n v="905"/>
    <n v="36879"/>
    <n v="51585"/>
    <n v="14706"/>
    <s v="profit"/>
  </r>
  <r>
    <x v="303"/>
    <s v="december"/>
    <s v="Radiance Finance Services"/>
    <x v="1"/>
    <x v="7"/>
    <x v="0"/>
    <s v="Female"/>
    <n v="91"/>
    <n v="906"/>
    <n v="925"/>
    <n v="82446"/>
    <n v="84175"/>
    <n v="1729"/>
    <s v="profit"/>
  </r>
  <r>
    <x v="304"/>
    <s v="december"/>
    <s v="Modern Travel Agency"/>
    <x v="1"/>
    <x v="7"/>
    <x v="2"/>
    <s v="Male"/>
    <n v="82"/>
    <n v="955"/>
    <n v="1218"/>
    <n v="78310"/>
    <n v="99876"/>
    <n v="21566"/>
    <s v="profit"/>
  </r>
  <r>
    <x v="196"/>
    <s v="february"/>
    <s v="Modern Travel Solutions"/>
    <x v="1"/>
    <x v="5"/>
    <x v="13"/>
    <s v="Female"/>
    <n v="59"/>
    <n v="725"/>
    <n v="1113"/>
    <n v="42775"/>
    <n v="65667"/>
    <n v="22892"/>
    <s v="profit"/>
  </r>
  <r>
    <x v="305"/>
    <s v="december"/>
    <s v="Crystal Path Consulting"/>
    <x v="1"/>
    <x v="7"/>
    <x v="3"/>
    <s v="Male"/>
    <n v="72"/>
    <n v="829"/>
    <n v="1165"/>
    <n v="59688"/>
    <n v="83880"/>
    <n v="24192"/>
    <s v="profit"/>
  </r>
  <r>
    <x v="306"/>
    <s v="december"/>
    <s v="Zenith Educational Services"/>
    <x v="1"/>
    <x v="7"/>
    <x v="3"/>
    <s v="Male"/>
    <n v="62"/>
    <n v="680"/>
    <n v="912"/>
    <n v="42160"/>
    <n v="56544"/>
    <n v="14384"/>
    <s v="profit"/>
  </r>
  <r>
    <x v="307"/>
    <s v="december"/>
    <s v="Apex Innovations Co."/>
    <x v="1"/>
    <x v="7"/>
    <x v="4"/>
    <s v="Male"/>
    <n v="67"/>
    <n v="600"/>
    <n v="1328"/>
    <n v="40200"/>
    <n v="88976"/>
    <n v="48776"/>
    <s v="profit"/>
  </r>
  <r>
    <x v="308"/>
    <s v="january"/>
    <s v="Pure Harmony Health"/>
    <x v="1"/>
    <x v="7"/>
    <x v="5"/>
    <s v="Female"/>
    <n v="97"/>
    <n v="946"/>
    <n v="1297"/>
    <n v="91762"/>
    <n v="125809"/>
    <n v="34047"/>
    <s v="profit"/>
  </r>
  <r>
    <x v="309"/>
    <s v="january"/>
    <s v="Apex Travel Innovations"/>
    <x v="1"/>
    <x v="5"/>
    <x v="6"/>
    <s v="Male"/>
    <n v="62"/>
    <n v="800"/>
    <n v="882"/>
    <n v="49600"/>
    <n v="54684"/>
    <n v="5084"/>
    <s v="profit"/>
  </r>
  <r>
    <x v="310"/>
    <s v="january"/>
    <s v="Modern Health Products"/>
    <x v="1"/>
    <x v="5"/>
    <x v="7"/>
    <s v="Male"/>
    <n v="65"/>
    <n v="875"/>
    <n v="1361"/>
    <n v="56875"/>
    <n v="88465"/>
    <n v="31590"/>
    <s v="profit"/>
  </r>
  <r>
    <x v="197"/>
    <s v="february"/>
    <s v="Zenith Tech Solutions"/>
    <x v="1"/>
    <x v="5"/>
    <x v="18"/>
    <s v="Male"/>
    <n v="100"/>
    <n v="831"/>
    <n v="1466"/>
    <n v="83100"/>
    <n v="146600"/>
    <n v="63500"/>
    <s v="profit"/>
  </r>
  <r>
    <x v="311"/>
    <s v="january"/>
    <s v="Harmony Finance Group"/>
    <x v="1"/>
    <x v="5"/>
    <x v="7"/>
    <s v="Male"/>
    <n v="88"/>
    <n v="823"/>
    <n v="1026"/>
    <n v="72424"/>
    <n v="90288"/>
    <n v="17864"/>
    <s v="profit"/>
  </r>
  <r>
    <x v="312"/>
    <s v="january"/>
    <s v="Pure Vision Consulting"/>
    <x v="1"/>
    <x v="5"/>
    <x v="13"/>
    <s v="Female"/>
    <n v="54"/>
    <n v="664"/>
    <n v="761"/>
    <n v="35856"/>
    <n v="41094"/>
    <n v="5238"/>
    <s v="profit"/>
  </r>
  <r>
    <x v="313"/>
    <s v="january"/>
    <s v="Legacy Spectrum Co."/>
    <x v="1"/>
    <x v="5"/>
    <x v="13"/>
    <s v="Male"/>
    <n v="52"/>
    <n v="538"/>
    <n v="1257"/>
    <n v="27976"/>
    <n v="65364"/>
    <n v="37388"/>
    <s v="profit"/>
  </r>
  <r>
    <x v="314"/>
    <s v="january"/>
    <s v="Stellar Media Services"/>
    <x v="1"/>
    <x v="7"/>
    <x v="7"/>
    <s v="Male"/>
    <n v="81"/>
    <n v="556"/>
    <n v="1345"/>
    <n v="45036"/>
    <n v="108945"/>
    <n v="63909"/>
    <s v="profit"/>
  </r>
  <r>
    <x v="315"/>
    <s v="january"/>
    <s v="Radiant Innovations Group"/>
    <x v="1"/>
    <x v="7"/>
    <x v="5"/>
    <s v="Male"/>
    <n v="72"/>
    <n v="608"/>
    <n v="1209"/>
    <n v="43776"/>
    <n v="87048"/>
    <n v="43272"/>
    <s v="profit"/>
  </r>
  <r>
    <x v="316"/>
    <s v="january"/>
    <s v="Horizon Path Ventures"/>
    <x v="1"/>
    <x v="7"/>
    <x v="17"/>
    <s v="Female"/>
    <n v="61"/>
    <n v="994"/>
    <n v="886"/>
    <n v="60634"/>
    <n v="54046"/>
    <n v="-6588"/>
    <s v="loss"/>
  </r>
  <r>
    <x v="317"/>
    <s v="january"/>
    <s v="Zenith Tech Co."/>
    <x v="1"/>
    <x v="7"/>
    <x v="8"/>
    <s v="Female"/>
    <n v="57"/>
    <n v="566"/>
    <n v="830"/>
    <n v="32262"/>
    <n v="47310"/>
    <n v="15048"/>
    <s v="profit"/>
  </r>
  <r>
    <x v="318"/>
    <s v="january"/>
    <s v="Apex Finance Ventures"/>
    <x v="1"/>
    <x v="7"/>
    <x v="18"/>
    <s v="Female"/>
    <n v="50"/>
    <n v="714"/>
    <n v="1071"/>
    <n v="35700"/>
    <n v="53550"/>
    <n v="17850"/>
    <s v="profit"/>
  </r>
  <r>
    <x v="319"/>
    <s v="february"/>
    <s v="Zenith Wellness Co."/>
    <x v="1"/>
    <x v="5"/>
    <x v="7"/>
    <s v="Female"/>
    <n v="80"/>
    <n v="636"/>
    <n v="1259"/>
    <n v="50880"/>
    <n v="100720"/>
    <n v="49840"/>
    <s v="profit"/>
  </r>
  <r>
    <x v="320"/>
    <s v="february"/>
    <s v="Apex Design Services"/>
    <x v="1"/>
    <x v="5"/>
    <x v="7"/>
    <s v="Female"/>
    <n v="50"/>
    <n v="581"/>
    <n v="1380"/>
    <n v="29050"/>
    <n v="69000"/>
    <n v="39950"/>
    <s v="profit"/>
  </r>
  <r>
    <x v="6"/>
    <s v="april"/>
    <s v="Apex Solutions"/>
    <x v="1"/>
    <x v="1"/>
    <x v="6"/>
    <s v="Male"/>
    <n v="78"/>
    <n v="655"/>
    <n v="790"/>
    <n v="51090"/>
    <n v="61620"/>
    <n v="10530"/>
    <s v="profit"/>
  </r>
  <r>
    <x v="321"/>
    <s v="february"/>
    <s v="Pure Health Ventures"/>
    <x v="1"/>
    <x v="5"/>
    <x v="13"/>
    <s v="Female"/>
    <n v="78"/>
    <n v="964"/>
    <n v="1264"/>
    <n v="75192"/>
    <n v="98592"/>
    <n v="23400"/>
    <s v="profit"/>
  </r>
  <r>
    <x v="322"/>
    <s v="february"/>
    <s v="Legacy Spectrum Group"/>
    <x v="1"/>
    <x v="5"/>
    <x v="12"/>
    <s v="Male"/>
    <n v="97"/>
    <n v="982"/>
    <n v="1243"/>
    <n v="95254"/>
    <n v="120571"/>
    <n v="25317"/>
    <s v="profit"/>
  </r>
  <r>
    <x v="323"/>
    <s v="february"/>
    <s v="Pinnacle Media Ventures"/>
    <x v="1"/>
    <x v="5"/>
    <x v="7"/>
    <s v="Male"/>
    <n v="93"/>
    <n v="736"/>
    <n v="864"/>
    <n v="68448"/>
    <n v="80352"/>
    <n v="11904"/>
    <s v="profit"/>
  </r>
  <r>
    <x v="324"/>
    <s v="february"/>
    <s v="Stellar Innovations Group"/>
    <x v="1"/>
    <x v="5"/>
    <x v="5"/>
    <s v="Male"/>
    <n v="51"/>
    <n v="608"/>
    <n v="1179"/>
    <n v="31008"/>
    <n v="60129"/>
    <n v="29121"/>
    <s v="profit"/>
  </r>
  <r>
    <x v="325"/>
    <s v="february"/>
    <s v="Radiant Educational Co."/>
    <x v="1"/>
    <x v="5"/>
    <x v="17"/>
    <s v="Male"/>
    <n v="95"/>
    <n v="642"/>
    <n v="796"/>
    <n v="60990"/>
    <n v="75620"/>
    <n v="14630"/>
    <s v="profit"/>
  </r>
  <r>
    <x v="12"/>
    <s v="april"/>
    <s v="Metro Tech Solutions"/>
    <x v="2"/>
    <x v="3"/>
    <x v="8"/>
    <s v="Female"/>
    <n v="22"/>
    <n v="755"/>
    <n v="996"/>
    <n v="16610"/>
    <n v="21912"/>
    <n v="5302"/>
    <s v="profit"/>
  </r>
  <r>
    <x v="326"/>
    <s v="february"/>
    <s v="Harmony Edge Ventures"/>
    <x v="1"/>
    <x v="5"/>
    <x v="8"/>
    <s v="Female"/>
    <n v="90"/>
    <n v="713"/>
    <n v="1148"/>
    <n v="64170"/>
    <n v="103320"/>
    <n v="39150"/>
    <s v="profit"/>
  </r>
  <r>
    <x v="327"/>
    <s v="february"/>
    <s v="Apex Finance Group"/>
    <x v="1"/>
    <x v="5"/>
    <x v="19"/>
    <s v="Male"/>
    <n v="81"/>
    <n v="813"/>
    <n v="1428"/>
    <n v="65853"/>
    <n v="115668"/>
    <n v="49815"/>
    <s v="profit"/>
  </r>
  <r>
    <x v="328"/>
    <s v="february"/>
    <s v="Pure Harmony Media"/>
    <x v="1"/>
    <x v="5"/>
    <x v="0"/>
    <s v="Male"/>
    <n v="57"/>
    <n v="912"/>
    <n v="1246"/>
    <n v="51984"/>
    <n v="71022"/>
    <n v="19038"/>
    <s v="profit"/>
  </r>
  <r>
    <x v="329"/>
    <s v="february"/>
    <s v="Legacy Health Co."/>
    <x v="1"/>
    <x v="7"/>
    <x v="1"/>
    <s v="Male"/>
    <n v="61"/>
    <n v="565"/>
    <n v="1212"/>
    <n v="34465"/>
    <n v="73932"/>
    <n v="39467"/>
    <s v="profit"/>
  </r>
  <r>
    <x v="330"/>
    <s v="february"/>
    <s v="ACCOUNTS EXPERT"/>
    <x v="1"/>
    <x v="10"/>
    <x v="1"/>
    <s v="Male"/>
    <n v="62"/>
    <n v="805"/>
    <n v="1163"/>
    <n v="49910"/>
    <n v="72106"/>
    <n v="22196"/>
    <s v="profit"/>
  </r>
  <r>
    <x v="198"/>
    <s v="april"/>
    <s v="Golden Horizon Ventures"/>
    <x v="1"/>
    <x v="1"/>
    <x v="15"/>
    <s v="Male"/>
    <n v="74"/>
    <n v="743"/>
    <n v="1265"/>
    <n v="54982"/>
    <n v="93610"/>
    <n v="38628"/>
    <s v="profit"/>
  </r>
  <r>
    <x v="199"/>
    <s v="april"/>
    <s v="Eternal Traditions"/>
    <x v="1"/>
    <x v="1"/>
    <x v="16"/>
    <s v="Male"/>
    <n v="83"/>
    <n v="594"/>
    <n v="852"/>
    <n v="49302"/>
    <n v="70716"/>
    <n v="21414"/>
    <s v="profit"/>
  </r>
  <r>
    <x v="200"/>
    <s v="april"/>
    <s v="Harmony Foods"/>
    <x v="1"/>
    <x v="1"/>
    <x v="8"/>
    <s v="Male"/>
    <n v="70"/>
    <n v="878"/>
    <n v="844"/>
    <n v="61460"/>
    <n v="59080"/>
    <n v="-2380"/>
    <s v="loss"/>
  </r>
  <r>
    <x v="201"/>
    <s v="april"/>
    <s v="Sacred Roots Apparel"/>
    <x v="1"/>
    <x v="9"/>
    <x v="8"/>
    <s v="Female"/>
    <n v="57"/>
    <n v="724"/>
    <n v="839"/>
    <n v="41268"/>
    <n v="47823"/>
    <n v="6555"/>
    <s v="profit"/>
  </r>
  <r>
    <x v="22"/>
    <s v="april"/>
    <s v="Elite Marketing Solutions"/>
    <x v="2"/>
    <x v="4"/>
    <x v="13"/>
    <s v="Male"/>
    <n v="23"/>
    <n v="627"/>
    <n v="855"/>
    <n v="14421"/>
    <n v="19665"/>
    <n v="5244"/>
    <s v="profit"/>
  </r>
  <r>
    <x v="202"/>
    <s v="april"/>
    <s v="Quantum Finance Services"/>
    <x v="1"/>
    <x v="9"/>
    <x v="9"/>
    <s v="Female"/>
    <n v="50"/>
    <n v="537"/>
    <n v="1172"/>
    <n v="26850"/>
    <n v="58600"/>
    <n v="31750"/>
    <s v="profit"/>
  </r>
  <r>
    <x v="24"/>
    <s v="april"/>
    <s v="Crystal Clear Solutions"/>
    <x v="2"/>
    <x v="4"/>
    <x v="12"/>
    <s v="Female"/>
    <n v="23"/>
    <n v="938"/>
    <n v="1336"/>
    <n v="21574"/>
    <n v="30728"/>
    <n v="9154"/>
    <s v="profit"/>
  </r>
  <r>
    <x v="203"/>
    <s v="april"/>
    <s v="Brilliant Minds Academy"/>
    <x v="1"/>
    <x v="9"/>
    <x v="4"/>
    <s v="Female"/>
    <n v="67"/>
    <n v="989"/>
    <n v="956"/>
    <n v="66263"/>
    <n v="64052"/>
    <n v="-2211"/>
    <s v="loss"/>
  </r>
  <r>
    <x v="204"/>
    <s v="april"/>
    <s v="Visionary Holdings"/>
    <x v="1"/>
    <x v="9"/>
    <x v="10"/>
    <s v="Female"/>
    <n v="83"/>
    <n v="917"/>
    <n v="989"/>
    <n v="76111"/>
    <n v="82087"/>
    <n v="5976"/>
    <s v="profit"/>
  </r>
  <r>
    <x v="205"/>
    <s v="april"/>
    <s v="Stellar Design Studio"/>
    <x v="1"/>
    <x v="9"/>
    <x v="11"/>
    <s v="Female"/>
    <n v="74"/>
    <n v="645"/>
    <n v="879"/>
    <n v="47730"/>
    <n v="65046"/>
    <n v="17316"/>
    <s v="profit"/>
  </r>
  <r>
    <x v="206"/>
    <s v="april"/>
    <s v="Classic Cuisines"/>
    <x v="1"/>
    <x v="9"/>
    <x v="6"/>
    <s v="Male"/>
    <n v="76"/>
    <n v="943"/>
    <n v="1394"/>
    <n v="71668"/>
    <n v="105944"/>
    <n v="34276"/>
    <s v="profit"/>
  </r>
  <r>
    <x v="207"/>
    <s v="april"/>
    <s v="Bold Ventures"/>
    <x v="1"/>
    <x v="9"/>
    <x v="7"/>
    <s v="Male"/>
    <n v="85"/>
    <n v="505"/>
    <n v="1435"/>
    <n v="42925"/>
    <n v="121975"/>
    <n v="79050"/>
    <s v="profit"/>
  </r>
  <r>
    <x v="208"/>
    <s v="may"/>
    <s v="Radiance Spa"/>
    <x v="1"/>
    <x v="5"/>
    <x v="12"/>
    <s v="Male"/>
    <n v="82"/>
    <n v="928"/>
    <n v="1428"/>
    <n v="76096"/>
    <n v="117096"/>
    <n v="41000"/>
    <s v="profit"/>
  </r>
  <r>
    <x v="209"/>
    <s v="may"/>
    <s v="Verve Fitness Studio"/>
    <x v="1"/>
    <x v="5"/>
    <x v="7"/>
    <s v="Female"/>
    <n v="72"/>
    <n v="605"/>
    <n v="1081"/>
    <n v="43560"/>
    <n v="77832"/>
    <n v="34272"/>
    <s v="profit"/>
  </r>
  <r>
    <x v="210"/>
    <s v="may"/>
    <s v="Sparkle Cleaners"/>
    <x v="1"/>
    <x v="5"/>
    <x v="7"/>
    <s v="Female"/>
    <n v="82"/>
    <n v="993"/>
    <n v="823"/>
    <n v="81426"/>
    <n v="67486"/>
    <n v="-13940"/>
    <s v="loss"/>
  </r>
  <r>
    <x v="211"/>
    <s v="may"/>
    <s v="Global Reach Logistics"/>
    <x v="1"/>
    <x v="5"/>
    <x v="8"/>
    <s v="Female"/>
    <n v="53"/>
    <n v="803"/>
    <n v="1335"/>
    <n v="42559"/>
    <n v="70755"/>
    <n v="28196"/>
    <s v="profit"/>
  </r>
  <r>
    <x v="212"/>
    <s v="may"/>
    <s v="Noble Path Finance"/>
    <x v="1"/>
    <x v="5"/>
    <x v="4"/>
    <s v="Female"/>
    <n v="87"/>
    <n v="742"/>
    <n v="856"/>
    <n v="64554"/>
    <n v="74472"/>
    <n v="9918"/>
    <s v="profit"/>
  </r>
  <r>
    <x v="213"/>
    <s v="may"/>
    <s v="Dynamic Events Management"/>
    <x v="1"/>
    <x v="5"/>
    <x v="8"/>
    <s v="Female"/>
    <n v="70"/>
    <n v="605"/>
    <n v="1489"/>
    <n v="42350"/>
    <n v="104230"/>
    <n v="61880"/>
    <s v="profit"/>
  </r>
  <r>
    <x v="214"/>
    <s v="may"/>
    <s v="Crystal Waters Resort"/>
    <x v="1"/>
    <x v="5"/>
    <x v="9"/>
    <s v="Female"/>
    <n v="94"/>
    <n v="754"/>
    <n v="1354"/>
    <n v="70876"/>
    <n v="127276"/>
    <n v="56400"/>
    <s v="profit"/>
  </r>
  <r>
    <x v="215"/>
    <s v="may"/>
    <s v="Excellence Tutors"/>
    <x v="1"/>
    <x v="5"/>
    <x v="4"/>
    <s v="Female"/>
    <n v="80"/>
    <n v="622"/>
    <n v="1168"/>
    <n v="49760"/>
    <n v="93440"/>
    <n v="43680"/>
    <s v="profit"/>
  </r>
  <r>
    <x v="216"/>
    <s v="may"/>
    <s v="Horizon Builders"/>
    <x v="1"/>
    <x v="5"/>
    <x v="10"/>
    <s v="Male"/>
    <n v="88"/>
    <n v="625"/>
    <n v="1324"/>
    <n v="55000"/>
    <n v="116512"/>
    <n v="61512"/>
    <s v="profit"/>
  </r>
  <r>
    <x v="217"/>
    <s v="may"/>
    <s v="Classic Heritage Crafts"/>
    <x v="1"/>
    <x v="5"/>
    <x v="6"/>
    <s v="Male"/>
    <n v="67"/>
    <n v="760"/>
    <n v="1006"/>
    <n v="50920"/>
    <n v="67402"/>
    <n v="16482"/>
    <s v="profit"/>
  </r>
  <r>
    <x v="218"/>
    <s v="may"/>
    <s v="Prime Focus Media"/>
    <x v="1"/>
    <x v="7"/>
    <x v="7"/>
    <s v="Male"/>
    <n v="75"/>
    <n v="966"/>
    <n v="1355"/>
    <n v="72450"/>
    <n v="101625"/>
    <n v="29175"/>
    <s v="profit"/>
  </r>
  <r>
    <x v="219"/>
    <s v="june"/>
    <s v="Noble Nutraceuticals"/>
    <x v="1"/>
    <x v="7"/>
    <x v="7"/>
    <s v="Female"/>
    <n v="51"/>
    <n v="749"/>
    <n v="1060"/>
    <n v="38199"/>
    <n v="54060"/>
    <n v="15861"/>
    <s v="profit"/>
  </r>
  <r>
    <x v="220"/>
    <s v="june"/>
    <s v="Supreme Travel Agency"/>
    <x v="1"/>
    <x v="7"/>
    <x v="13"/>
    <s v="Male"/>
    <n v="94"/>
    <n v="721"/>
    <n v="996"/>
    <n v="67774"/>
    <n v="93624"/>
    <n v="25850"/>
    <s v="profit"/>
  </r>
  <r>
    <x v="221"/>
    <s v="june"/>
    <s v="Future Vision Tech"/>
    <x v="1"/>
    <x v="7"/>
    <x v="13"/>
    <s v="Male"/>
    <n v="71"/>
    <n v="869"/>
    <n v="753"/>
    <n v="61699"/>
    <n v="53463"/>
    <n v="-8236"/>
    <s v="loss"/>
  </r>
  <r>
    <x v="222"/>
    <s v="june"/>
    <s v="Urban Groove Apparel"/>
    <x v="1"/>
    <x v="7"/>
    <x v="12"/>
    <s v="Male"/>
    <n v="52"/>
    <n v="550"/>
    <n v="869"/>
    <n v="28600"/>
    <n v="45188"/>
    <n v="16588"/>
    <s v="profit"/>
  </r>
  <r>
    <x v="223"/>
    <s v="june"/>
    <s v="Echo Real Estate"/>
    <x v="1"/>
    <x v="7"/>
    <x v="7"/>
    <s v="Male"/>
    <n v="77"/>
    <n v="513"/>
    <n v="871"/>
    <n v="39501"/>
    <n v="67067"/>
    <n v="27566"/>
    <s v="profit"/>
  </r>
  <r>
    <x v="224"/>
    <s v="june"/>
    <s v="Pinnacle Health Products"/>
    <x v="1"/>
    <x v="7"/>
    <x v="5"/>
    <s v="Female"/>
    <n v="84"/>
    <n v="739"/>
    <n v="1161"/>
    <n v="62076"/>
    <n v="97524"/>
    <n v="35448"/>
    <s v="profit"/>
  </r>
  <r>
    <x v="225"/>
    <s v="june"/>
    <s v="Apex Auto Care"/>
    <x v="1"/>
    <x v="7"/>
    <x v="17"/>
    <s v="Female"/>
    <n v="71"/>
    <n v="923"/>
    <n v="996"/>
    <n v="65533"/>
    <n v="70716"/>
    <n v="5183"/>
    <s v="profit"/>
  </r>
  <r>
    <x v="226"/>
    <s v="june"/>
    <s v="Royal Glow Cosmetics"/>
    <x v="1"/>
    <x v="7"/>
    <x v="8"/>
    <s v="Female"/>
    <n v="59"/>
    <n v="862"/>
    <n v="1233"/>
    <n v="50858"/>
    <n v="72747"/>
    <n v="21889"/>
    <s v="profit"/>
  </r>
  <r>
    <x v="49"/>
    <s v="may"/>
    <s v="Absolute Solutions"/>
    <x v="1"/>
    <x v="5"/>
    <x v="6"/>
    <s v="Male"/>
    <n v="90"/>
    <n v="718"/>
    <n v="1353"/>
    <n v="64620"/>
    <n v="121770"/>
    <n v="57150"/>
    <s v="profit"/>
  </r>
  <r>
    <x v="227"/>
    <s v="june"/>
    <s v="Zenith Culinary Arts"/>
    <x v="1"/>
    <x v="7"/>
    <x v="18"/>
    <s v="Female"/>
    <n v="77"/>
    <n v="882"/>
    <n v="914"/>
    <n v="67914"/>
    <n v="70378"/>
    <n v="2464"/>
    <s v="profit"/>
  </r>
  <r>
    <x v="228"/>
    <s v="june"/>
    <s v="Visionary Tours"/>
    <x v="1"/>
    <x v="7"/>
    <x v="19"/>
    <s v="Female"/>
    <n v="90"/>
    <n v="862"/>
    <n v="902"/>
    <n v="77580"/>
    <n v="81180"/>
    <n v="3600"/>
    <s v="profit"/>
  </r>
  <r>
    <x v="229"/>
    <s v="june"/>
    <s v="Elite Essence Products"/>
    <x v="1"/>
    <x v="5"/>
    <x v="3"/>
    <s v="Male"/>
    <n v="73"/>
    <n v="541"/>
    <n v="1114"/>
    <n v="39493"/>
    <n v="81322"/>
    <n v="41829"/>
    <s v="profit"/>
  </r>
  <r>
    <x v="230"/>
    <s v="june"/>
    <s v="Dynamic Creations"/>
    <x v="1"/>
    <x v="5"/>
    <x v="15"/>
    <s v="Male"/>
    <n v="94"/>
    <n v="772"/>
    <n v="1390"/>
    <n v="72568"/>
    <n v="130660"/>
    <n v="58092"/>
    <s v="profit"/>
  </r>
  <r>
    <x v="231"/>
    <s v="june"/>
    <s v="Quantum Design Studio"/>
    <x v="1"/>
    <x v="5"/>
    <x v="14"/>
    <s v="Male"/>
    <n v="66"/>
    <n v="771"/>
    <n v="1419"/>
    <n v="50886"/>
    <n v="93654"/>
    <n v="42768"/>
    <s v="profit"/>
  </r>
  <r>
    <x v="232"/>
    <s v="june"/>
    <s v="Apex Construction"/>
    <x v="1"/>
    <x v="5"/>
    <x v="3"/>
    <s v="Female"/>
    <n v="65"/>
    <n v="762"/>
    <n v="1394"/>
    <n v="49530"/>
    <n v="90610"/>
    <n v="41080"/>
    <s v="profit"/>
  </r>
  <r>
    <x v="233"/>
    <s v="june"/>
    <s v="Legacy Innovations"/>
    <x v="1"/>
    <x v="7"/>
    <x v="13"/>
    <s v="Female"/>
    <n v="78"/>
    <n v="918"/>
    <n v="1469"/>
    <n v="71604"/>
    <n v="114582"/>
    <n v="42978"/>
    <s v="profit"/>
  </r>
  <r>
    <x v="234"/>
    <s v="june"/>
    <s v="Pure Harmony Foods"/>
    <x v="1"/>
    <x v="7"/>
    <x v="15"/>
    <s v="Male"/>
    <n v="76"/>
    <n v="624"/>
    <n v="899"/>
    <n v="47424"/>
    <n v="68324"/>
    <n v="20900"/>
    <s v="profit"/>
  </r>
  <r>
    <x v="58"/>
    <s v="may"/>
    <s v="Synergy Tech Solutions"/>
    <x v="1"/>
    <x v="5"/>
    <x v="11"/>
    <s v="Male"/>
    <n v="59"/>
    <n v="716"/>
    <n v="1257"/>
    <n v="42244"/>
    <n v="74163"/>
    <n v="31919"/>
    <s v="profit"/>
  </r>
  <r>
    <x v="235"/>
    <s v="june"/>
    <s v="Zenith Security Systems"/>
    <x v="1"/>
    <x v="7"/>
    <x v="16"/>
    <s v="Male"/>
    <n v="99"/>
    <n v="598"/>
    <n v="1404"/>
    <n v="59202"/>
    <n v="138996"/>
    <n v="79794"/>
    <s v="profit"/>
  </r>
  <r>
    <x v="236"/>
    <s v="june"/>
    <s v="Crystal Clear Beverages"/>
    <x v="1"/>
    <x v="7"/>
    <x v="6"/>
    <s v="Male"/>
    <n v="78"/>
    <n v="761"/>
    <n v="1174"/>
    <n v="59358"/>
    <n v="91572"/>
    <n v="32214"/>
    <s v="profit"/>
  </r>
  <r>
    <x v="237"/>
    <s v="june"/>
    <s v="Metro Line Tech"/>
    <x v="1"/>
    <x v="7"/>
    <x v="8"/>
    <s v="Male"/>
    <n v="96"/>
    <n v="512"/>
    <n v="970"/>
    <n v="49152"/>
    <n v="93120"/>
    <n v="43968"/>
    <s v="profit"/>
  </r>
  <r>
    <x v="238"/>
    <s v="june"/>
    <s v="Urban Pulse Consulting"/>
    <x v="1"/>
    <x v="7"/>
    <x v="12"/>
    <s v="Male"/>
    <n v="85"/>
    <n v="765"/>
    <n v="1024"/>
    <n v="65025"/>
    <n v="87040"/>
    <n v="22015"/>
    <s v="profit"/>
  </r>
  <r>
    <x v="239"/>
    <s v="july"/>
    <s v="Legacy Design Group"/>
    <x v="1"/>
    <x v="5"/>
    <x v="1"/>
    <s v="Female"/>
    <n v="59"/>
    <n v="663"/>
    <n v="872"/>
    <n v="39117"/>
    <n v="51448"/>
    <n v="12331"/>
    <s v="profit"/>
  </r>
  <r>
    <x v="240"/>
    <s v="july"/>
    <s v="Supreme Wellness"/>
    <x v="1"/>
    <x v="5"/>
    <x v="2"/>
    <s v="Female"/>
    <n v="75"/>
    <n v="871"/>
    <n v="1274"/>
    <n v="65325"/>
    <n v="95550"/>
    <n v="30225"/>
    <s v="profit"/>
  </r>
  <r>
    <x v="241"/>
    <s v="july"/>
    <s v="Harmony Tech Innovations"/>
    <x v="1"/>
    <x v="5"/>
    <x v="3"/>
    <s v="Female"/>
    <n v="87"/>
    <n v="869"/>
    <n v="1247"/>
    <n v="75603"/>
    <n v="108489"/>
    <n v="32886"/>
    <s v="profit"/>
  </r>
  <r>
    <x v="242"/>
    <s v="july"/>
    <s v="Stellar Education Services"/>
    <x v="1"/>
    <x v="5"/>
    <x v="3"/>
    <s v="Female"/>
    <n v="100"/>
    <n v="605"/>
    <n v="1249"/>
    <n v="60500"/>
    <n v="124900"/>
    <n v="64400"/>
    <s v="profit"/>
  </r>
  <r>
    <x v="243"/>
    <s v="july"/>
    <s v="Visionary Health Products"/>
    <x v="1"/>
    <x v="5"/>
    <x v="4"/>
    <s v="Female"/>
    <n v="51"/>
    <n v="798"/>
    <n v="910"/>
    <n v="40698"/>
    <n v="46410"/>
    <n v="5712"/>
    <s v="profit"/>
  </r>
  <r>
    <x v="244"/>
    <s v="july"/>
    <s v="Crystal Innovations"/>
    <x v="1"/>
    <x v="5"/>
    <x v="5"/>
    <s v="Female"/>
    <n v="52"/>
    <n v="984"/>
    <n v="992"/>
    <n v="51168"/>
    <n v="51584"/>
    <n v="416"/>
    <s v="profit"/>
  </r>
  <r>
    <x v="245"/>
    <s v="july"/>
    <s v="Future Trends Retail"/>
    <x v="1"/>
    <x v="5"/>
    <x v="3"/>
    <s v="Female"/>
    <n v="97"/>
    <n v="565"/>
    <n v="995"/>
    <n v="54805"/>
    <n v="96515"/>
    <n v="41710"/>
    <s v="profit"/>
  </r>
  <r>
    <x v="246"/>
    <s v="july"/>
    <s v="Radiant Horizon Ventures"/>
    <x v="1"/>
    <x v="5"/>
    <x v="15"/>
    <s v="Female"/>
    <n v="58"/>
    <n v="799"/>
    <n v="1273"/>
    <n v="46342"/>
    <n v="73834"/>
    <n v="27492"/>
    <s v="profit"/>
  </r>
  <r>
    <x v="247"/>
    <s v="july"/>
    <s v="Urban Edge Realty"/>
    <x v="1"/>
    <x v="5"/>
    <x v="14"/>
    <s v="Male"/>
    <n v="69"/>
    <n v="524"/>
    <n v="893"/>
    <n v="36156"/>
    <n v="61617"/>
    <n v="25461"/>
    <s v="profit"/>
  </r>
  <r>
    <x v="248"/>
    <s v="july"/>
    <s v="Prime Focus Innovations"/>
    <x v="1"/>
    <x v="5"/>
    <x v="8"/>
    <s v="Male"/>
    <n v="81"/>
    <n v="903"/>
    <n v="1306"/>
    <n v="73143"/>
    <n v="105786"/>
    <n v="32643"/>
    <s v="profit"/>
  </r>
  <r>
    <x v="249"/>
    <s v="august"/>
    <s v="Elite Spectrum Consulting"/>
    <x v="1"/>
    <x v="5"/>
    <x v="3"/>
    <s v="Male"/>
    <n v="89"/>
    <n v="584"/>
    <n v="777"/>
    <n v="51976"/>
    <n v="69153"/>
    <n v="17177"/>
    <s v="profit"/>
  </r>
  <r>
    <x v="250"/>
    <s v="august"/>
    <s v="Dynamic Design Studio"/>
    <x v="1"/>
    <x v="5"/>
    <x v="13"/>
    <s v="Male"/>
    <n v="75"/>
    <n v="906"/>
    <n v="954"/>
    <n v="67950"/>
    <n v="71550"/>
    <n v="3600"/>
    <s v="profit"/>
  </r>
  <r>
    <x v="63"/>
    <s v="june"/>
    <s v="Radiant Enterprise Solutions"/>
    <x v="0"/>
    <x v="0"/>
    <x v="3"/>
    <s v="Female"/>
    <n v="17"/>
    <n v="901"/>
    <n v="1283"/>
    <n v="15317"/>
    <n v="21811"/>
    <n v="6494"/>
    <s v="profit"/>
  </r>
  <r>
    <x v="251"/>
    <s v="august"/>
    <s v="Royal Crest Foods"/>
    <x v="1"/>
    <x v="7"/>
    <x v="16"/>
    <s v="Female"/>
    <n v="98"/>
    <n v="925"/>
    <n v="904"/>
    <n v="90650"/>
    <n v="88592"/>
    <n v="-2058"/>
    <s v="loss"/>
  </r>
  <r>
    <x v="252"/>
    <s v="august"/>
    <s v="Zenith Travels"/>
    <x v="1"/>
    <x v="7"/>
    <x v="6"/>
    <s v="Female"/>
    <n v="73"/>
    <n v="508"/>
    <n v="1324"/>
    <n v="37084"/>
    <n v="96652"/>
    <n v="59568"/>
    <s v="profit"/>
  </r>
  <r>
    <x v="253"/>
    <s v="august"/>
    <s v="Quantum Media Group"/>
    <x v="1"/>
    <x v="5"/>
    <x v="7"/>
    <s v="Female"/>
    <n v="87"/>
    <n v="876"/>
    <n v="880"/>
    <n v="76212"/>
    <n v="76560"/>
    <n v="348"/>
    <s v="profit"/>
  </r>
  <r>
    <x v="254"/>
    <s v="august"/>
    <s v="Legacy Builders"/>
    <x v="1"/>
    <x v="5"/>
    <x v="5"/>
    <s v="Female"/>
    <n v="69"/>
    <n v="993"/>
    <n v="862"/>
    <n v="68517"/>
    <n v="59478"/>
    <n v="-9039"/>
    <s v="loss"/>
  </r>
  <r>
    <x v="255"/>
    <s v="august"/>
    <s v="Apex Spa &amp; Wellness"/>
    <x v="1"/>
    <x v="5"/>
    <x v="17"/>
    <s v="Female"/>
    <n v="62"/>
    <n v="781"/>
    <n v="946"/>
    <n v="48422"/>
    <n v="58652"/>
    <n v="10230"/>
    <s v="profit"/>
  </r>
  <r>
    <x v="64"/>
    <s v="june"/>
    <s v="Infinite Solutions"/>
    <x v="1"/>
    <x v="5"/>
    <x v="8"/>
    <s v="Female"/>
    <n v="83"/>
    <n v="889"/>
    <n v="1075"/>
    <n v="73787"/>
    <n v="89225"/>
    <n v="15438"/>
    <s v="profit"/>
  </r>
  <r>
    <x v="256"/>
    <s v="august"/>
    <s v="Radiant Travel Services"/>
    <x v="1"/>
    <x v="5"/>
    <x v="8"/>
    <s v="Female"/>
    <n v="63"/>
    <n v="718"/>
    <n v="1047"/>
    <n v="45234"/>
    <n v="65961"/>
    <n v="20727"/>
    <s v="profit"/>
  </r>
  <r>
    <x v="257"/>
    <s v="august"/>
    <s v="Modern Trends Consulting"/>
    <x v="1"/>
    <x v="5"/>
    <x v="18"/>
    <s v="Female"/>
    <n v="72"/>
    <n v="673"/>
    <n v="1027"/>
    <n v="48456"/>
    <n v="73944"/>
    <n v="25488"/>
    <s v="profit"/>
  </r>
  <r>
    <x v="258"/>
    <s v="august"/>
    <s v="Global Horizon Ventures"/>
    <x v="1"/>
    <x v="5"/>
    <x v="19"/>
    <s v="Female"/>
    <n v="76"/>
    <n v="567"/>
    <n v="897"/>
    <n v="43092"/>
    <n v="68172"/>
    <n v="25080"/>
    <s v="profit"/>
  </r>
  <r>
    <x v="259"/>
    <s v="august"/>
    <s v="Elite Enterprises"/>
    <x v="1"/>
    <x v="5"/>
    <x v="0"/>
    <s v="Male"/>
    <n v="70"/>
    <n v="751"/>
    <n v="1026"/>
    <n v="52570"/>
    <n v="71820"/>
    <n v="19250"/>
    <s v="profit"/>
  </r>
  <r>
    <x v="260"/>
    <s v="september"/>
    <s v="Pinnacle Health Innovations"/>
    <x v="1"/>
    <x v="5"/>
    <x v="2"/>
    <s v="Male"/>
    <n v="56"/>
    <n v="559"/>
    <n v="1151"/>
    <n v="31304"/>
    <n v="64456"/>
    <n v="33152"/>
    <s v="profit"/>
  </r>
  <r>
    <x v="261"/>
    <s v="september"/>
    <s v="Horizon Fashion"/>
    <x v="1"/>
    <x v="7"/>
    <x v="3"/>
    <s v="Male"/>
    <n v="72"/>
    <n v="719"/>
    <n v="911"/>
    <n v="51768"/>
    <n v="65592"/>
    <n v="13824"/>
    <s v="profit"/>
  </r>
  <r>
    <x v="262"/>
    <s v="september"/>
    <s v="Crystal Essence Beverages"/>
    <x v="1"/>
    <x v="7"/>
    <x v="3"/>
    <s v="Male"/>
    <n v="89"/>
    <n v="703"/>
    <n v="795"/>
    <n v="62567"/>
    <n v="70755"/>
    <n v="8188"/>
    <s v="profit"/>
  </r>
  <r>
    <x v="263"/>
    <s v="september"/>
    <s v="Dynamic Pathways"/>
    <x v="1"/>
    <x v="7"/>
    <x v="4"/>
    <s v="Female"/>
    <n v="77"/>
    <n v="780"/>
    <n v="967"/>
    <n v="60060"/>
    <n v="74459"/>
    <n v="14399"/>
    <s v="profit"/>
  </r>
  <r>
    <x v="264"/>
    <s v="september"/>
    <s v="Radiance Apparel"/>
    <x v="1"/>
    <x v="7"/>
    <x v="3"/>
    <s v="Female"/>
    <n v="54"/>
    <n v="762"/>
    <n v="1186"/>
    <n v="41148"/>
    <n v="64044"/>
    <n v="22896"/>
    <s v="profit"/>
  </r>
  <r>
    <x v="265"/>
    <s v="september"/>
    <s v="Zenith Design Group"/>
    <x v="1"/>
    <x v="7"/>
    <x v="15"/>
    <s v="Male"/>
    <n v="91"/>
    <n v="647"/>
    <n v="1073"/>
    <n v="58877"/>
    <n v="97643"/>
    <n v="38766"/>
    <s v="profit"/>
  </r>
  <r>
    <x v="65"/>
    <s v="july"/>
    <s v="Synergy Solutions Group"/>
    <x v="0"/>
    <x v="2"/>
    <x v="8"/>
    <s v="Female"/>
    <n v="14"/>
    <n v="684"/>
    <n v="1483"/>
    <n v="9576"/>
    <n v="20762"/>
    <n v="11186"/>
    <s v="profit"/>
  </r>
  <r>
    <x v="266"/>
    <s v="september"/>
    <s v="Modern Horizons Consulting"/>
    <x v="1"/>
    <x v="7"/>
    <x v="8"/>
    <s v="Male"/>
    <n v="63"/>
    <n v="720"/>
    <n v="1458"/>
    <n v="45360"/>
    <n v="91854"/>
    <n v="46494"/>
    <s v="profit"/>
  </r>
  <r>
    <x v="267"/>
    <s v="september"/>
    <s v="Apex Realty Services"/>
    <x v="1"/>
    <x v="7"/>
    <x v="4"/>
    <s v="Male"/>
    <n v="66"/>
    <n v="958"/>
    <n v="1017"/>
    <n v="63228"/>
    <n v="67122"/>
    <n v="3894"/>
    <s v="profit"/>
  </r>
  <r>
    <x v="268"/>
    <s v="september"/>
    <s v="Zenith Educational Group"/>
    <x v="1"/>
    <x v="7"/>
    <x v="8"/>
    <s v="Male"/>
    <n v="54"/>
    <n v="663"/>
    <n v="943"/>
    <n v="35802"/>
    <n v="50922"/>
    <n v="15120"/>
    <s v="profit"/>
  </r>
  <r>
    <x v="269"/>
    <s v="september"/>
    <s v="True Path Ventures"/>
    <x v="1"/>
    <x v="7"/>
    <x v="9"/>
    <s v="Female"/>
    <n v="73"/>
    <n v="540"/>
    <n v="1397"/>
    <n v="39420"/>
    <n v="101981"/>
    <n v="62561"/>
    <s v="profit"/>
  </r>
  <r>
    <x v="270"/>
    <s v="september"/>
    <s v="Radiance Media"/>
    <x v="1"/>
    <x v="7"/>
    <x v="4"/>
    <s v="Male"/>
    <n v="76"/>
    <n v="744"/>
    <n v="1145"/>
    <n v="56544"/>
    <n v="87020"/>
    <n v="30476"/>
    <s v="profit"/>
  </r>
  <r>
    <x v="271"/>
    <s v="september"/>
    <s v="Legacy Health Systems"/>
    <x v="1"/>
    <x v="7"/>
    <x v="10"/>
    <s v="Male"/>
    <n v="94"/>
    <n v="874"/>
    <n v="895"/>
    <n v="82156"/>
    <n v="84130"/>
    <n v="1974"/>
    <s v="profit"/>
  </r>
  <r>
    <x v="272"/>
    <s v="september"/>
    <s v="Urban Focus Products"/>
    <x v="1"/>
    <x v="7"/>
    <x v="11"/>
    <s v="Male"/>
    <n v="97"/>
    <n v="752"/>
    <n v="1286"/>
    <n v="72944"/>
    <n v="124742"/>
    <n v="51798"/>
    <s v="profit"/>
  </r>
  <r>
    <x v="273"/>
    <s v="october"/>
    <s v="Visionary Innovations"/>
    <x v="1"/>
    <x v="5"/>
    <x v="5"/>
    <s v="Female"/>
    <n v="77"/>
    <n v="951"/>
    <n v="1432"/>
    <n v="73227"/>
    <n v="110264"/>
    <n v="37037"/>
    <s v="profit"/>
  </r>
  <r>
    <x v="274"/>
    <s v="october"/>
    <s v="Horizon Design Studio"/>
    <x v="1"/>
    <x v="5"/>
    <x v="17"/>
    <s v="Female"/>
    <n v="52"/>
    <n v="633"/>
    <n v="1226"/>
    <n v="32916"/>
    <n v="63752"/>
    <n v="30836"/>
    <s v="profit"/>
  </r>
  <r>
    <x v="275"/>
    <s v="october"/>
    <s v="Legacy Tech Products"/>
    <x v="1"/>
    <x v="5"/>
    <x v="18"/>
    <s v="Female"/>
    <n v="80"/>
    <n v="982"/>
    <n v="1224"/>
    <n v="78560"/>
    <n v="97920"/>
    <n v="19360"/>
    <s v="profit"/>
  </r>
  <r>
    <x v="276"/>
    <s v="october"/>
    <s v="Pinnacle Wellness Services"/>
    <x v="1"/>
    <x v="5"/>
    <x v="19"/>
    <s v="Female"/>
    <n v="81"/>
    <n v="917"/>
    <n v="1344"/>
    <n v="74277"/>
    <n v="108864"/>
    <n v="34587"/>
    <s v="profit"/>
  </r>
  <r>
    <x v="277"/>
    <s v="october"/>
    <s v="Urban Insight Consulting"/>
    <x v="1"/>
    <x v="7"/>
    <x v="0"/>
    <s v="Female"/>
    <n v="63"/>
    <n v="747"/>
    <n v="778"/>
    <n v="47061"/>
    <n v="49014"/>
    <n v="1953"/>
    <s v="profit"/>
  </r>
  <r>
    <x v="66"/>
    <s v="july"/>
    <s v="Horizon Tech Solutions"/>
    <x v="2"/>
    <x v="6"/>
    <x v="7"/>
    <s v="Female"/>
    <n v="23"/>
    <n v="559"/>
    <n v="1456"/>
    <n v="12857"/>
    <n v="33488"/>
    <n v="20631"/>
    <s v="profit"/>
  </r>
  <r>
    <x v="278"/>
    <s v="october"/>
    <s v="Crystal Horizons"/>
    <x v="1"/>
    <x v="7"/>
    <x v="1"/>
    <s v="Female"/>
    <n v="88"/>
    <n v="978"/>
    <n v="1231"/>
    <n v="86064"/>
    <n v="108328"/>
    <n v="22264"/>
    <s v="profit"/>
  </r>
  <r>
    <x v="279"/>
    <s v="october"/>
    <s v="Radiant Apparel"/>
    <x v="1"/>
    <x v="7"/>
    <x v="2"/>
    <s v="Female"/>
    <n v="82"/>
    <n v="652"/>
    <n v="994"/>
    <n v="53464"/>
    <n v="81508"/>
    <n v="28044"/>
    <s v="profit"/>
  </r>
  <r>
    <x v="280"/>
    <s v="october"/>
    <s v="True Value Products"/>
    <x v="1"/>
    <x v="7"/>
    <x v="3"/>
    <s v="Female"/>
    <n v="80"/>
    <n v="841"/>
    <n v="1490"/>
    <n v="67280"/>
    <n v="119200"/>
    <n v="51920"/>
    <s v="profit"/>
  </r>
  <r>
    <x v="281"/>
    <s v="october"/>
    <s v="Zenith Health Products"/>
    <x v="1"/>
    <x v="7"/>
    <x v="4"/>
    <s v="Male"/>
    <n v="70"/>
    <n v="798"/>
    <n v="1318"/>
    <n v="55860"/>
    <n v="92260"/>
    <n v="36400"/>
    <s v="profit"/>
  </r>
  <r>
    <x v="282"/>
    <s v="october"/>
    <s v="Stellar Wellness Products"/>
    <x v="1"/>
    <x v="1"/>
    <x v="17"/>
    <s v="Male"/>
    <n v="69"/>
    <n v="921"/>
    <n v="1177"/>
    <n v="63549"/>
    <n v="81213"/>
    <n v="17664"/>
    <s v="profit"/>
  </r>
  <r>
    <x v="283"/>
    <s v="october"/>
    <s v="Radiant Consulting Group"/>
    <x v="1"/>
    <x v="1"/>
    <x v="8"/>
    <s v="Male"/>
    <n v="60"/>
    <n v="729"/>
    <n v="759"/>
    <n v="43740"/>
    <n v="45540"/>
    <n v="1800"/>
    <s v="profit"/>
  </r>
  <r>
    <x v="284"/>
    <s v="october"/>
    <s v="Harmony Ventures Co."/>
    <x v="1"/>
    <x v="1"/>
    <x v="18"/>
    <s v="Female"/>
    <n v="99"/>
    <n v="880"/>
    <n v="1318"/>
    <n v="87120"/>
    <n v="130482"/>
    <n v="43362"/>
    <s v="profit"/>
  </r>
  <r>
    <x v="285"/>
    <s v="october"/>
    <s v="Urban Path Technologies"/>
    <x v="1"/>
    <x v="1"/>
    <x v="19"/>
    <s v="Male"/>
    <n v="88"/>
    <n v="552"/>
    <n v="1422"/>
    <n v="48576"/>
    <n v="125136"/>
    <n v="76560"/>
    <s v="profit"/>
  </r>
  <r>
    <x v="286"/>
    <s v="november"/>
    <s v="Modern Vision Ventures"/>
    <x v="1"/>
    <x v="9"/>
    <x v="3"/>
    <s v="Female"/>
    <n v="60"/>
    <n v="827"/>
    <n v="762"/>
    <n v="49620"/>
    <n v="45720"/>
    <n v="-3900"/>
    <s v="loss"/>
  </r>
  <r>
    <x v="287"/>
    <s v="november"/>
    <s v="Elite Travel Services"/>
    <x v="1"/>
    <x v="9"/>
    <x v="15"/>
    <s v="Female"/>
    <n v="64"/>
    <n v="529"/>
    <n v="1195"/>
    <n v="33856"/>
    <n v="76480"/>
    <n v="42624"/>
    <s v="profit"/>
  </r>
  <r>
    <x v="288"/>
    <s v="november"/>
    <s v="Crystal Innovations Group"/>
    <x v="1"/>
    <x v="9"/>
    <x v="8"/>
    <s v="Female"/>
    <n v="51"/>
    <n v="859"/>
    <n v="1243"/>
    <n v="43809"/>
    <n v="63393"/>
    <n v="19584"/>
    <s v="profit"/>
  </r>
  <r>
    <x v="289"/>
    <s v="november"/>
    <s v="Pinnacle Fitness Studio"/>
    <x v="1"/>
    <x v="9"/>
    <x v="3"/>
    <s v="Female"/>
    <n v="68"/>
    <n v="756"/>
    <n v="887"/>
    <n v="51408"/>
    <n v="60316"/>
    <n v="8908"/>
    <s v="profit"/>
  </r>
  <r>
    <x v="290"/>
    <s v="november"/>
    <s v="Stellar Travel Agency"/>
    <x v="1"/>
    <x v="9"/>
    <x v="13"/>
    <s v="Female"/>
    <n v="87"/>
    <n v="882"/>
    <n v="1211"/>
    <n v="76734"/>
    <n v="105357"/>
    <n v="28623"/>
    <s v="profit"/>
  </r>
  <r>
    <x v="291"/>
    <s v="december"/>
    <s v="Apex Travel Ventures"/>
    <x v="1"/>
    <x v="5"/>
    <x v="0"/>
    <s v="Male"/>
    <n v="51"/>
    <n v="685"/>
    <n v="1224"/>
    <n v="34935"/>
    <n v="62424"/>
    <n v="27489"/>
    <s v="profit"/>
  </r>
  <r>
    <x v="292"/>
    <s v="december"/>
    <s v="True Path Consulting"/>
    <x v="1"/>
    <x v="5"/>
    <x v="2"/>
    <s v="Female"/>
    <n v="72"/>
    <n v="765"/>
    <n v="1368"/>
    <n v="55080"/>
    <n v="98496"/>
    <n v="43416"/>
    <s v="profit"/>
  </r>
  <r>
    <x v="293"/>
    <s v="december"/>
    <s v="Legacy Finance Group"/>
    <x v="1"/>
    <x v="5"/>
    <x v="3"/>
    <s v="Female"/>
    <n v="54"/>
    <n v="702"/>
    <n v="930"/>
    <n v="37908"/>
    <n v="50220"/>
    <n v="12312"/>
    <s v="profit"/>
  </r>
  <r>
    <x v="294"/>
    <s v="december"/>
    <s v="Pinnacle Design Ventures"/>
    <x v="1"/>
    <x v="5"/>
    <x v="6"/>
    <s v="Female"/>
    <n v="97"/>
    <n v="917"/>
    <n v="1203"/>
    <n v="88949"/>
    <n v="116691"/>
    <n v="27742"/>
    <s v="profit"/>
  </r>
  <r>
    <x v="295"/>
    <s v="december"/>
    <s v="Stellar Innovations Co."/>
    <x v="1"/>
    <x v="5"/>
    <x v="7"/>
    <s v="Female"/>
    <n v="84"/>
    <n v="516"/>
    <n v="820"/>
    <n v="43344"/>
    <n v="68880"/>
    <n v="25536"/>
    <s v="profit"/>
  </r>
  <r>
    <x v="67"/>
    <s v="august"/>
    <s v="Apex Wellness Solutions"/>
    <x v="1"/>
    <x v="7"/>
    <x v="15"/>
    <s v="Male"/>
    <n v="66"/>
    <n v="715"/>
    <n v="1460"/>
    <n v="47190"/>
    <n v="96360"/>
    <n v="49170"/>
    <s v="profit"/>
  </r>
  <r>
    <x v="296"/>
    <s v="december"/>
    <s v="Harmony Marketing Co."/>
    <x v="1"/>
    <x v="5"/>
    <x v="13"/>
    <s v="Female"/>
    <n v="92"/>
    <n v="789"/>
    <n v="1229"/>
    <n v="72588"/>
    <n v="113068"/>
    <n v="40480"/>
    <s v="profit"/>
  </r>
  <r>
    <x v="297"/>
    <s v="december"/>
    <s v="Urban Tech Innovations"/>
    <x v="1"/>
    <x v="5"/>
    <x v="13"/>
    <s v="Female"/>
    <n v="53"/>
    <n v="962"/>
    <n v="1442"/>
    <n v="50986"/>
    <n v="76426"/>
    <n v="25440"/>
    <s v="profit"/>
  </r>
  <r>
    <x v="298"/>
    <s v="december"/>
    <s v="Crystal Wellness Group"/>
    <x v="1"/>
    <x v="5"/>
    <x v="12"/>
    <s v="Female"/>
    <n v="81"/>
    <n v="565"/>
    <n v="1224"/>
    <n v="45765"/>
    <n v="99144"/>
    <n v="53379"/>
    <s v="profit"/>
  </r>
  <r>
    <x v="299"/>
    <s v="december"/>
    <s v="Apex Media Co."/>
    <x v="1"/>
    <x v="5"/>
    <x v="5"/>
    <s v="Female"/>
    <n v="96"/>
    <n v="715"/>
    <n v="1171"/>
    <n v="68640"/>
    <n v="112416"/>
    <n v="43776"/>
    <s v="profit"/>
  </r>
  <r>
    <x v="68"/>
    <s v="august"/>
    <s v="Radiance Tech Solutions"/>
    <x v="0"/>
    <x v="2"/>
    <x v="6"/>
    <s v="Female"/>
    <n v="10"/>
    <n v="812"/>
    <n v="1112"/>
    <n v="8120"/>
    <n v="11120"/>
    <n v="3000"/>
    <s v="profit"/>
  </r>
  <r>
    <x v="300"/>
    <s v="december"/>
    <s v="Legacy Health Ventures"/>
    <x v="1"/>
    <x v="7"/>
    <x v="8"/>
    <s v="Female"/>
    <n v="69"/>
    <n v="699"/>
    <n v="835"/>
    <n v="48231"/>
    <n v="57615"/>
    <n v="9384"/>
    <s v="profit"/>
  </r>
  <r>
    <x v="301"/>
    <s v="december"/>
    <s v="Pinnacle Spectrum Co."/>
    <x v="1"/>
    <x v="7"/>
    <x v="18"/>
    <s v="Female"/>
    <n v="58"/>
    <n v="924"/>
    <n v="990"/>
    <n v="53592"/>
    <n v="57420"/>
    <n v="3828"/>
    <s v="profit"/>
  </r>
  <r>
    <x v="302"/>
    <s v="december"/>
    <s v="Stellar Travel Products"/>
    <x v="1"/>
    <x v="7"/>
    <x v="19"/>
    <s v="Female"/>
    <n v="83"/>
    <n v="790"/>
    <n v="1164"/>
    <n v="65570"/>
    <n v="96612"/>
    <n v="31042"/>
    <s v="profit"/>
  </r>
  <r>
    <x v="303"/>
    <s v="december"/>
    <s v="Radiance Finance Services"/>
    <x v="1"/>
    <x v="7"/>
    <x v="0"/>
    <s v="Female"/>
    <n v="60"/>
    <n v="867"/>
    <n v="854"/>
    <n v="52020"/>
    <n v="51240"/>
    <n v="-780"/>
    <s v="loss"/>
  </r>
  <r>
    <x v="304"/>
    <s v="december"/>
    <s v="Modern Travel Agency"/>
    <x v="1"/>
    <x v="7"/>
    <x v="2"/>
    <s v="Male"/>
    <n v="89"/>
    <n v="702"/>
    <n v="1314"/>
    <n v="62478"/>
    <n v="116946"/>
    <n v="54468"/>
    <s v="profit"/>
  </r>
  <r>
    <x v="305"/>
    <s v="december"/>
    <s v="Crystal Path Consulting"/>
    <x v="1"/>
    <x v="7"/>
    <x v="3"/>
    <s v="Male"/>
    <n v="91"/>
    <n v="805"/>
    <n v="1361"/>
    <n v="73255"/>
    <n v="123851"/>
    <n v="50596"/>
    <s v="profit"/>
  </r>
  <r>
    <x v="306"/>
    <s v="december"/>
    <s v="Zenith Educational Services"/>
    <x v="1"/>
    <x v="7"/>
    <x v="3"/>
    <s v="Male"/>
    <n v="78"/>
    <n v="682"/>
    <n v="962"/>
    <n v="53196"/>
    <n v="75036"/>
    <n v="21840"/>
    <s v="profit"/>
  </r>
  <r>
    <x v="69"/>
    <s v="august"/>
    <s v="Apex Enterprise Solutions"/>
    <x v="2"/>
    <x v="6"/>
    <x v="10"/>
    <s v="Male"/>
    <n v="22"/>
    <n v="888"/>
    <n v="1284"/>
    <n v="19536"/>
    <n v="28248"/>
    <n v="8712"/>
    <s v="profit"/>
  </r>
  <r>
    <x v="307"/>
    <s v="december"/>
    <s v="Apex Innovations Co."/>
    <x v="1"/>
    <x v="7"/>
    <x v="4"/>
    <s v="Male"/>
    <n v="54"/>
    <n v="990"/>
    <n v="970"/>
    <n v="53460"/>
    <n v="52380"/>
    <n v="-1080"/>
    <s v="loss"/>
  </r>
  <r>
    <x v="308"/>
    <s v="january"/>
    <s v="Pure Harmony Health"/>
    <x v="1"/>
    <x v="7"/>
    <x v="5"/>
    <s v="Female"/>
    <n v="72"/>
    <n v="749"/>
    <n v="1262"/>
    <n v="53928"/>
    <n v="90864"/>
    <n v="36936"/>
    <s v="profit"/>
  </r>
  <r>
    <x v="309"/>
    <s v="january"/>
    <s v="Apex Travel Innovations"/>
    <x v="1"/>
    <x v="5"/>
    <x v="6"/>
    <s v="Male"/>
    <n v="51"/>
    <n v="925"/>
    <n v="750"/>
    <n v="47175"/>
    <n v="38250"/>
    <n v="-8925"/>
    <s v="loss"/>
  </r>
  <r>
    <x v="310"/>
    <s v="january"/>
    <s v="Modern Health Products"/>
    <x v="1"/>
    <x v="5"/>
    <x v="7"/>
    <s v="Male"/>
    <n v="56"/>
    <n v="782"/>
    <n v="1353"/>
    <n v="43792"/>
    <n v="75768"/>
    <n v="31976"/>
    <s v="profit"/>
  </r>
  <r>
    <x v="311"/>
    <s v="january"/>
    <s v="Harmony Finance Group"/>
    <x v="1"/>
    <x v="5"/>
    <x v="7"/>
    <s v="Male"/>
    <n v="92"/>
    <n v="978"/>
    <n v="1062"/>
    <n v="89976"/>
    <n v="97704"/>
    <n v="7728"/>
    <s v="profit"/>
  </r>
  <r>
    <x v="70"/>
    <s v="august"/>
    <s v="Prestige Solutions"/>
    <x v="2"/>
    <x v="6"/>
    <x v="13"/>
    <s v="Female"/>
    <n v="29"/>
    <n v="818"/>
    <n v="999"/>
    <n v="23722"/>
    <n v="28971"/>
    <n v="5249"/>
    <s v="profit"/>
  </r>
  <r>
    <x v="312"/>
    <s v="january"/>
    <s v="Pure Vision Consulting"/>
    <x v="1"/>
    <x v="5"/>
    <x v="13"/>
    <s v="Female"/>
    <n v="75"/>
    <n v="539"/>
    <n v="1068"/>
    <n v="40425"/>
    <n v="80100"/>
    <n v="39675"/>
    <s v="profit"/>
  </r>
  <r>
    <x v="313"/>
    <s v="january"/>
    <s v="Legacy Spectrum Co."/>
    <x v="1"/>
    <x v="5"/>
    <x v="13"/>
    <s v="Male"/>
    <n v="78"/>
    <n v="608"/>
    <n v="1496"/>
    <n v="47424"/>
    <n v="116688"/>
    <n v="69264"/>
    <s v="profit"/>
  </r>
  <r>
    <x v="314"/>
    <s v="january"/>
    <s v="Stellar Media Services"/>
    <x v="1"/>
    <x v="7"/>
    <x v="7"/>
    <s v="Male"/>
    <n v="66"/>
    <n v="831"/>
    <n v="787"/>
    <n v="54846"/>
    <n v="51942"/>
    <n v="-2904"/>
    <s v="loss"/>
  </r>
  <r>
    <x v="315"/>
    <s v="january"/>
    <s v="Radiant Innovations Group"/>
    <x v="1"/>
    <x v="7"/>
    <x v="5"/>
    <s v="Male"/>
    <n v="86"/>
    <n v="855"/>
    <n v="930"/>
    <n v="73530"/>
    <n v="79980"/>
    <n v="6450"/>
    <s v="profit"/>
  </r>
  <r>
    <x v="316"/>
    <s v="january"/>
    <s v="Horizon Path Ventures"/>
    <x v="1"/>
    <x v="7"/>
    <x v="17"/>
    <s v="Female"/>
    <n v="84"/>
    <n v="948"/>
    <n v="1156"/>
    <n v="79632"/>
    <n v="97104"/>
    <n v="17472"/>
    <s v="profit"/>
  </r>
  <r>
    <x v="317"/>
    <s v="january"/>
    <s v="Zenith Tech Co."/>
    <x v="1"/>
    <x v="7"/>
    <x v="8"/>
    <s v="Female"/>
    <n v="90"/>
    <n v="962"/>
    <n v="970"/>
    <n v="86580"/>
    <n v="87300"/>
    <n v="720"/>
    <s v="profit"/>
  </r>
  <r>
    <x v="318"/>
    <s v="january"/>
    <s v="Apex Finance Ventures"/>
    <x v="1"/>
    <x v="7"/>
    <x v="18"/>
    <s v="Female"/>
    <n v="84"/>
    <n v="521"/>
    <n v="1320"/>
    <n v="43764"/>
    <n v="110880"/>
    <n v="67116"/>
    <s v="profit"/>
  </r>
  <r>
    <x v="319"/>
    <s v="february"/>
    <s v="Zenith Wellness Co."/>
    <x v="1"/>
    <x v="5"/>
    <x v="7"/>
    <s v="Female"/>
    <n v="85"/>
    <n v="938"/>
    <n v="802"/>
    <n v="79730"/>
    <n v="68170"/>
    <n v="-11560"/>
    <s v="loss"/>
  </r>
  <r>
    <x v="71"/>
    <s v="august"/>
    <s v="Urban Wave Solutions"/>
    <x v="1"/>
    <x v="5"/>
    <x v="1"/>
    <s v="Male"/>
    <n v="60"/>
    <n v="645"/>
    <n v="936"/>
    <n v="38700"/>
    <n v="56160"/>
    <n v="17460"/>
    <s v="profit"/>
  </r>
  <r>
    <x v="320"/>
    <s v="february"/>
    <s v="Apex Design Services"/>
    <x v="1"/>
    <x v="5"/>
    <x v="7"/>
    <s v="Female"/>
    <n v="62"/>
    <n v="562"/>
    <n v="884"/>
    <n v="34844"/>
    <n v="54808"/>
    <n v="19964"/>
    <s v="profit"/>
  </r>
  <r>
    <x v="321"/>
    <s v="february"/>
    <s v="Pure Health Ventures"/>
    <x v="1"/>
    <x v="5"/>
    <x v="13"/>
    <s v="Female"/>
    <n v="50"/>
    <n v="887"/>
    <n v="1068"/>
    <n v="44350"/>
    <n v="53400"/>
    <n v="9050"/>
    <s v="profit"/>
  </r>
  <r>
    <x v="322"/>
    <s v="february"/>
    <s v="Legacy Spectrum Group"/>
    <x v="1"/>
    <x v="5"/>
    <x v="12"/>
    <s v="Male"/>
    <n v="66"/>
    <n v="771"/>
    <n v="1492"/>
    <n v="50886"/>
    <n v="98472"/>
    <n v="47586"/>
    <s v="profit"/>
  </r>
  <r>
    <x v="323"/>
    <s v="february"/>
    <s v="Pinnacle Media Ventures"/>
    <x v="1"/>
    <x v="5"/>
    <x v="7"/>
    <s v="Male"/>
    <n v="61"/>
    <n v="529"/>
    <n v="1419"/>
    <n v="32269"/>
    <n v="86559"/>
    <n v="54290"/>
    <s v="profit"/>
  </r>
  <r>
    <x v="72"/>
    <s v="september"/>
    <s v="Visionary Realty Solutions"/>
    <x v="1"/>
    <x v="7"/>
    <x v="5"/>
    <s v="Female"/>
    <n v="68"/>
    <n v="777"/>
    <n v="1433"/>
    <n v="52836"/>
    <n v="97444"/>
    <n v="44608"/>
    <s v="profit"/>
  </r>
  <r>
    <x v="324"/>
    <s v="february"/>
    <s v="Stellar Innovations Group"/>
    <x v="1"/>
    <x v="5"/>
    <x v="5"/>
    <s v="Male"/>
    <n v="78"/>
    <n v="511"/>
    <n v="1368"/>
    <n v="39858"/>
    <n v="106704"/>
    <n v="66846"/>
    <s v="profit"/>
  </r>
  <r>
    <x v="325"/>
    <s v="february"/>
    <s v="Radiant Educational Co."/>
    <x v="1"/>
    <x v="5"/>
    <x v="17"/>
    <s v="Male"/>
    <n v="96"/>
    <n v="790"/>
    <n v="1335"/>
    <n v="75840"/>
    <n v="128160"/>
    <n v="52320"/>
    <s v="profit"/>
  </r>
  <r>
    <x v="326"/>
    <s v="february"/>
    <s v="Harmony Edge Ventures"/>
    <x v="1"/>
    <x v="5"/>
    <x v="8"/>
    <s v="Female"/>
    <n v="63"/>
    <n v="722"/>
    <n v="1374"/>
    <n v="45486"/>
    <n v="86562"/>
    <n v="41076"/>
    <s v="profit"/>
  </r>
  <r>
    <x v="327"/>
    <s v="february"/>
    <s v="Apex Finance Group"/>
    <x v="1"/>
    <x v="5"/>
    <x v="19"/>
    <s v="Male"/>
    <n v="92"/>
    <n v="521"/>
    <n v="1414"/>
    <n v="47932"/>
    <n v="130088"/>
    <n v="82156"/>
    <s v="profit"/>
  </r>
  <r>
    <x v="328"/>
    <s v="february"/>
    <s v="Pure Harmony Media"/>
    <x v="1"/>
    <x v="5"/>
    <x v="0"/>
    <s v="Male"/>
    <n v="65"/>
    <n v="661"/>
    <n v="1425"/>
    <n v="42965"/>
    <n v="92625"/>
    <n v="49660"/>
    <s v="profit"/>
  </r>
  <r>
    <x v="329"/>
    <s v="february"/>
    <s v="Legacy Health Co."/>
    <x v="1"/>
    <x v="7"/>
    <x v="1"/>
    <s v="Male"/>
    <n v="77"/>
    <n v="595"/>
    <n v="1470"/>
    <n v="45815"/>
    <n v="113190"/>
    <n v="67375"/>
    <s v="profit"/>
  </r>
  <r>
    <x v="330"/>
    <s v="february"/>
    <s v="ACCOUNTS EXPERT"/>
    <x v="1"/>
    <x v="10"/>
    <x v="1"/>
    <s v="Male"/>
    <n v="62"/>
    <n v="774"/>
    <n v="1050"/>
    <n v="47988"/>
    <n v="65100"/>
    <n v="17112"/>
    <s v="profit"/>
  </r>
  <r>
    <x v="198"/>
    <s v="april"/>
    <s v="Golden Horizon Ventures"/>
    <x v="1"/>
    <x v="1"/>
    <x v="15"/>
    <s v="Male"/>
    <n v="65"/>
    <n v="816"/>
    <n v="1347"/>
    <n v="53040"/>
    <n v="87555"/>
    <n v="34515"/>
    <s v="profit"/>
  </r>
  <r>
    <x v="73"/>
    <s v="september"/>
    <s v="Pure Essence Solutions"/>
    <x v="0"/>
    <x v="2"/>
    <x v="6"/>
    <s v="Female"/>
    <n v="19"/>
    <n v="576"/>
    <n v="1181"/>
    <n v="10944"/>
    <n v="22439"/>
    <n v="11495"/>
    <s v="profit"/>
  </r>
  <r>
    <x v="199"/>
    <s v="april"/>
    <s v="Eternal Traditions"/>
    <x v="1"/>
    <x v="1"/>
    <x v="16"/>
    <s v="Male"/>
    <n v="100"/>
    <n v="893"/>
    <n v="1460"/>
    <n v="89300"/>
    <n v="146000"/>
    <n v="56700"/>
    <s v="profit"/>
  </r>
  <r>
    <x v="200"/>
    <s v="april"/>
    <s v="Harmony Foods"/>
    <x v="1"/>
    <x v="1"/>
    <x v="8"/>
    <s v="Male"/>
    <n v="79"/>
    <n v="632"/>
    <n v="1271"/>
    <n v="49928"/>
    <n v="100409"/>
    <n v="50481"/>
    <s v="profit"/>
  </r>
  <r>
    <x v="201"/>
    <s v="april"/>
    <s v="Sacred Roots Apparel"/>
    <x v="1"/>
    <x v="9"/>
    <x v="8"/>
    <s v="Female"/>
    <n v="74"/>
    <n v="859"/>
    <n v="1315"/>
    <n v="63566"/>
    <n v="97310"/>
    <n v="33744"/>
    <s v="profit"/>
  </r>
  <r>
    <x v="202"/>
    <s v="april"/>
    <s v="Quantum Finance Services"/>
    <x v="1"/>
    <x v="9"/>
    <x v="9"/>
    <s v="Female"/>
    <n v="77"/>
    <n v="579"/>
    <n v="1178"/>
    <n v="44583"/>
    <n v="90706"/>
    <n v="46123"/>
    <s v="profit"/>
  </r>
  <r>
    <x v="74"/>
    <s v="september"/>
    <s v="Crystal Health Solutions"/>
    <x v="0"/>
    <x v="2"/>
    <x v="7"/>
    <s v="Male"/>
    <n v="16"/>
    <n v="689"/>
    <n v="1068"/>
    <n v="11024"/>
    <n v="17088"/>
    <n v="6064"/>
    <s v="profit"/>
  </r>
  <r>
    <x v="203"/>
    <s v="april"/>
    <s v="Brilliant Minds Academy"/>
    <x v="1"/>
    <x v="9"/>
    <x v="4"/>
    <s v="Female"/>
    <n v="61"/>
    <n v="865"/>
    <n v="894"/>
    <n v="52765"/>
    <n v="54534"/>
    <n v="1769"/>
    <s v="profit"/>
  </r>
  <r>
    <x v="204"/>
    <s v="april"/>
    <s v="Visionary Holdings"/>
    <x v="1"/>
    <x v="9"/>
    <x v="10"/>
    <s v="Female"/>
    <n v="57"/>
    <n v="881"/>
    <n v="1185"/>
    <n v="50217"/>
    <n v="67545"/>
    <n v="17328"/>
    <s v="profit"/>
  </r>
  <r>
    <x v="205"/>
    <s v="april"/>
    <s v="Stellar Design Studio"/>
    <x v="1"/>
    <x v="9"/>
    <x v="11"/>
    <s v="Female"/>
    <n v="57"/>
    <n v="548"/>
    <n v="1306"/>
    <n v="31236"/>
    <n v="74442"/>
    <n v="43206"/>
    <s v="profit"/>
  </r>
  <r>
    <x v="206"/>
    <s v="april"/>
    <s v="Classic Cuisines"/>
    <x v="1"/>
    <x v="9"/>
    <x v="6"/>
    <s v="Male"/>
    <n v="84"/>
    <n v="702"/>
    <n v="787"/>
    <n v="58968"/>
    <n v="66108"/>
    <n v="7140"/>
    <s v="profit"/>
  </r>
  <r>
    <x v="207"/>
    <s v="april"/>
    <s v="Bold Ventures"/>
    <x v="1"/>
    <x v="9"/>
    <x v="7"/>
    <s v="Male"/>
    <n v="76"/>
    <n v="875"/>
    <n v="1268"/>
    <n v="66500"/>
    <n v="96368"/>
    <n v="29868"/>
    <s v="profit"/>
  </r>
  <r>
    <x v="208"/>
    <s v="may"/>
    <s v="Radiance Spa"/>
    <x v="1"/>
    <x v="5"/>
    <x v="12"/>
    <s v="Male"/>
    <n v="50"/>
    <n v="885"/>
    <n v="927"/>
    <n v="44250"/>
    <n v="46350"/>
    <n v="2100"/>
    <s v="profit"/>
  </r>
  <r>
    <x v="209"/>
    <s v="may"/>
    <s v="Verve Fitness Studio"/>
    <x v="1"/>
    <x v="5"/>
    <x v="7"/>
    <s v="Female"/>
    <n v="53"/>
    <n v="950"/>
    <n v="875"/>
    <n v="50350"/>
    <n v="46375"/>
    <n v="-3975"/>
    <s v="loss"/>
  </r>
  <r>
    <x v="210"/>
    <s v="may"/>
    <s v="Sparkle Cleaners"/>
    <x v="1"/>
    <x v="5"/>
    <x v="7"/>
    <s v="Female"/>
    <n v="62"/>
    <n v="623"/>
    <n v="1253"/>
    <n v="38626"/>
    <n v="77686"/>
    <n v="39060"/>
    <s v="profit"/>
  </r>
  <r>
    <x v="75"/>
    <s v="september"/>
    <s v="Stellar Travel Solutions"/>
    <x v="0"/>
    <x v="0"/>
    <x v="7"/>
    <s v="Female"/>
    <n v="18"/>
    <n v="835"/>
    <n v="1234"/>
    <n v="15030"/>
    <n v="22212"/>
    <n v="7182"/>
    <s v="profit"/>
  </r>
  <r>
    <x v="211"/>
    <s v="may"/>
    <s v="Global Reach Logistics"/>
    <x v="1"/>
    <x v="5"/>
    <x v="8"/>
    <s v="Female"/>
    <n v="72"/>
    <n v="920"/>
    <n v="753"/>
    <n v="66240"/>
    <n v="54216"/>
    <n v="-12024"/>
    <s v="loss"/>
  </r>
  <r>
    <x v="76"/>
    <s v="september"/>
    <s v="Pure Harmony Solutions"/>
    <x v="0"/>
    <x v="0"/>
    <x v="13"/>
    <s v="Female"/>
    <n v="13"/>
    <n v="855"/>
    <n v="951"/>
    <n v="11115"/>
    <n v="12363"/>
    <n v="1248"/>
    <s v="profit"/>
  </r>
  <r>
    <x v="212"/>
    <s v="may"/>
    <s v="Noble Path Finance"/>
    <x v="1"/>
    <x v="5"/>
    <x v="4"/>
    <s v="Female"/>
    <n v="69"/>
    <n v="860"/>
    <n v="1081"/>
    <n v="59340"/>
    <n v="74589"/>
    <n v="15249"/>
    <s v="profit"/>
  </r>
  <r>
    <x v="213"/>
    <s v="may"/>
    <s v="Dynamic Events Management"/>
    <x v="1"/>
    <x v="5"/>
    <x v="8"/>
    <s v="Female"/>
    <n v="80"/>
    <n v="765"/>
    <n v="924"/>
    <n v="61200"/>
    <n v="73920"/>
    <n v="12720"/>
    <s v="profit"/>
  </r>
  <r>
    <x v="214"/>
    <s v="may"/>
    <s v="Crystal Waters Resort"/>
    <x v="1"/>
    <x v="5"/>
    <x v="9"/>
    <s v="Female"/>
    <n v="75"/>
    <n v="690"/>
    <n v="817"/>
    <n v="51750"/>
    <n v="61275"/>
    <n v="9525"/>
    <s v="profit"/>
  </r>
  <r>
    <x v="215"/>
    <s v="may"/>
    <s v="Excellence Tutors"/>
    <x v="1"/>
    <x v="5"/>
    <x v="4"/>
    <s v="Female"/>
    <n v="100"/>
    <n v="795"/>
    <n v="1136"/>
    <n v="79500"/>
    <n v="113600"/>
    <n v="34100"/>
    <s v="profit"/>
  </r>
  <r>
    <x v="216"/>
    <s v="may"/>
    <s v="Horizon Builders"/>
    <x v="1"/>
    <x v="5"/>
    <x v="10"/>
    <s v="Male"/>
    <n v="85"/>
    <n v="845"/>
    <n v="1155"/>
    <n v="71825"/>
    <n v="98175"/>
    <n v="26350"/>
    <s v="profit"/>
  </r>
  <r>
    <x v="77"/>
    <s v="october"/>
    <s v="Modern Spectrum Solutions"/>
    <x v="1"/>
    <x v="5"/>
    <x v="8"/>
    <s v="Female"/>
    <n v="79"/>
    <n v="683"/>
    <n v="1444"/>
    <n v="53957"/>
    <n v="114076"/>
    <n v="60119"/>
    <s v="profit"/>
  </r>
  <r>
    <x v="217"/>
    <s v="may"/>
    <s v="Classic Heritage Crafts"/>
    <x v="1"/>
    <x v="5"/>
    <x v="6"/>
    <s v="Male"/>
    <n v="51"/>
    <n v="876"/>
    <n v="1252"/>
    <n v="44676"/>
    <n v="63852"/>
    <n v="19176"/>
    <s v="profit"/>
  </r>
  <r>
    <x v="218"/>
    <s v="may"/>
    <s v="Prime Focus Media"/>
    <x v="1"/>
    <x v="7"/>
    <x v="7"/>
    <s v="Male"/>
    <n v="55"/>
    <n v="793"/>
    <n v="1045"/>
    <n v="43615"/>
    <n v="57475"/>
    <n v="13860"/>
    <s v="profit"/>
  </r>
  <r>
    <x v="219"/>
    <s v="june"/>
    <s v="Noble Nutraceuticals"/>
    <x v="1"/>
    <x v="7"/>
    <x v="7"/>
    <s v="Female"/>
    <n v="82"/>
    <n v="641"/>
    <n v="809"/>
    <n v="52562"/>
    <n v="66338"/>
    <n v="13776"/>
    <s v="profit"/>
  </r>
  <r>
    <x v="220"/>
    <s v="june"/>
    <s v="Supreme Travel Agency"/>
    <x v="1"/>
    <x v="7"/>
    <x v="13"/>
    <s v="Male"/>
    <n v="80"/>
    <n v="678"/>
    <n v="1016"/>
    <n v="54240"/>
    <n v="81280"/>
    <n v="27040"/>
    <s v="profit"/>
  </r>
  <r>
    <x v="221"/>
    <s v="june"/>
    <s v="Future Vision Tech"/>
    <x v="1"/>
    <x v="7"/>
    <x v="13"/>
    <s v="Male"/>
    <n v="76"/>
    <n v="585"/>
    <n v="1366"/>
    <n v="44460"/>
    <n v="103816"/>
    <n v="59356"/>
    <s v="profit"/>
  </r>
  <r>
    <x v="222"/>
    <s v="june"/>
    <s v="Urban Groove Apparel"/>
    <x v="1"/>
    <x v="7"/>
    <x v="12"/>
    <s v="Male"/>
    <n v="93"/>
    <n v="662"/>
    <n v="1319"/>
    <n v="61566"/>
    <n v="122667"/>
    <n v="61101"/>
    <s v="profit"/>
  </r>
  <r>
    <x v="81"/>
    <s v="october"/>
    <s v="Apex Creative Solutions"/>
    <x v="1"/>
    <x v="7"/>
    <x v="3"/>
    <s v="Male"/>
    <n v="67"/>
    <n v="711"/>
    <n v="1280"/>
    <n v="47637"/>
    <n v="85760"/>
    <n v="38123"/>
    <s v="profit"/>
  </r>
  <r>
    <x v="223"/>
    <s v="june"/>
    <s v="Echo Real Estate"/>
    <x v="1"/>
    <x v="7"/>
    <x v="7"/>
    <s v="Male"/>
    <n v="51"/>
    <n v="744"/>
    <n v="782"/>
    <n v="37944"/>
    <n v="39882"/>
    <n v="1938"/>
    <s v="profit"/>
  </r>
  <r>
    <x v="224"/>
    <s v="june"/>
    <s v="Pinnacle Health Products"/>
    <x v="1"/>
    <x v="7"/>
    <x v="5"/>
    <s v="Female"/>
    <n v="88"/>
    <n v="820"/>
    <n v="1241"/>
    <n v="72160"/>
    <n v="109208"/>
    <n v="37048"/>
    <s v="profit"/>
  </r>
  <r>
    <x v="225"/>
    <s v="june"/>
    <s v="Apex Auto Care"/>
    <x v="1"/>
    <x v="7"/>
    <x v="17"/>
    <s v="Female"/>
    <n v="72"/>
    <n v="937"/>
    <n v="1154"/>
    <n v="67464"/>
    <n v="83088"/>
    <n v="15624"/>
    <s v="profit"/>
  </r>
  <r>
    <x v="226"/>
    <s v="june"/>
    <s v="Royal Glow Cosmetics"/>
    <x v="1"/>
    <x v="7"/>
    <x v="8"/>
    <s v="Female"/>
    <n v="55"/>
    <n v="685"/>
    <n v="824"/>
    <n v="37675"/>
    <n v="45320"/>
    <n v="7645"/>
    <s v="profit"/>
  </r>
  <r>
    <x v="86"/>
    <s v="october"/>
    <s v="Radiance Solutions Group"/>
    <x v="0"/>
    <x v="2"/>
    <x v="11"/>
    <s v="Female"/>
    <n v="20"/>
    <n v="963"/>
    <n v="865"/>
    <n v="19260"/>
    <n v="17300"/>
    <n v="-1960"/>
    <s v="loss"/>
  </r>
  <r>
    <x v="227"/>
    <s v="june"/>
    <s v="Zenith Culinary Arts"/>
    <x v="1"/>
    <x v="7"/>
    <x v="18"/>
    <s v="Female"/>
    <n v="55"/>
    <n v="661"/>
    <n v="1133"/>
    <n v="36355"/>
    <n v="62315"/>
    <n v="25960"/>
    <s v="profit"/>
  </r>
  <r>
    <x v="228"/>
    <s v="june"/>
    <s v="Visionary Tours"/>
    <x v="1"/>
    <x v="7"/>
    <x v="19"/>
    <s v="Female"/>
    <n v="72"/>
    <n v="804"/>
    <n v="833"/>
    <n v="57888"/>
    <n v="59976"/>
    <n v="2088"/>
    <s v="profit"/>
  </r>
  <r>
    <x v="89"/>
    <s v="october"/>
    <s v="Modern Edge Solutions"/>
    <x v="0"/>
    <x v="2"/>
    <x v="7"/>
    <s v="Female"/>
    <n v="14"/>
    <n v="913"/>
    <n v="1155"/>
    <n v="12782"/>
    <n v="16170"/>
    <n v="3388"/>
    <s v="profit"/>
  </r>
  <r>
    <x v="229"/>
    <s v="june"/>
    <s v="Elite Essence Products"/>
    <x v="1"/>
    <x v="5"/>
    <x v="3"/>
    <s v="Male"/>
    <n v="87"/>
    <n v="616"/>
    <n v="1447"/>
    <n v="53592"/>
    <n v="125889"/>
    <n v="72297"/>
    <s v="profit"/>
  </r>
  <r>
    <x v="91"/>
    <s v="october"/>
    <s v="Horizon Health Solutions"/>
    <x v="2"/>
    <x v="3"/>
    <x v="13"/>
    <s v="Female"/>
    <n v="23"/>
    <n v="616"/>
    <n v="919"/>
    <n v="14168"/>
    <n v="21137"/>
    <n v="6969"/>
    <s v="profit"/>
  </r>
  <r>
    <x v="230"/>
    <s v="june"/>
    <s v="Dynamic Creations"/>
    <x v="1"/>
    <x v="5"/>
    <x v="15"/>
    <s v="Male"/>
    <n v="57"/>
    <n v="724"/>
    <n v="1432"/>
    <n v="41268"/>
    <n v="81624"/>
    <n v="40356"/>
    <s v="profit"/>
  </r>
  <r>
    <x v="93"/>
    <s v="october"/>
    <s v="Apex Marketing Solutions"/>
    <x v="2"/>
    <x v="8"/>
    <x v="7"/>
    <s v="Male"/>
    <n v="28"/>
    <n v="539"/>
    <n v="1106"/>
    <n v="15092"/>
    <n v="30968"/>
    <n v="15876"/>
    <s v="profit"/>
  </r>
  <r>
    <x v="231"/>
    <s v="june"/>
    <s v="Quantum Design Studio"/>
    <x v="1"/>
    <x v="5"/>
    <x v="14"/>
    <s v="Male"/>
    <n v="85"/>
    <n v="639"/>
    <n v="1447"/>
    <n v="54315"/>
    <n v="122995"/>
    <n v="68680"/>
    <s v="profit"/>
  </r>
  <r>
    <x v="232"/>
    <s v="june"/>
    <s v="Apex Construction"/>
    <x v="1"/>
    <x v="5"/>
    <x v="3"/>
    <s v="Female"/>
    <n v="81"/>
    <n v="776"/>
    <n v="895"/>
    <n v="62856"/>
    <n v="72495"/>
    <n v="9639"/>
    <s v="profit"/>
  </r>
  <r>
    <x v="233"/>
    <s v="june"/>
    <s v="Legacy Innovations"/>
    <x v="1"/>
    <x v="7"/>
    <x v="13"/>
    <s v="Female"/>
    <n v="86"/>
    <n v="705"/>
    <n v="1483"/>
    <n v="60630"/>
    <n v="127538"/>
    <n v="66908"/>
    <s v="profit"/>
  </r>
  <r>
    <x v="234"/>
    <s v="june"/>
    <s v="Pure Harmony Foods"/>
    <x v="1"/>
    <x v="7"/>
    <x v="15"/>
    <s v="Male"/>
    <n v="80"/>
    <n v="901"/>
    <n v="1109"/>
    <n v="72080"/>
    <n v="88720"/>
    <n v="16640"/>
    <s v="profit"/>
  </r>
  <r>
    <x v="235"/>
    <s v="june"/>
    <s v="Zenith Security Systems"/>
    <x v="1"/>
    <x v="7"/>
    <x v="16"/>
    <s v="Male"/>
    <n v="59"/>
    <n v="502"/>
    <n v="1212"/>
    <n v="29618"/>
    <n v="71508"/>
    <n v="41890"/>
    <s v="profit"/>
  </r>
  <r>
    <x v="236"/>
    <s v="june"/>
    <s v="Crystal Clear Beverages"/>
    <x v="1"/>
    <x v="7"/>
    <x v="6"/>
    <s v="Male"/>
    <n v="52"/>
    <n v="556"/>
    <n v="1402"/>
    <n v="28912"/>
    <n v="72904"/>
    <n v="43992"/>
    <s v="profit"/>
  </r>
  <r>
    <x v="237"/>
    <s v="june"/>
    <s v="Metro Line Tech"/>
    <x v="1"/>
    <x v="7"/>
    <x v="8"/>
    <s v="Male"/>
    <n v="92"/>
    <n v="953"/>
    <n v="790"/>
    <n v="87676"/>
    <n v="72680"/>
    <n v="-14996"/>
    <s v="loss"/>
  </r>
  <r>
    <x v="238"/>
    <s v="june"/>
    <s v="Urban Pulse Consulting"/>
    <x v="1"/>
    <x v="7"/>
    <x v="12"/>
    <s v="Male"/>
    <n v="96"/>
    <n v="961"/>
    <n v="1174"/>
    <n v="92256"/>
    <n v="112704"/>
    <n v="20448"/>
    <s v="profit"/>
  </r>
  <r>
    <x v="239"/>
    <s v="july"/>
    <s v="Legacy Design Group"/>
    <x v="1"/>
    <x v="5"/>
    <x v="1"/>
    <s v="Female"/>
    <n v="79"/>
    <n v="880"/>
    <n v="1403"/>
    <n v="69520"/>
    <n v="110837"/>
    <n v="41317"/>
    <s v="profit"/>
  </r>
  <r>
    <x v="240"/>
    <s v="july"/>
    <s v="Supreme Wellness"/>
    <x v="1"/>
    <x v="5"/>
    <x v="2"/>
    <s v="Female"/>
    <n v="62"/>
    <n v="936"/>
    <n v="1364"/>
    <n v="58032"/>
    <n v="84568"/>
    <n v="26536"/>
    <s v="profit"/>
  </r>
  <r>
    <x v="241"/>
    <s v="july"/>
    <s v="Harmony Tech Innovations"/>
    <x v="1"/>
    <x v="5"/>
    <x v="3"/>
    <s v="Female"/>
    <n v="53"/>
    <n v="791"/>
    <n v="1253"/>
    <n v="41923"/>
    <n v="66409"/>
    <n v="24486"/>
    <s v="profit"/>
  </r>
  <r>
    <x v="105"/>
    <s v="november"/>
    <s v="Radiance Solutions Co."/>
    <x v="1"/>
    <x v="9"/>
    <x v="5"/>
    <s v="Female"/>
    <n v="74"/>
    <n v="636"/>
    <n v="955"/>
    <n v="47064"/>
    <n v="70670"/>
    <n v="23606"/>
    <s v="profit"/>
  </r>
  <r>
    <x v="242"/>
    <s v="july"/>
    <s v="Stellar Education Services"/>
    <x v="1"/>
    <x v="5"/>
    <x v="3"/>
    <s v="Female"/>
    <n v="56"/>
    <n v="740"/>
    <n v="1464"/>
    <n v="41440"/>
    <n v="81984"/>
    <n v="40544"/>
    <s v="profit"/>
  </r>
  <r>
    <x v="243"/>
    <s v="july"/>
    <s v="Visionary Health Products"/>
    <x v="1"/>
    <x v="5"/>
    <x v="4"/>
    <s v="Female"/>
    <n v="63"/>
    <n v="519"/>
    <n v="826"/>
    <n v="32697"/>
    <n v="52038"/>
    <n v="19341"/>
    <s v="profit"/>
  </r>
  <r>
    <x v="108"/>
    <s v="november"/>
    <s v="Horizon Creative Solutions"/>
    <x v="1"/>
    <x v="9"/>
    <x v="14"/>
    <s v="Female"/>
    <n v="83"/>
    <n v="569"/>
    <n v="1232"/>
    <n v="47227"/>
    <n v="102256"/>
    <n v="55029"/>
    <s v="profit"/>
  </r>
  <r>
    <x v="244"/>
    <s v="july"/>
    <s v="Crystal Innovations"/>
    <x v="1"/>
    <x v="5"/>
    <x v="5"/>
    <s v="Female"/>
    <n v="73"/>
    <n v="857"/>
    <n v="1024"/>
    <n v="62561"/>
    <n v="74752"/>
    <n v="12191"/>
    <s v="profit"/>
  </r>
  <r>
    <x v="245"/>
    <s v="july"/>
    <s v="Future Trends Retail"/>
    <x v="1"/>
    <x v="5"/>
    <x v="3"/>
    <s v="Female"/>
    <n v="67"/>
    <n v="725"/>
    <n v="884"/>
    <n v="48575"/>
    <n v="59228"/>
    <n v="10653"/>
    <s v="profit"/>
  </r>
  <r>
    <x v="246"/>
    <s v="july"/>
    <s v="Radiant Horizon Ventures"/>
    <x v="1"/>
    <x v="5"/>
    <x v="15"/>
    <s v="Female"/>
    <n v="74"/>
    <n v="691"/>
    <n v="871"/>
    <n v="51134"/>
    <n v="64454"/>
    <n v="13320"/>
    <s v="profit"/>
  </r>
  <r>
    <x v="247"/>
    <s v="july"/>
    <s v="Urban Edge Realty"/>
    <x v="1"/>
    <x v="5"/>
    <x v="14"/>
    <s v="Male"/>
    <n v="92"/>
    <n v="981"/>
    <n v="1157"/>
    <n v="90252"/>
    <n v="106444"/>
    <n v="16192"/>
    <s v="profit"/>
  </r>
  <r>
    <x v="113"/>
    <s v="november"/>
    <s v="Urban Spectrum Solutions"/>
    <x v="2"/>
    <x v="4"/>
    <x v="16"/>
    <s v="Male"/>
    <n v="23"/>
    <n v="663"/>
    <n v="1215"/>
    <n v="15249"/>
    <n v="27945"/>
    <n v="12696"/>
    <s v="profit"/>
  </r>
  <r>
    <x v="248"/>
    <s v="july"/>
    <s v="Prime Focus Innovations"/>
    <x v="1"/>
    <x v="5"/>
    <x v="8"/>
    <s v="Male"/>
    <n v="63"/>
    <n v="547"/>
    <n v="1150"/>
    <n v="34461"/>
    <n v="72450"/>
    <n v="37989"/>
    <s v="profit"/>
  </r>
  <r>
    <x v="249"/>
    <s v="august"/>
    <s v="Elite Spectrum Consulting"/>
    <x v="1"/>
    <x v="5"/>
    <x v="3"/>
    <s v="Male"/>
    <n v="69"/>
    <n v="531"/>
    <n v="1210"/>
    <n v="36639"/>
    <n v="83490"/>
    <n v="46851"/>
    <s v="profit"/>
  </r>
  <r>
    <x v="250"/>
    <s v="august"/>
    <s v="Dynamic Design Studio"/>
    <x v="1"/>
    <x v="5"/>
    <x v="13"/>
    <s v="Male"/>
    <n v="84"/>
    <n v="806"/>
    <n v="1242"/>
    <n v="67704"/>
    <n v="104328"/>
    <n v="36624"/>
    <s v="profit"/>
  </r>
  <r>
    <x v="117"/>
    <s v="november"/>
    <s v="Legacy Wellness Solutions"/>
    <x v="2"/>
    <x v="4"/>
    <x v="6"/>
    <s v="Female"/>
    <n v="26"/>
    <n v="878"/>
    <n v="1492"/>
    <n v="22828"/>
    <n v="38792"/>
    <n v="15964"/>
    <s v="profit"/>
  </r>
  <r>
    <x v="251"/>
    <s v="august"/>
    <s v="Royal Crest Foods"/>
    <x v="1"/>
    <x v="7"/>
    <x v="16"/>
    <s v="Female"/>
    <n v="71"/>
    <n v="565"/>
    <n v="807"/>
    <n v="40115"/>
    <n v="57297"/>
    <n v="17182"/>
    <s v="profit"/>
  </r>
  <r>
    <x v="119"/>
    <s v="november"/>
    <s v="Horizon Media Solutions"/>
    <x v="2"/>
    <x v="4"/>
    <x v="7"/>
    <s v="Female"/>
    <n v="25"/>
    <n v="547"/>
    <n v="1342"/>
    <n v="13675"/>
    <n v="33550"/>
    <n v="19875"/>
    <s v="profit"/>
  </r>
  <r>
    <x v="252"/>
    <s v="august"/>
    <s v="Zenith Travels"/>
    <x v="1"/>
    <x v="7"/>
    <x v="6"/>
    <s v="Female"/>
    <n v="90"/>
    <n v="634"/>
    <n v="1465"/>
    <n v="57060"/>
    <n v="131850"/>
    <n v="74790"/>
    <s v="profit"/>
  </r>
  <r>
    <x v="253"/>
    <s v="august"/>
    <s v="Quantum Media Group"/>
    <x v="1"/>
    <x v="5"/>
    <x v="7"/>
    <s v="Female"/>
    <n v="61"/>
    <n v="675"/>
    <n v="770"/>
    <n v="41175"/>
    <n v="46970"/>
    <n v="5795"/>
    <s v="profit"/>
  </r>
  <r>
    <x v="254"/>
    <s v="august"/>
    <s v="Legacy Builders"/>
    <x v="1"/>
    <x v="5"/>
    <x v="5"/>
    <s v="Female"/>
    <n v="58"/>
    <n v="720"/>
    <n v="1356"/>
    <n v="41760"/>
    <n v="78648"/>
    <n v="36888"/>
    <s v="profit"/>
  </r>
  <r>
    <x v="255"/>
    <s v="august"/>
    <s v="Apex Spa &amp; Wellness"/>
    <x v="1"/>
    <x v="5"/>
    <x v="17"/>
    <s v="Female"/>
    <n v="60"/>
    <n v="676"/>
    <n v="768"/>
    <n v="40560"/>
    <n v="46080"/>
    <n v="5520"/>
    <s v="profit"/>
  </r>
  <r>
    <x v="256"/>
    <s v="august"/>
    <s v="Radiant Travel Services"/>
    <x v="1"/>
    <x v="5"/>
    <x v="8"/>
    <s v="Female"/>
    <n v="91"/>
    <n v="808"/>
    <n v="928"/>
    <n v="73528"/>
    <n v="84448"/>
    <n v="10920"/>
    <s v="profit"/>
  </r>
  <r>
    <x v="257"/>
    <s v="august"/>
    <s v="Modern Trends Consulting"/>
    <x v="1"/>
    <x v="5"/>
    <x v="18"/>
    <s v="Female"/>
    <n v="99"/>
    <n v="528"/>
    <n v="985"/>
    <n v="52272"/>
    <n v="97515"/>
    <n v="45243"/>
    <s v="profit"/>
  </r>
  <r>
    <x v="258"/>
    <s v="august"/>
    <s v="Global Horizon Ventures"/>
    <x v="1"/>
    <x v="5"/>
    <x v="19"/>
    <s v="Female"/>
    <n v="73"/>
    <n v="783"/>
    <n v="903"/>
    <n v="57159"/>
    <n v="65919"/>
    <n v="8760"/>
    <s v="profit"/>
  </r>
  <r>
    <x v="259"/>
    <s v="august"/>
    <s v="Elite Enterprises"/>
    <x v="1"/>
    <x v="5"/>
    <x v="0"/>
    <s v="Male"/>
    <n v="59"/>
    <n v="638"/>
    <n v="1080"/>
    <n v="37642"/>
    <n v="63720"/>
    <n v="26078"/>
    <s v="profit"/>
  </r>
  <r>
    <x v="260"/>
    <s v="september"/>
    <s v="Pinnacle Health Innovations"/>
    <x v="1"/>
    <x v="5"/>
    <x v="2"/>
    <s v="Male"/>
    <n v="68"/>
    <n v="881"/>
    <n v="1266"/>
    <n v="59908"/>
    <n v="86088"/>
    <n v="26180"/>
    <s v="profit"/>
  </r>
  <r>
    <x v="129"/>
    <s v="november"/>
    <s v="Urban Vision Solutions"/>
    <x v="2"/>
    <x v="6"/>
    <x v="7"/>
    <s v="Female"/>
    <n v="22"/>
    <n v="606"/>
    <n v="1459"/>
    <n v="13332"/>
    <n v="32098"/>
    <n v="18766"/>
    <s v="profit"/>
  </r>
  <r>
    <x v="261"/>
    <s v="september"/>
    <s v="Horizon Fashion"/>
    <x v="1"/>
    <x v="7"/>
    <x v="3"/>
    <s v="Male"/>
    <n v="55"/>
    <n v="639"/>
    <n v="1311"/>
    <n v="35145"/>
    <n v="72105"/>
    <n v="36960"/>
    <s v="profit"/>
  </r>
  <r>
    <x v="262"/>
    <s v="september"/>
    <s v="Crystal Essence Beverages"/>
    <x v="1"/>
    <x v="7"/>
    <x v="3"/>
    <s v="Male"/>
    <n v="52"/>
    <n v="718"/>
    <n v="919"/>
    <n v="37336"/>
    <n v="47788"/>
    <n v="10452"/>
    <s v="profit"/>
  </r>
  <r>
    <x v="132"/>
    <s v="december"/>
    <s v="Pinnacle Travel Solutions"/>
    <x v="2"/>
    <x v="6"/>
    <x v="12"/>
    <s v="Male"/>
    <n v="28"/>
    <n v="507"/>
    <n v="1379"/>
    <n v="14196"/>
    <n v="38612"/>
    <n v="24416"/>
    <s v="profit"/>
  </r>
  <r>
    <x v="263"/>
    <s v="september"/>
    <s v="Dynamic Pathways"/>
    <x v="1"/>
    <x v="7"/>
    <x v="4"/>
    <s v="Female"/>
    <n v="95"/>
    <n v="944"/>
    <n v="1263"/>
    <n v="89680"/>
    <n v="119985"/>
    <n v="30305"/>
    <s v="profit"/>
  </r>
  <r>
    <x v="264"/>
    <s v="september"/>
    <s v="Radiance Apparel"/>
    <x v="1"/>
    <x v="7"/>
    <x v="3"/>
    <s v="Female"/>
    <n v="99"/>
    <n v="523"/>
    <n v="1350"/>
    <n v="51777"/>
    <n v="133650"/>
    <n v="81873"/>
    <s v="profit"/>
  </r>
  <r>
    <x v="265"/>
    <s v="september"/>
    <s v="Zenith Design Group"/>
    <x v="1"/>
    <x v="7"/>
    <x v="15"/>
    <s v="Male"/>
    <n v="92"/>
    <n v="814"/>
    <n v="865"/>
    <n v="74888"/>
    <n v="79580"/>
    <n v="4692"/>
    <s v="profit"/>
  </r>
  <r>
    <x v="266"/>
    <s v="september"/>
    <s v="Modern Horizons Consulting"/>
    <x v="1"/>
    <x v="7"/>
    <x v="8"/>
    <s v="Male"/>
    <n v="62"/>
    <n v="891"/>
    <n v="1170"/>
    <n v="55242"/>
    <n v="72540"/>
    <n v="17298"/>
    <s v="profit"/>
  </r>
  <r>
    <x v="137"/>
    <s v="december"/>
    <s v="Harmony Health Solutions"/>
    <x v="2"/>
    <x v="6"/>
    <x v="18"/>
    <s v="Male"/>
    <n v="29"/>
    <n v="989"/>
    <n v="836"/>
    <n v="28681"/>
    <n v="24244"/>
    <n v="-4437"/>
    <s v="loss"/>
  </r>
  <r>
    <x v="267"/>
    <s v="september"/>
    <s v="Apex Realty Services"/>
    <x v="1"/>
    <x v="7"/>
    <x v="4"/>
    <s v="Male"/>
    <n v="89"/>
    <n v="990"/>
    <n v="1047"/>
    <n v="88110"/>
    <n v="93183"/>
    <n v="5073"/>
    <s v="profit"/>
  </r>
  <r>
    <x v="268"/>
    <s v="september"/>
    <s v="Zenith Educational Group"/>
    <x v="1"/>
    <x v="7"/>
    <x v="8"/>
    <s v="Male"/>
    <n v="61"/>
    <n v="907"/>
    <n v="1327"/>
    <n v="55327"/>
    <n v="80947"/>
    <n v="25620"/>
    <s v="profit"/>
  </r>
  <r>
    <x v="140"/>
    <s v="december"/>
    <s v="Modern Vision Solutions"/>
    <x v="1"/>
    <x v="5"/>
    <x v="1"/>
    <s v="Male"/>
    <n v="55"/>
    <n v="666"/>
    <n v="1358"/>
    <n v="36630"/>
    <n v="74690"/>
    <n v="38060"/>
    <s v="profit"/>
  </r>
  <r>
    <x v="269"/>
    <s v="september"/>
    <s v="True Path Ventures"/>
    <x v="1"/>
    <x v="7"/>
    <x v="9"/>
    <s v="Female"/>
    <n v="52"/>
    <n v="766"/>
    <n v="1318"/>
    <n v="39832"/>
    <n v="68536"/>
    <n v="28704"/>
    <s v="profit"/>
  </r>
  <r>
    <x v="270"/>
    <s v="september"/>
    <s v="Radiance Media"/>
    <x v="1"/>
    <x v="7"/>
    <x v="4"/>
    <s v="Male"/>
    <n v="96"/>
    <n v="520"/>
    <n v="1208"/>
    <n v="49920"/>
    <n v="115968"/>
    <n v="66048"/>
    <s v="profit"/>
  </r>
  <r>
    <x v="271"/>
    <s v="september"/>
    <s v="Legacy Health Systems"/>
    <x v="1"/>
    <x v="7"/>
    <x v="10"/>
    <s v="Male"/>
    <n v="90"/>
    <n v="792"/>
    <n v="818"/>
    <n v="71280"/>
    <n v="73620"/>
    <n v="2340"/>
    <s v="profit"/>
  </r>
  <r>
    <x v="272"/>
    <s v="september"/>
    <s v="Urban Focus Products"/>
    <x v="1"/>
    <x v="7"/>
    <x v="11"/>
    <s v="Male"/>
    <n v="98"/>
    <n v="711"/>
    <n v="1190"/>
    <n v="69678"/>
    <n v="116620"/>
    <n v="46942"/>
    <s v="profit"/>
  </r>
  <r>
    <x v="145"/>
    <s v="december"/>
    <s v="Radiant Educational Solutions"/>
    <x v="1"/>
    <x v="5"/>
    <x v="7"/>
    <s v="Female"/>
    <n v="94"/>
    <n v="616"/>
    <n v="1200"/>
    <n v="57904"/>
    <n v="112800"/>
    <n v="54896"/>
    <s v="profit"/>
  </r>
  <r>
    <x v="273"/>
    <s v="october"/>
    <s v="Visionary Innovations"/>
    <x v="1"/>
    <x v="5"/>
    <x v="5"/>
    <s v="Female"/>
    <n v="93"/>
    <n v="660"/>
    <n v="880"/>
    <n v="61380"/>
    <n v="81840"/>
    <n v="20460"/>
    <s v="profit"/>
  </r>
  <r>
    <x v="274"/>
    <s v="october"/>
    <s v="Horizon Design Studio"/>
    <x v="1"/>
    <x v="5"/>
    <x v="17"/>
    <s v="Female"/>
    <n v="59"/>
    <n v="623"/>
    <n v="1386"/>
    <n v="36757"/>
    <n v="81774"/>
    <n v="45017"/>
    <s v="profit"/>
  </r>
  <r>
    <x v="275"/>
    <s v="october"/>
    <s v="Legacy Tech Products"/>
    <x v="1"/>
    <x v="5"/>
    <x v="18"/>
    <s v="Female"/>
    <n v="98"/>
    <n v="865"/>
    <n v="1260"/>
    <n v="84770"/>
    <n v="123480"/>
    <n v="38710"/>
    <s v="profit"/>
  </r>
  <r>
    <x v="149"/>
    <s v="december"/>
    <s v="Zenith Creative Solutions"/>
    <x v="1"/>
    <x v="5"/>
    <x v="7"/>
    <s v="Female"/>
    <n v="67"/>
    <n v="898"/>
    <n v="1133"/>
    <n v="60166"/>
    <n v="75911"/>
    <n v="15745"/>
    <s v="profit"/>
  </r>
  <r>
    <x v="276"/>
    <s v="october"/>
    <s v="Pinnacle Wellness Services"/>
    <x v="1"/>
    <x v="5"/>
    <x v="19"/>
    <s v="Female"/>
    <n v="83"/>
    <n v="709"/>
    <n v="1206"/>
    <n v="58847"/>
    <n v="100098"/>
    <n v="41251"/>
    <s v="profit"/>
  </r>
  <r>
    <x v="151"/>
    <s v="december"/>
    <s v="Pure Vision Solutions"/>
    <x v="1"/>
    <x v="7"/>
    <x v="17"/>
    <s v="Female"/>
    <n v="72"/>
    <n v="603"/>
    <n v="941"/>
    <n v="43416"/>
    <n v="67752"/>
    <n v="24336"/>
    <s v="profit"/>
  </r>
  <r>
    <x v="277"/>
    <s v="october"/>
    <s v="Urban Insight Consulting"/>
    <x v="1"/>
    <x v="7"/>
    <x v="0"/>
    <s v="Female"/>
    <n v="69"/>
    <n v="657"/>
    <n v="1493"/>
    <n v="45333"/>
    <n v="103017"/>
    <n v="57684"/>
    <s v="profit"/>
  </r>
  <r>
    <x v="278"/>
    <s v="october"/>
    <s v="Crystal Horizons"/>
    <x v="1"/>
    <x v="7"/>
    <x v="1"/>
    <s v="Female"/>
    <n v="81"/>
    <n v="709"/>
    <n v="1180"/>
    <n v="57429"/>
    <n v="95580"/>
    <n v="38151"/>
    <s v="profit"/>
  </r>
  <r>
    <x v="279"/>
    <s v="october"/>
    <s v="Radiant Apparel"/>
    <x v="1"/>
    <x v="7"/>
    <x v="2"/>
    <s v="Female"/>
    <n v="61"/>
    <n v="547"/>
    <n v="1060"/>
    <n v="33367"/>
    <n v="64660"/>
    <n v="31293"/>
    <s v="profit"/>
  </r>
  <r>
    <x v="280"/>
    <s v="october"/>
    <s v="True Value Products"/>
    <x v="1"/>
    <x v="7"/>
    <x v="3"/>
    <s v="Female"/>
    <n v="57"/>
    <n v="734"/>
    <n v="979"/>
    <n v="41838"/>
    <n v="55803"/>
    <n v="13965"/>
    <s v="profit"/>
  </r>
  <r>
    <x v="156"/>
    <s v="december"/>
    <s v="Harmony Edge Solutions"/>
    <x v="1"/>
    <x v="7"/>
    <x v="1"/>
    <s v="Male"/>
    <n v="97"/>
    <n v="500"/>
    <n v="1417"/>
    <n v="48500"/>
    <n v="137449"/>
    <n v="88949"/>
    <s v="profit"/>
  </r>
  <r>
    <x v="281"/>
    <s v="october"/>
    <s v="Zenith Health Products"/>
    <x v="1"/>
    <x v="7"/>
    <x v="4"/>
    <s v="Male"/>
    <n v="60"/>
    <n v="937"/>
    <n v="948"/>
    <n v="56220"/>
    <n v="56880"/>
    <n v="660"/>
    <s v="profit"/>
  </r>
  <r>
    <x v="282"/>
    <s v="october"/>
    <s v="Stellar Wellness Products"/>
    <x v="1"/>
    <x v="1"/>
    <x v="17"/>
    <s v="Male"/>
    <n v="71"/>
    <n v="777"/>
    <n v="1034"/>
    <n v="55167"/>
    <n v="73414"/>
    <n v="18247"/>
    <s v="profit"/>
  </r>
  <r>
    <x v="283"/>
    <s v="october"/>
    <s v="Radiant Consulting Group"/>
    <x v="1"/>
    <x v="1"/>
    <x v="8"/>
    <s v="Male"/>
    <n v="52"/>
    <n v="509"/>
    <n v="764"/>
    <n v="26468"/>
    <n v="39728"/>
    <n v="13260"/>
    <s v="profit"/>
  </r>
  <r>
    <x v="284"/>
    <s v="october"/>
    <s v="Harmony Ventures Co."/>
    <x v="1"/>
    <x v="1"/>
    <x v="18"/>
    <s v="Female"/>
    <n v="66"/>
    <n v="701"/>
    <n v="1204"/>
    <n v="46266"/>
    <n v="79464"/>
    <n v="33198"/>
    <s v="profit"/>
  </r>
  <r>
    <x v="285"/>
    <s v="october"/>
    <s v="Urban Path Technologies"/>
    <x v="1"/>
    <x v="1"/>
    <x v="19"/>
    <s v="Male"/>
    <n v="97"/>
    <n v="654"/>
    <n v="839"/>
    <n v="63438"/>
    <n v="81383"/>
    <n v="17945"/>
    <s v="profit"/>
  </r>
  <r>
    <x v="286"/>
    <s v="november"/>
    <s v="Modern Vision Ventures"/>
    <x v="1"/>
    <x v="9"/>
    <x v="3"/>
    <s v="Female"/>
    <n v="63"/>
    <n v="833"/>
    <n v="1040"/>
    <n v="52479"/>
    <n v="65520"/>
    <n v="13041"/>
    <s v="profit"/>
  </r>
  <r>
    <x v="163"/>
    <s v="january"/>
    <s v="Pinnacle Media Solutions"/>
    <x v="0"/>
    <x v="0"/>
    <x v="15"/>
    <s v="Female"/>
    <n v="12"/>
    <n v="864"/>
    <n v="953"/>
    <n v="10368"/>
    <n v="11436"/>
    <n v="1068"/>
    <s v="profit"/>
  </r>
  <r>
    <x v="287"/>
    <s v="november"/>
    <s v="Elite Travel Services"/>
    <x v="1"/>
    <x v="9"/>
    <x v="15"/>
    <s v="Female"/>
    <n v="74"/>
    <n v="743"/>
    <n v="974"/>
    <n v="54982"/>
    <n v="72076"/>
    <n v="17094"/>
    <s v="profit"/>
  </r>
  <r>
    <x v="165"/>
    <s v="january"/>
    <s v="Radiant Tech Solutions"/>
    <x v="0"/>
    <x v="0"/>
    <x v="8"/>
    <s v="Female"/>
    <n v="13"/>
    <n v="839"/>
    <n v="1025"/>
    <n v="10907"/>
    <n v="13325"/>
    <n v="2418"/>
    <s v="profit"/>
  </r>
  <r>
    <x v="288"/>
    <s v="november"/>
    <s v="Crystal Innovations Group"/>
    <x v="1"/>
    <x v="9"/>
    <x v="8"/>
    <s v="Female"/>
    <n v="86"/>
    <n v="593"/>
    <n v="1425"/>
    <n v="50998"/>
    <n v="122550"/>
    <n v="71552"/>
    <s v="profit"/>
  </r>
  <r>
    <x v="167"/>
    <s v="january"/>
    <s v="Elite Creative Solutions"/>
    <x v="0"/>
    <x v="0"/>
    <x v="2"/>
    <s v="Female"/>
    <n v="11"/>
    <n v="944"/>
    <n v="949"/>
    <n v="10384"/>
    <n v="10439"/>
    <n v="55"/>
    <s v="profit"/>
  </r>
  <r>
    <x v="289"/>
    <s v="november"/>
    <s v="Pinnacle Fitness Studio"/>
    <x v="1"/>
    <x v="9"/>
    <x v="3"/>
    <s v="Female"/>
    <n v="92"/>
    <n v="609"/>
    <n v="792"/>
    <n v="56028"/>
    <n v="72864"/>
    <n v="16836"/>
    <s v="profit"/>
  </r>
  <r>
    <x v="290"/>
    <s v="november"/>
    <s v="Stellar Travel Agency"/>
    <x v="1"/>
    <x v="9"/>
    <x v="13"/>
    <s v="Female"/>
    <n v="96"/>
    <n v="674"/>
    <n v="1178"/>
    <n v="64704"/>
    <n v="113088"/>
    <n v="48384"/>
    <s v="profit"/>
  </r>
  <r>
    <x v="291"/>
    <s v="december"/>
    <s v="Apex Travel Ventures"/>
    <x v="1"/>
    <x v="5"/>
    <x v="0"/>
    <s v="Male"/>
    <n v="65"/>
    <n v="804"/>
    <n v="876"/>
    <n v="52260"/>
    <n v="56940"/>
    <n v="4680"/>
    <s v="profit"/>
  </r>
  <r>
    <x v="292"/>
    <s v="december"/>
    <s v="True Path Consulting"/>
    <x v="1"/>
    <x v="5"/>
    <x v="2"/>
    <s v="Female"/>
    <n v="83"/>
    <n v="541"/>
    <n v="1072"/>
    <n v="44903"/>
    <n v="88976"/>
    <n v="44073"/>
    <s v="profit"/>
  </r>
  <r>
    <x v="293"/>
    <s v="december"/>
    <s v="Legacy Finance Group"/>
    <x v="1"/>
    <x v="5"/>
    <x v="3"/>
    <s v="Female"/>
    <n v="89"/>
    <n v="545"/>
    <n v="978"/>
    <n v="48505"/>
    <n v="87042"/>
    <n v="38537"/>
    <s v="profit"/>
  </r>
  <r>
    <x v="294"/>
    <s v="december"/>
    <s v="Pinnacle Design Ventures"/>
    <x v="1"/>
    <x v="5"/>
    <x v="6"/>
    <s v="Female"/>
    <n v="80"/>
    <n v="671"/>
    <n v="1251"/>
    <n v="53680"/>
    <n v="100080"/>
    <n v="46400"/>
    <s v="profit"/>
  </r>
  <r>
    <x v="174"/>
    <s v="january"/>
    <s v="Pinnacle Design Solutions"/>
    <x v="1"/>
    <x v="7"/>
    <x v="12"/>
    <s v="Male"/>
    <n v="82"/>
    <n v="822"/>
    <n v="1445"/>
    <n v="67404"/>
    <n v="118490"/>
    <n v="51086"/>
    <s v="profit"/>
  </r>
  <r>
    <x v="295"/>
    <s v="december"/>
    <s v="Stellar Innovations Co."/>
    <x v="1"/>
    <x v="5"/>
    <x v="7"/>
    <s v="Female"/>
    <n v="68"/>
    <n v="815"/>
    <n v="808"/>
    <n v="55420"/>
    <n v="54944"/>
    <n v="-476"/>
    <s v="loss"/>
  </r>
  <r>
    <x v="296"/>
    <s v="december"/>
    <s v="Harmony Marketing Co."/>
    <x v="1"/>
    <x v="5"/>
    <x v="13"/>
    <s v="Female"/>
    <n v="88"/>
    <n v="674"/>
    <n v="891"/>
    <n v="59312"/>
    <n v="78408"/>
    <n v="19096"/>
    <s v="profit"/>
  </r>
  <r>
    <x v="297"/>
    <s v="december"/>
    <s v="Urban Tech Innovations"/>
    <x v="1"/>
    <x v="5"/>
    <x v="13"/>
    <s v="Female"/>
    <n v="64"/>
    <n v="665"/>
    <n v="783"/>
    <n v="42560"/>
    <n v="50112"/>
    <n v="7552"/>
    <s v="profit"/>
  </r>
  <r>
    <x v="298"/>
    <s v="december"/>
    <s v="Crystal Wellness Group"/>
    <x v="1"/>
    <x v="5"/>
    <x v="12"/>
    <s v="Female"/>
    <n v="81"/>
    <n v="801"/>
    <n v="846"/>
    <n v="64881"/>
    <n v="68526"/>
    <n v="3645"/>
    <s v="profit"/>
  </r>
  <r>
    <x v="299"/>
    <s v="december"/>
    <s v="Apex Media Co."/>
    <x v="1"/>
    <x v="5"/>
    <x v="5"/>
    <s v="Female"/>
    <n v="74"/>
    <n v="734"/>
    <n v="886"/>
    <n v="54316"/>
    <n v="65564"/>
    <n v="11248"/>
    <s v="profit"/>
  </r>
  <r>
    <x v="180"/>
    <s v="january"/>
    <s v="Pure Harmony Solutions"/>
    <x v="0"/>
    <x v="2"/>
    <x v="19"/>
    <s v="Female"/>
    <n v="10"/>
    <n v="519"/>
    <n v="1420"/>
    <n v="5190"/>
    <n v="14200"/>
    <n v="9010"/>
    <s v="profit"/>
  </r>
  <r>
    <x v="300"/>
    <s v="december"/>
    <s v="Legacy Health Ventures"/>
    <x v="1"/>
    <x v="7"/>
    <x v="8"/>
    <s v="Female"/>
    <n v="94"/>
    <n v="564"/>
    <n v="941"/>
    <n v="53016"/>
    <n v="88454"/>
    <n v="35438"/>
    <s v="profit"/>
  </r>
  <r>
    <x v="301"/>
    <s v="december"/>
    <s v="Pinnacle Spectrum Co."/>
    <x v="1"/>
    <x v="7"/>
    <x v="18"/>
    <s v="Female"/>
    <n v="50"/>
    <n v="545"/>
    <n v="1050"/>
    <n v="27250"/>
    <n v="52500"/>
    <n v="25250"/>
    <s v="profit"/>
  </r>
  <r>
    <x v="302"/>
    <s v="december"/>
    <s v="Stellar Travel Products"/>
    <x v="1"/>
    <x v="7"/>
    <x v="19"/>
    <s v="Female"/>
    <n v="60"/>
    <n v="783"/>
    <n v="1422"/>
    <n v="46980"/>
    <n v="85320"/>
    <n v="38340"/>
    <s v="profit"/>
  </r>
  <r>
    <x v="303"/>
    <s v="december"/>
    <s v="Radiance Finance Services"/>
    <x v="1"/>
    <x v="7"/>
    <x v="0"/>
    <s v="Female"/>
    <n v="63"/>
    <n v="746"/>
    <n v="1075"/>
    <n v="46998"/>
    <n v="67725"/>
    <n v="20727"/>
    <s v="profit"/>
  </r>
  <r>
    <x v="304"/>
    <s v="december"/>
    <s v="Modern Travel Agency"/>
    <x v="1"/>
    <x v="7"/>
    <x v="2"/>
    <s v="Male"/>
    <n v="86"/>
    <n v="834"/>
    <n v="1372"/>
    <n v="71724"/>
    <n v="117992"/>
    <n v="46268"/>
    <s v="profit"/>
  </r>
  <r>
    <x v="186"/>
    <s v="january"/>
    <s v="Zenith Path Solutions"/>
    <x v="0"/>
    <x v="2"/>
    <x v="4"/>
    <s v="Female"/>
    <n v="17"/>
    <n v="922"/>
    <n v="899"/>
    <n v="15674"/>
    <n v="15283"/>
    <n v="-391"/>
    <s v="loss"/>
  </r>
  <r>
    <x v="305"/>
    <s v="december"/>
    <s v="Crystal Path Consulting"/>
    <x v="1"/>
    <x v="7"/>
    <x v="3"/>
    <s v="Male"/>
    <n v="51"/>
    <n v="944"/>
    <n v="1062"/>
    <n v="48144"/>
    <n v="54162"/>
    <n v="6018"/>
    <s v="profit"/>
  </r>
  <r>
    <x v="306"/>
    <s v="december"/>
    <s v="Zenith Educational Services"/>
    <x v="1"/>
    <x v="7"/>
    <x v="3"/>
    <s v="Male"/>
    <n v="75"/>
    <n v="547"/>
    <n v="1203"/>
    <n v="41025"/>
    <n v="90225"/>
    <n v="49200"/>
    <s v="profit"/>
  </r>
  <r>
    <x v="307"/>
    <s v="december"/>
    <s v="Apex Innovations Co."/>
    <x v="1"/>
    <x v="7"/>
    <x v="4"/>
    <s v="Male"/>
    <n v="64"/>
    <n v="918"/>
    <n v="907"/>
    <n v="58752"/>
    <n v="58048"/>
    <n v="-704"/>
    <s v="loss"/>
  </r>
  <r>
    <x v="190"/>
    <s v="january"/>
    <s v="Legacy Media Solutions"/>
    <x v="0"/>
    <x v="2"/>
    <x v="5"/>
    <s v="Male"/>
    <n v="12"/>
    <n v="519"/>
    <n v="1212"/>
    <n v="6228"/>
    <n v="14544"/>
    <n v="8316"/>
    <s v="profit"/>
  </r>
  <r>
    <x v="308"/>
    <s v="january"/>
    <s v="Pure Harmony Health"/>
    <x v="1"/>
    <x v="7"/>
    <x v="5"/>
    <s v="Female"/>
    <n v="74"/>
    <n v="965"/>
    <n v="906"/>
    <n v="71410"/>
    <n v="67044"/>
    <n v="-4366"/>
    <s v="loss"/>
  </r>
  <r>
    <x v="309"/>
    <s v="january"/>
    <s v="Apex Travel Innovations"/>
    <x v="1"/>
    <x v="5"/>
    <x v="6"/>
    <s v="Male"/>
    <n v="100"/>
    <n v="667"/>
    <n v="1109"/>
    <n v="66700"/>
    <n v="110900"/>
    <n v="44200"/>
    <s v="profit"/>
  </r>
  <r>
    <x v="310"/>
    <s v="january"/>
    <s v="Modern Health Products"/>
    <x v="1"/>
    <x v="5"/>
    <x v="7"/>
    <s v="Male"/>
    <n v="60"/>
    <n v="509"/>
    <n v="954"/>
    <n v="30540"/>
    <n v="57240"/>
    <n v="26700"/>
    <s v="profit"/>
  </r>
  <r>
    <x v="311"/>
    <s v="january"/>
    <s v="Harmony Finance Group"/>
    <x v="1"/>
    <x v="5"/>
    <x v="7"/>
    <s v="Male"/>
    <n v="93"/>
    <n v="814"/>
    <n v="832"/>
    <n v="75702"/>
    <n v="77376"/>
    <n v="1674"/>
    <s v="profit"/>
  </r>
  <r>
    <x v="312"/>
    <s v="january"/>
    <s v="Pure Vision Consulting"/>
    <x v="1"/>
    <x v="5"/>
    <x v="13"/>
    <s v="Female"/>
    <n v="86"/>
    <n v="567"/>
    <n v="1491"/>
    <n v="48762"/>
    <n v="128226"/>
    <n v="79464"/>
    <s v="profit"/>
  </r>
  <r>
    <x v="313"/>
    <s v="january"/>
    <s v="Legacy Spectrum Co."/>
    <x v="1"/>
    <x v="5"/>
    <x v="13"/>
    <s v="Male"/>
    <n v="54"/>
    <n v="674"/>
    <n v="787"/>
    <n v="36396"/>
    <n v="42498"/>
    <n v="6102"/>
    <s v="profit"/>
  </r>
  <r>
    <x v="314"/>
    <s v="january"/>
    <s v="Stellar Media Services"/>
    <x v="1"/>
    <x v="7"/>
    <x v="7"/>
    <s v="Male"/>
    <n v="98"/>
    <n v="950"/>
    <n v="1426"/>
    <n v="93100"/>
    <n v="139748"/>
    <n v="46648"/>
    <s v="profit"/>
  </r>
  <r>
    <x v="315"/>
    <s v="january"/>
    <s v="Radiant Innovations Group"/>
    <x v="1"/>
    <x v="7"/>
    <x v="5"/>
    <s v="Male"/>
    <n v="82"/>
    <n v="916"/>
    <n v="1461"/>
    <n v="75112"/>
    <n v="119802"/>
    <n v="44690"/>
    <s v="profit"/>
  </r>
  <r>
    <x v="316"/>
    <s v="january"/>
    <s v="Horizon Path Ventures"/>
    <x v="1"/>
    <x v="7"/>
    <x v="17"/>
    <s v="Female"/>
    <n v="66"/>
    <n v="710"/>
    <n v="1034"/>
    <n v="46860"/>
    <n v="68244"/>
    <n v="21384"/>
    <s v="profit"/>
  </r>
  <r>
    <x v="317"/>
    <s v="january"/>
    <s v="Zenith Tech Co."/>
    <x v="1"/>
    <x v="7"/>
    <x v="8"/>
    <s v="Female"/>
    <n v="77"/>
    <n v="922"/>
    <n v="1400"/>
    <n v="70994"/>
    <n v="107800"/>
    <n v="36806"/>
    <s v="profit"/>
  </r>
  <r>
    <x v="195"/>
    <s v="february"/>
    <s v="Radiant Solutions Co."/>
    <x v="2"/>
    <x v="6"/>
    <x v="5"/>
    <s v="Female"/>
    <n v="22"/>
    <n v="745"/>
    <n v="1153"/>
    <n v="16390"/>
    <n v="25366"/>
    <n v="8976"/>
    <s v="profit"/>
  </r>
  <r>
    <x v="318"/>
    <s v="january"/>
    <s v="Apex Finance Ventures"/>
    <x v="1"/>
    <x v="7"/>
    <x v="18"/>
    <s v="Female"/>
    <n v="93"/>
    <n v="887"/>
    <n v="993"/>
    <n v="82491"/>
    <n v="92349"/>
    <n v="9858"/>
    <s v="profit"/>
  </r>
  <r>
    <x v="319"/>
    <s v="february"/>
    <s v="Zenith Wellness Co."/>
    <x v="1"/>
    <x v="5"/>
    <x v="7"/>
    <s v="Female"/>
    <n v="78"/>
    <n v="709"/>
    <n v="1494"/>
    <n v="55302"/>
    <n v="116532"/>
    <n v="61230"/>
    <s v="profit"/>
  </r>
  <r>
    <x v="320"/>
    <s v="february"/>
    <s v="Apex Design Services"/>
    <x v="1"/>
    <x v="5"/>
    <x v="7"/>
    <s v="Female"/>
    <n v="87"/>
    <n v="714"/>
    <n v="926"/>
    <n v="62118"/>
    <n v="80562"/>
    <n v="18444"/>
    <s v="profit"/>
  </r>
  <r>
    <x v="196"/>
    <s v="february"/>
    <s v="Modern Travel Solutions"/>
    <x v="1"/>
    <x v="5"/>
    <x v="13"/>
    <s v="Female"/>
    <n v="90"/>
    <n v="983"/>
    <n v="924"/>
    <n v="88470"/>
    <n v="83160"/>
    <n v="-5310"/>
    <s v="loss"/>
  </r>
  <r>
    <x v="321"/>
    <s v="february"/>
    <s v="Pure Health Ventures"/>
    <x v="1"/>
    <x v="5"/>
    <x v="13"/>
    <s v="Female"/>
    <n v="78"/>
    <n v="789"/>
    <n v="1064"/>
    <n v="61542"/>
    <n v="82992"/>
    <n v="21450"/>
    <s v="profit"/>
  </r>
  <r>
    <x v="322"/>
    <s v="february"/>
    <s v="Legacy Spectrum Group"/>
    <x v="1"/>
    <x v="5"/>
    <x v="12"/>
    <s v="Male"/>
    <n v="74"/>
    <n v="835"/>
    <n v="1096"/>
    <n v="61790"/>
    <n v="81104"/>
    <n v="19314"/>
    <s v="profit"/>
  </r>
  <r>
    <x v="323"/>
    <s v="february"/>
    <s v="Pinnacle Media Ventures"/>
    <x v="1"/>
    <x v="5"/>
    <x v="7"/>
    <s v="Male"/>
    <n v="94"/>
    <n v="952"/>
    <n v="1425"/>
    <n v="89488"/>
    <n v="133950"/>
    <n v="44462"/>
    <s v="profit"/>
  </r>
  <r>
    <x v="324"/>
    <s v="february"/>
    <s v="Stellar Innovations Group"/>
    <x v="1"/>
    <x v="5"/>
    <x v="5"/>
    <s v="Male"/>
    <n v="55"/>
    <n v="558"/>
    <n v="1203"/>
    <n v="30690"/>
    <n v="66165"/>
    <n v="35475"/>
    <s v="profit"/>
  </r>
  <r>
    <x v="325"/>
    <s v="february"/>
    <s v="Radiant Educational Co."/>
    <x v="1"/>
    <x v="5"/>
    <x v="17"/>
    <s v="Male"/>
    <n v="56"/>
    <n v="562"/>
    <n v="1341"/>
    <n v="31472"/>
    <n v="75096"/>
    <n v="43624"/>
    <s v="profit"/>
  </r>
  <r>
    <x v="326"/>
    <s v="february"/>
    <s v="Harmony Edge Ventures"/>
    <x v="1"/>
    <x v="5"/>
    <x v="8"/>
    <s v="Female"/>
    <n v="94"/>
    <n v="513"/>
    <n v="1318"/>
    <n v="48222"/>
    <n v="123892"/>
    <n v="75670"/>
    <s v="profit"/>
  </r>
  <r>
    <x v="197"/>
    <s v="february"/>
    <s v="Zenith Tech Solutions"/>
    <x v="1"/>
    <x v="5"/>
    <x v="18"/>
    <s v="Male"/>
    <n v="76"/>
    <n v="526"/>
    <n v="1260"/>
    <n v="39976"/>
    <n v="95760"/>
    <n v="55784"/>
    <s v="profit"/>
  </r>
  <r>
    <x v="327"/>
    <s v="february"/>
    <s v="Apex Finance Group"/>
    <x v="1"/>
    <x v="5"/>
    <x v="19"/>
    <s v="Male"/>
    <n v="61"/>
    <n v="545"/>
    <n v="915"/>
    <n v="33245"/>
    <n v="55815"/>
    <n v="22570"/>
    <s v="profit"/>
  </r>
  <r>
    <x v="328"/>
    <s v="february"/>
    <s v="Pure Harmony Media"/>
    <x v="1"/>
    <x v="5"/>
    <x v="0"/>
    <s v="Male"/>
    <n v="99"/>
    <n v="943"/>
    <n v="823"/>
    <n v="93357"/>
    <n v="81477"/>
    <n v="-11880"/>
    <s v="loss"/>
  </r>
  <r>
    <x v="329"/>
    <s v="february"/>
    <s v="Legacy Health Co."/>
    <x v="1"/>
    <x v="7"/>
    <x v="1"/>
    <s v="Male"/>
    <n v="84"/>
    <n v="738"/>
    <n v="1080"/>
    <n v="61992"/>
    <n v="90720"/>
    <n v="28728"/>
    <s v="profit"/>
  </r>
  <r>
    <x v="331"/>
    <m/>
    <m/>
    <x v="3"/>
    <x v="11"/>
    <x v="20"/>
    <m/>
    <m/>
    <m/>
    <m/>
    <m/>
    <m/>
    <m/>
    <m/>
  </r>
  <r>
    <x v="331"/>
    <m/>
    <m/>
    <x v="3"/>
    <x v="11"/>
    <x v="20"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Reliance Enterprises"/>
    <s v="Computer"/>
    <s v="Delhi"/>
    <s v="Female"/>
    <n v="122444"/>
  </r>
  <r>
    <s v="Tata Solutions"/>
    <s v="Laptop"/>
    <s v="Mumbai"/>
    <s v="Male"/>
    <n v="94138"/>
  </r>
  <r>
    <s v="Infosys Technologies"/>
    <s v="Computer"/>
    <s v="Delhi"/>
    <s v="Female"/>
    <n v="72679"/>
  </r>
  <r>
    <s v="Wipro Digital"/>
    <s v="Computer"/>
    <s v="Delhi"/>
    <s v="Female"/>
    <n v="130238"/>
  </r>
  <r>
    <s v="Adani Industries"/>
    <s v="Laptop"/>
    <s v="Mumbai"/>
    <s v="Female"/>
    <n v="108636"/>
  </r>
  <r>
    <s v="Mahindra Innovations"/>
    <s v="Speakers"/>
    <s v="Chennai"/>
    <s v="Male"/>
    <n v="108005"/>
  </r>
  <r>
    <s v="HDFC Finance"/>
    <s v="Speakers"/>
    <s v="Delhi"/>
    <s v="Male"/>
    <n v="141259"/>
  </r>
  <r>
    <s v="Flipkart Retail"/>
    <s v="Speakers"/>
    <s v="Delhi"/>
    <s v="Male"/>
    <n v="86739"/>
  </r>
  <r>
    <s v="Byju’s EdTech"/>
    <s v="Computer"/>
    <s v="Chennai"/>
    <s v="Female"/>
    <n v="95170"/>
  </r>
  <r>
    <s v="Zomato Services"/>
    <s v="Laptop"/>
    <s v="Mumbai"/>
    <s v="Male"/>
    <n v="50655"/>
  </r>
  <r>
    <s v="Reliance Enterprises"/>
    <s v="Laptop"/>
    <s v="Mumbai"/>
    <s v="Female"/>
    <n v="76361"/>
  </r>
  <r>
    <s v="Tata Solutions"/>
    <s v="Laptop"/>
    <s v="Banglore"/>
    <s v="Female"/>
    <n v="59986"/>
  </r>
  <r>
    <s v="Infosys Technologies"/>
    <s v="Computer"/>
    <s v="Banglore"/>
    <s v="Male"/>
    <n v="96489"/>
  </r>
  <r>
    <s v="Wipro Digital"/>
    <s v="Computer"/>
    <s v="Banglore"/>
    <s v="Male"/>
    <n v="96845"/>
  </r>
  <r>
    <s v="Adani Industries"/>
    <s v="Speakers"/>
    <s v="Delhi"/>
    <s v="Female"/>
    <n v="147430"/>
  </r>
  <r>
    <s v="Mahindra Innovations"/>
    <s v="Speakers"/>
    <s v="Delhi"/>
    <s v="Female"/>
    <n v="116547"/>
  </r>
  <r>
    <s v="HDFC Finance"/>
    <s v="Computer"/>
    <s v="Mumbai"/>
    <s v="Female"/>
    <n v="50478"/>
  </r>
  <r>
    <s v="Flipkart Retail"/>
    <s v="Laptop"/>
    <s v="Chennai"/>
    <s v="Male"/>
    <n v="131028"/>
  </r>
  <r>
    <s v="Byju’s EdTech"/>
    <s v="Computer"/>
    <s v="Chennai"/>
    <s v="Male"/>
    <n v="136265"/>
  </r>
  <r>
    <s v="Zomato Services"/>
    <s v="Computer"/>
    <s v="Delhi"/>
    <s v="Male"/>
    <n v="143860"/>
  </r>
  <r>
    <s v="Reliance Enterprises"/>
    <s v="Laptop"/>
    <s v="Mumbai"/>
    <s v="Female"/>
    <n v="57757"/>
  </r>
  <r>
    <s v="Tata Solutions"/>
    <s v="Speakers"/>
    <s v="Banglore"/>
    <s v="Female"/>
    <n v="122231"/>
  </r>
  <r>
    <s v="Infosys Technologies"/>
    <s v="Speakers"/>
    <s v="Banglore"/>
    <s v="Male"/>
    <n v="127292"/>
  </r>
  <r>
    <s v="Wipro Digital"/>
    <s v="Speakers"/>
    <s v="Chennai"/>
    <s v="Male"/>
    <n v="50194"/>
  </r>
  <r>
    <s v="Adani Industries"/>
    <s v="Computer"/>
    <s v="Mumbai"/>
    <s v="Female"/>
    <n v="76180"/>
  </r>
  <r>
    <s v="Mahindra Innovations"/>
    <s v="Laptop"/>
    <s v="Mumbai"/>
    <s v="Female"/>
    <n v="112323"/>
  </r>
  <r>
    <s v="HDFC Finance"/>
    <s v="Laptop"/>
    <s v="Banglore"/>
    <s v="Male"/>
    <n v="61988"/>
  </r>
  <r>
    <s v="Flipkart Retail"/>
    <s v="Laptop"/>
    <s v="Banglore"/>
    <s v="Male"/>
    <n v="142292"/>
  </r>
  <r>
    <s v="Byju’s EdTech"/>
    <s v="Computer"/>
    <s v="Delhi"/>
    <s v="Female"/>
    <n v="135328"/>
  </r>
  <r>
    <s v="Zomato Services"/>
    <s v="Computer"/>
    <s v="Delhi"/>
    <s v="Female"/>
    <n v="85819"/>
  </r>
  <r>
    <s v="Accounts Expert"/>
    <s v="Computer"/>
    <s v="Haryana"/>
    <s v="Female"/>
    <n v="856945"/>
  </r>
  <r>
    <s v="Tata Solutions"/>
    <s v="Speakers"/>
    <s v="Delhi"/>
    <s v="Male"/>
    <n v="103228"/>
  </r>
  <r>
    <s v="Infosys Technologies"/>
    <s v="Computer"/>
    <s v="Mumbai"/>
    <s v="Female"/>
    <n v="56765"/>
  </r>
  <r>
    <s v="Wipro Digital"/>
    <s v="Laptop"/>
    <s v="Chennai"/>
    <s v="Female"/>
    <n v="122853"/>
  </r>
  <r>
    <s v="Adani Industries"/>
    <s v="Computer"/>
    <s v="Chennai"/>
    <s v="Male"/>
    <n v="59918"/>
  </r>
  <r>
    <s v="Mahindra Innovations"/>
    <s v="Computer"/>
    <s v="Delhi"/>
    <s v="Male"/>
    <n v="59303"/>
  </r>
  <r>
    <s v="HDFC Finance"/>
    <s v="Laptop"/>
    <s v="Mumbai"/>
    <s v="Female"/>
    <n v="105850"/>
  </r>
  <r>
    <s v="Flipkart Retail"/>
    <s v="Speakers"/>
    <s v="Banglore"/>
    <s v="Male"/>
    <n v="146177"/>
  </r>
  <r>
    <s v="Byju’s EdTech"/>
    <s v="Speakers"/>
    <s v="Chennai"/>
    <s v="Female"/>
    <n v="56078"/>
  </r>
  <r>
    <s v="Zomato Services"/>
    <s v="Speakers"/>
    <s v="Chennai"/>
    <s v="Male"/>
    <n v="109136"/>
  </r>
  <r>
    <s v="Reliance Enterprises"/>
    <s v="Computer"/>
    <s v="Delhi"/>
    <s v="Male"/>
    <n v="76997"/>
  </r>
  <r>
    <s v="Tata Solutions"/>
    <s v="Laptop"/>
    <s v="Delhi"/>
    <s v="Male"/>
    <n v="148442"/>
  </r>
  <r>
    <s v="Infosys Technologies"/>
    <s v="Laptop"/>
    <s v="Mumbai"/>
    <s v="Male"/>
    <n v="129500"/>
  </r>
  <r>
    <s v="Wipro Digital"/>
    <s v="Laptop"/>
    <s v="Banglore"/>
    <s v="Female"/>
    <n v="133884"/>
  </r>
  <r>
    <s v="Adani Industries"/>
    <s v="Computer"/>
    <s v="Banglore"/>
    <s v="Female"/>
    <n v="106065"/>
  </r>
  <r>
    <s v="Mahindra Innovations"/>
    <s v="Computer"/>
    <s v="Banglore"/>
    <s v="Female"/>
    <n v="82337"/>
  </r>
  <r>
    <s v="HDFC Finance"/>
    <s v="Speakers"/>
    <s v="Mumbai"/>
    <s v="Male"/>
    <n v="73197"/>
  </r>
  <r>
    <s v="Flipkart Retail"/>
    <s v="Speakers"/>
    <s v="Delhi"/>
    <s v="Male"/>
    <n v="119829"/>
  </r>
  <r>
    <s v="Byju’s EdTech"/>
    <s v="Speakers"/>
    <s v="Delhi"/>
    <s v="Male"/>
    <n v="92926"/>
  </r>
  <r>
    <s v="Zomato Services"/>
    <s v="Computer"/>
    <s v="Chennai"/>
    <s v="Female"/>
    <n v="88313"/>
  </r>
  <r>
    <s v="Pts Cad Expert"/>
    <s v="Laptop"/>
    <s v="Haryana"/>
    <s v="Male"/>
    <n v="4598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3A15-46F2-4983-B27A-ECE790522D9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B20" firstHeaderRow="1" firstDataRow="1" firstDataCol="1"/>
  <pivotFields count="19">
    <pivotField compact="0" outline="0" showAll="0">
      <items count="333">
        <item x="78"/>
        <item x="79"/>
        <item x="80"/>
        <item x="82"/>
        <item x="198"/>
        <item x="199"/>
        <item x="6"/>
        <item x="200"/>
        <item x="83"/>
        <item x="84"/>
        <item x="85"/>
        <item x="87"/>
        <item x="12"/>
        <item x="88"/>
        <item x="201"/>
        <item x="202"/>
        <item x="203"/>
        <item x="204"/>
        <item x="205"/>
        <item x="206"/>
        <item x="207"/>
        <item x="90"/>
        <item x="22"/>
        <item x="92"/>
        <item x="24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4"/>
        <item x="115"/>
        <item x="116"/>
        <item x="118"/>
        <item x="120"/>
        <item x="121"/>
        <item x="208"/>
        <item x="49"/>
        <item x="209"/>
        <item x="210"/>
        <item x="211"/>
        <item x="212"/>
        <item x="213"/>
        <item x="214"/>
        <item x="215"/>
        <item x="216"/>
        <item x="5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0"/>
        <item x="1"/>
        <item x="2"/>
        <item x="3"/>
        <item x="63"/>
        <item x="4"/>
        <item x="5"/>
        <item x="229"/>
        <item x="230"/>
        <item x="231"/>
        <item x="64"/>
        <item x="232"/>
        <item x="233"/>
        <item x="234"/>
        <item x="235"/>
        <item x="236"/>
        <item x="237"/>
        <item x="238"/>
        <item x="7"/>
        <item x="8"/>
        <item x="9"/>
        <item x="65"/>
        <item x="10"/>
        <item x="11"/>
        <item x="13"/>
        <item x="14"/>
        <item x="15"/>
        <item x="16"/>
        <item x="17"/>
        <item x="18"/>
        <item x="122"/>
        <item x="123"/>
        <item x="124"/>
        <item x="125"/>
        <item x="66"/>
        <item x="126"/>
        <item x="127"/>
        <item x="128"/>
        <item x="130"/>
        <item x="131"/>
        <item x="133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67"/>
        <item x="251"/>
        <item x="252"/>
        <item x="19"/>
        <item x="20"/>
        <item x="68"/>
        <item x="21"/>
        <item x="23"/>
        <item x="25"/>
        <item x="26"/>
        <item x="134"/>
        <item x="135"/>
        <item x="136"/>
        <item x="69"/>
        <item x="138"/>
        <item x="139"/>
        <item x="141"/>
        <item x="142"/>
        <item x="143"/>
        <item x="70"/>
        <item x="144"/>
        <item x="253"/>
        <item x="254"/>
        <item x="255"/>
        <item x="256"/>
        <item x="257"/>
        <item x="258"/>
        <item x="259"/>
        <item x="71"/>
        <item x="260"/>
        <item x="261"/>
        <item x="262"/>
        <item x="263"/>
        <item x="72"/>
        <item x="264"/>
        <item x="265"/>
        <item x="27"/>
        <item x="28"/>
        <item x="29"/>
        <item x="30"/>
        <item x="31"/>
        <item x="32"/>
        <item x="73"/>
        <item x="33"/>
        <item x="34"/>
        <item x="35"/>
        <item x="36"/>
        <item x="74"/>
        <item x="266"/>
        <item x="267"/>
        <item x="268"/>
        <item x="269"/>
        <item x="270"/>
        <item x="271"/>
        <item x="272"/>
        <item x="37"/>
        <item x="75"/>
        <item x="38"/>
        <item x="76"/>
        <item x="39"/>
        <item x="40"/>
        <item x="41"/>
        <item x="273"/>
        <item x="274"/>
        <item x="77"/>
        <item x="275"/>
        <item x="276"/>
        <item x="277"/>
        <item x="278"/>
        <item x="279"/>
        <item x="280"/>
        <item x="81"/>
        <item x="281"/>
        <item x="42"/>
        <item x="43"/>
        <item x="44"/>
        <item x="86"/>
        <item x="45"/>
        <item x="46"/>
        <item x="89"/>
        <item x="47"/>
        <item x="91"/>
        <item x="146"/>
        <item x="93"/>
        <item x="147"/>
        <item x="282"/>
        <item x="283"/>
        <item x="284"/>
        <item x="285"/>
        <item x="148"/>
        <item x="150"/>
        <item x="152"/>
        <item x="153"/>
        <item x="154"/>
        <item x="155"/>
        <item x="105"/>
        <item x="286"/>
        <item x="287"/>
        <item x="108"/>
        <item x="288"/>
        <item x="289"/>
        <item x="290"/>
        <item x="157"/>
        <item x="113"/>
        <item x="158"/>
        <item x="159"/>
        <item x="160"/>
        <item x="117"/>
        <item x="161"/>
        <item x="119"/>
        <item x="162"/>
        <item x="164"/>
        <item x="166"/>
        <item x="168"/>
        <item x="169"/>
        <item x="170"/>
        <item x="171"/>
        <item x="172"/>
        <item x="173"/>
        <item x="129"/>
        <item x="175"/>
        <item x="176"/>
        <item x="132"/>
        <item x="177"/>
        <item x="178"/>
        <item x="179"/>
        <item x="181"/>
        <item x="137"/>
        <item x="182"/>
        <item x="291"/>
        <item x="140"/>
        <item x="292"/>
        <item x="293"/>
        <item x="294"/>
        <item x="295"/>
        <item x="145"/>
        <item x="296"/>
        <item x="297"/>
        <item x="298"/>
        <item x="149"/>
        <item x="299"/>
        <item x="151"/>
        <item x="300"/>
        <item x="301"/>
        <item x="302"/>
        <item x="303"/>
        <item x="156"/>
        <item x="304"/>
        <item x="305"/>
        <item x="306"/>
        <item x="307"/>
        <item x="308"/>
        <item x="48"/>
        <item x="163"/>
        <item x="50"/>
        <item x="165"/>
        <item x="51"/>
        <item x="167"/>
        <item x="52"/>
        <item x="309"/>
        <item x="310"/>
        <item x="311"/>
        <item x="312"/>
        <item x="313"/>
        <item x="174"/>
        <item x="314"/>
        <item x="315"/>
        <item x="316"/>
        <item x="317"/>
        <item x="318"/>
        <item x="180"/>
        <item x="53"/>
        <item x="54"/>
        <item x="55"/>
        <item x="56"/>
        <item x="57"/>
        <item x="186"/>
        <item x="59"/>
        <item x="60"/>
        <item x="61"/>
        <item x="190"/>
        <item x="62"/>
        <item x="183"/>
        <item x="184"/>
        <item x="185"/>
        <item x="187"/>
        <item x="188"/>
        <item x="189"/>
        <item x="191"/>
        <item x="192"/>
        <item x="193"/>
        <item x="195"/>
        <item x="194"/>
        <item x="319"/>
        <item x="320"/>
        <item x="196"/>
        <item x="321"/>
        <item x="322"/>
        <item x="323"/>
        <item x="324"/>
        <item x="325"/>
        <item x="326"/>
        <item x="197"/>
        <item x="327"/>
        <item x="328"/>
        <item x="329"/>
        <item x="330"/>
        <item x="33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1"/>
        <item x="9"/>
        <item sd="0" x="2"/>
        <item x="7"/>
        <item sd="0" x="10"/>
        <item sd="0" x="6"/>
        <item sd="0" x="3"/>
        <item sd="0" x="8"/>
        <item sd="0" x="4"/>
        <item sd="0" x="1"/>
        <item sd="0" x="12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6C263-3A2A-47E6-8D49-37987E3E5962}" name="PivotTable10" cacheId="2" applyNumberFormats="0" applyBorderFormats="0" applyFontFormats="0" applyPatternFormats="0" applyAlignmentFormats="0" applyWidthHeightFormats="1" dataCaption="Values" showError="1" updatedVersion="8" minRefreshableVersion="5" printDrill="1" useAutoFormatting="1" pageWrap="4" fieldPrintTitles="1" itemPrintTitles="1" createdVersion="8" indent="7" compact="0" compactData="0" multipleFieldFilters="0" chartFormat="8">
  <location ref="A6:B28" firstHeaderRow="1" firstDataRow="1" firstDataCol="1"/>
  <pivotFields count="17">
    <pivotField compact="0" numFmtId="164" outline="0" subtotalTop="0" showAll="0" defaultSubtotal="0">
      <items count="332">
        <item x="78"/>
        <item x="79"/>
        <item x="80"/>
        <item x="82"/>
        <item x="198"/>
        <item x="199"/>
        <item x="6"/>
        <item x="200"/>
        <item x="83"/>
        <item x="84"/>
        <item x="85"/>
        <item x="87"/>
        <item x="12"/>
        <item x="88"/>
        <item x="201"/>
        <item x="202"/>
        <item x="203"/>
        <item x="204"/>
        <item x="205"/>
        <item x="206"/>
        <item x="207"/>
        <item x="90"/>
        <item x="22"/>
        <item x="92"/>
        <item x="24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4"/>
        <item x="115"/>
        <item x="116"/>
        <item x="118"/>
        <item x="120"/>
        <item x="121"/>
        <item x="208"/>
        <item x="49"/>
        <item x="209"/>
        <item x="210"/>
        <item x="211"/>
        <item x="212"/>
        <item x="213"/>
        <item x="214"/>
        <item x="215"/>
        <item x="216"/>
        <item x="5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0"/>
        <item x="1"/>
        <item x="2"/>
        <item x="3"/>
        <item x="63"/>
        <item x="4"/>
        <item x="5"/>
        <item x="229"/>
        <item x="230"/>
        <item x="231"/>
        <item x="64"/>
        <item x="232"/>
        <item x="233"/>
        <item x="234"/>
        <item x="235"/>
        <item x="236"/>
        <item x="237"/>
        <item x="238"/>
        <item x="7"/>
        <item x="8"/>
        <item x="9"/>
        <item x="65"/>
        <item x="10"/>
        <item x="11"/>
        <item x="13"/>
        <item x="14"/>
        <item x="15"/>
        <item x="16"/>
        <item x="17"/>
        <item x="18"/>
        <item x="122"/>
        <item x="123"/>
        <item x="124"/>
        <item x="125"/>
        <item x="66"/>
        <item x="126"/>
        <item x="127"/>
        <item x="128"/>
        <item x="130"/>
        <item x="131"/>
        <item x="133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67"/>
        <item x="251"/>
        <item x="252"/>
        <item x="19"/>
        <item x="20"/>
        <item x="68"/>
        <item x="21"/>
        <item x="23"/>
        <item x="25"/>
        <item x="26"/>
        <item x="134"/>
        <item x="135"/>
        <item x="136"/>
        <item x="69"/>
        <item x="138"/>
        <item x="139"/>
        <item x="141"/>
        <item x="142"/>
        <item x="143"/>
        <item x="70"/>
        <item x="144"/>
        <item x="253"/>
        <item x="254"/>
        <item x="255"/>
        <item x="256"/>
        <item x="257"/>
        <item x="258"/>
        <item x="259"/>
        <item x="71"/>
        <item x="260"/>
        <item x="261"/>
        <item x="262"/>
        <item x="263"/>
        <item x="72"/>
        <item x="264"/>
        <item x="265"/>
        <item x="27"/>
        <item x="28"/>
        <item x="29"/>
        <item x="30"/>
        <item x="31"/>
        <item x="32"/>
        <item x="73"/>
        <item x="33"/>
        <item x="34"/>
        <item x="35"/>
        <item x="36"/>
        <item x="74"/>
        <item x="266"/>
        <item x="267"/>
        <item x="268"/>
        <item x="269"/>
        <item x="270"/>
        <item x="271"/>
        <item x="272"/>
        <item x="37"/>
        <item x="75"/>
        <item x="38"/>
        <item x="76"/>
        <item x="39"/>
        <item x="40"/>
        <item x="41"/>
        <item x="273"/>
        <item x="274"/>
        <item x="77"/>
        <item x="275"/>
        <item x="276"/>
        <item x="277"/>
        <item x="278"/>
        <item x="279"/>
        <item x="280"/>
        <item x="81"/>
        <item x="281"/>
        <item x="42"/>
        <item x="43"/>
        <item x="44"/>
        <item x="86"/>
        <item x="45"/>
        <item x="46"/>
        <item x="89"/>
        <item x="47"/>
        <item x="91"/>
        <item x="146"/>
        <item x="93"/>
        <item x="147"/>
        <item x="282"/>
        <item x="283"/>
        <item x="284"/>
        <item x="285"/>
        <item x="148"/>
        <item x="150"/>
        <item x="152"/>
        <item x="153"/>
        <item x="154"/>
        <item x="155"/>
        <item x="105"/>
        <item x="286"/>
        <item x="287"/>
        <item x="108"/>
        <item x="288"/>
        <item x="289"/>
        <item x="290"/>
        <item x="157"/>
        <item x="113"/>
        <item x="158"/>
        <item x="159"/>
        <item x="160"/>
        <item x="117"/>
        <item x="161"/>
        <item x="119"/>
        <item x="162"/>
        <item x="164"/>
        <item x="166"/>
        <item x="168"/>
        <item x="169"/>
        <item x="170"/>
        <item x="171"/>
        <item x="172"/>
        <item x="173"/>
        <item x="129"/>
        <item x="175"/>
        <item x="176"/>
        <item x="132"/>
        <item x="177"/>
        <item x="178"/>
        <item x="179"/>
        <item x="181"/>
        <item x="137"/>
        <item x="182"/>
        <item x="291"/>
        <item x="140"/>
        <item x="292"/>
        <item x="293"/>
        <item x="294"/>
        <item x="295"/>
        <item x="145"/>
        <item x="296"/>
        <item x="297"/>
        <item x="298"/>
        <item x="149"/>
        <item x="299"/>
        <item x="151"/>
        <item x="300"/>
        <item x="301"/>
        <item x="302"/>
        <item x="303"/>
        <item x="156"/>
        <item x="304"/>
        <item x="305"/>
        <item x="306"/>
        <item x="307"/>
        <item x="308"/>
        <item x="48"/>
        <item x="163"/>
        <item x="50"/>
        <item x="165"/>
        <item x="51"/>
        <item x="167"/>
        <item x="52"/>
        <item x="309"/>
        <item x="310"/>
        <item x="311"/>
        <item x="312"/>
        <item x="313"/>
        <item x="174"/>
        <item x="314"/>
        <item x="315"/>
        <item x="316"/>
        <item x="317"/>
        <item x="318"/>
        <item x="180"/>
        <item x="53"/>
        <item x="54"/>
        <item x="55"/>
        <item x="56"/>
        <item x="57"/>
        <item x="186"/>
        <item x="59"/>
        <item x="60"/>
        <item x="61"/>
        <item x="190"/>
        <item x="62"/>
        <item x="183"/>
        <item x="184"/>
        <item x="185"/>
        <item x="187"/>
        <item x="188"/>
        <item x="189"/>
        <item x="191"/>
        <item x="192"/>
        <item x="193"/>
        <item x="195"/>
        <item x="194"/>
        <item x="319"/>
        <item x="320"/>
        <item x="196"/>
        <item x="321"/>
        <item x="322"/>
        <item x="323"/>
        <item x="324"/>
        <item x="325"/>
        <item x="326"/>
        <item x="197"/>
        <item x="327"/>
        <item x="328"/>
        <item x="329"/>
        <item x="330"/>
        <item x="3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2">
        <item x="0"/>
        <item x="10"/>
        <item x="8"/>
        <item x="2"/>
        <item x="6"/>
        <item x="9"/>
        <item x="5"/>
        <item x="3"/>
        <item x="7"/>
        <item x="4"/>
        <item x="1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1">
        <item x="10"/>
        <item x="0"/>
        <item x="11"/>
        <item x="9"/>
        <item x="2"/>
        <item x="14"/>
        <item x="6"/>
        <item x="18"/>
        <item x="5"/>
        <item x="15"/>
        <item x="17"/>
        <item x="4"/>
        <item x="8"/>
        <item x="1"/>
        <item x="12"/>
        <item x="13"/>
        <item x="16"/>
        <item x="7"/>
        <item x="19"/>
        <item x="3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0"/>
        <item sd="0" x="1"/>
        <item sd="0" x="2"/>
        <item sd="0" x="3"/>
        <item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sd="0" x="0"/>
        <item sd="0" x="1"/>
        <item sd="0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filters count="1">
    <filter fld="0" type="dateBetween" evalOrder="-1" id="23" name="date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A1477-789A-4691-9FED-5DD495738A63}" name="CityReport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rowHeaderCaption="City">
  <location ref="A4:C14" firstHeaderRow="1" firstDataRow="1" firstDataCol="2"/>
  <pivotFields count="5">
    <pivotField compact="0" outline="0" showAll="0" defaultSubtotal="0"/>
    <pivotField axis="axisRow" compact="0" outline="0" multipleItemSelectionAllowed="1" showAll="0" defaultSubtotal="0">
      <items count="3">
        <item x="0"/>
        <item x="1"/>
        <item h="1" x="2"/>
      </items>
    </pivotField>
    <pivotField axis="axisRow" compact="0" outline="0" showAll="0" defaultSubtotal="0">
      <items count="5">
        <item x="3"/>
        <item x="2"/>
        <item x="0"/>
        <item x="1"/>
        <item x="4"/>
      </items>
    </pivotField>
    <pivotField compact="0" outline="0" showAll="0" defaultSubtotal="0"/>
    <pivotField dataField="1" compact="0" outline="0" showAll="0" defaultSubtotal="0"/>
  </pivotFields>
  <rowFields count="2">
    <field x="2"/>
    <field x="1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3659F-D27B-4933-BFEC-E3571021E6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28EF3-E4F0-477F-8785-C3ABAE9FFFBD}" name="Table1" displayName="Table1" ref="A3:N27" totalsRowShown="0">
  <autoFilter ref="A3:N27" xr:uid="{1A928EF3-E4F0-477F-8785-C3ABAE9FFFBD}"/>
  <tableColumns count="14">
    <tableColumn id="1" xr3:uid="{BF621F6E-AA2F-4FF6-B770-65B99244E36B}" name="date" dataDxfId="9"/>
    <tableColumn id="2" xr3:uid="{9E42181E-D6FB-4969-884A-6CBE0AEBC19F}" name="Month"/>
    <tableColumn id="3" xr3:uid="{0913E2CF-3DD6-4407-9472-DE56F8D5EFE5}" name="Name"/>
    <tableColumn id="4" xr3:uid="{3A43C362-203E-4136-97C7-5876402E54F8}" name="Category"/>
    <tableColumn id="5" xr3:uid="{88AEEEA4-C2F1-4136-B89E-9703FDB878D4}" name="Product Name"/>
    <tableColumn id="6" xr3:uid="{5FC66D53-4938-4794-BFDA-2F23C772DDDA}" name="State"/>
    <tableColumn id="7" xr3:uid="{30D472B6-803D-48F3-9B12-BB65D4BF2B4D}" name="Gender"/>
    <tableColumn id="8" xr3:uid="{C46C76F3-E91B-4F45-A843-DC85CCD952BC}" name="Quantity"/>
    <tableColumn id="9" xr3:uid="{486C8865-FA2F-419F-9993-EBCAECF0FB21}" name="Cost"/>
    <tableColumn id="10" xr3:uid="{085B9BEA-53A5-4B86-911A-D83309E38FA7}" name="Price"/>
    <tableColumn id="11" xr3:uid="{BE55E61A-883F-403B-BC0F-9E3898D17953}" name="Purchase Cost"/>
    <tableColumn id="12" xr3:uid="{4211BA23-B84E-4F35-B833-1D6C365B7532}" name="Sale Price"/>
    <tableColumn id="13" xr3:uid="{BA76EA37-4E23-4CD5-87B8-1C0FFFCE52C6}" name="Profit"/>
    <tableColumn id="14" xr3:uid="{DCEDDA3F-AB29-43F4-8CAC-36B6F9CF8E53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1CC3B-B607-43A5-966F-EB9B51EF567F}" name="Table2" displayName="Table2" ref="D1:H52" totalsRowShown="0" headerRowDxfId="8" dataDxfId="6" headerRowBorderDxfId="7" tableBorderDxfId="5">
  <autoFilter ref="D1:H52" xr:uid="{8BB1CC3B-B607-43A5-966F-EB9B51EF567F}"/>
  <tableColumns count="5">
    <tableColumn id="1" xr3:uid="{D85F5B7E-3348-42A0-AAC5-9BB6E7020AB8}" name="Party Name" dataDxfId="4"/>
    <tableColumn id="2" xr3:uid="{0029742F-B799-4CF2-A393-120860A767F7}" name="Product Name" dataDxfId="3"/>
    <tableColumn id="3" xr3:uid="{F9122730-F86A-4FF1-B685-F35B5D86B15E}" name="City" dataDxfId="2"/>
    <tableColumn id="4" xr3:uid="{A40AAE55-5EF7-429F-8D60-602450E504B6}" name="Gender" dataDxfId="1"/>
    <tableColumn id="5" xr3:uid="{7C32EB2E-D030-4C80-B1B2-E91A1AD23CA5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5500-DEB2-4E0A-9F94-47396F016850}">
  <sheetPr>
    <tabColor theme="4" tint="-0.249977111117893"/>
  </sheetPr>
  <dimension ref="A6:B20"/>
  <sheetViews>
    <sheetView topLeftCell="A6" zoomScale="220" zoomScaleNormal="220" workbookViewId="0">
      <selection activeCell="A3" sqref="A3"/>
    </sheetView>
  </sheetViews>
  <sheetFormatPr defaultRowHeight="14.4" x14ac:dyDescent="0.3"/>
  <cols>
    <col min="1" max="1" width="15.21875" bestFit="1" customWidth="1"/>
    <col min="2" max="2" width="15.109375" bestFit="1" customWidth="1"/>
    <col min="3" max="3" width="15.21875" bestFit="1" customWidth="1"/>
    <col min="4" max="6" width="15.109375" bestFit="1" customWidth="1"/>
    <col min="7" max="22" width="15.88671875" bestFit="1" customWidth="1"/>
    <col min="23" max="23" width="10.77734375" bestFit="1" customWidth="1"/>
  </cols>
  <sheetData>
    <row r="6" spans="1:2" x14ac:dyDescent="0.3">
      <c r="A6" s="15" t="s">
        <v>4</v>
      </c>
      <c r="B6" t="s">
        <v>412</v>
      </c>
    </row>
    <row r="7" spans="1:2" x14ac:dyDescent="0.3">
      <c r="A7" t="s">
        <v>17</v>
      </c>
      <c r="B7">
        <v>1023983</v>
      </c>
    </row>
    <row r="8" spans="1:2" x14ac:dyDescent="0.3">
      <c r="A8" t="s">
        <v>387</v>
      </c>
      <c r="B8">
        <v>137206</v>
      </c>
    </row>
    <row r="9" spans="1:2" x14ac:dyDescent="0.3">
      <c r="A9" t="s">
        <v>133</v>
      </c>
      <c r="B9">
        <v>515464</v>
      </c>
    </row>
    <row r="10" spans="1:2" x14ac:dyDescent="0.3">
      <c r="A10" t="s">
        <v>37</v>
      </c>
      <c r="B10">
        <v>2732908</v>
      </c>
    </row>
    <row r="11" spans="1:2" x14ac:dyDescent="0.3">
      <c r="A11" t="s">
        <v>118</v>
      </c>
      <c r="B11">
        <v>4793940</v>
      </c>
    </row>
    <row r="12" spans="1:2" x14ac:dyDescent="0.3">
      <c r="A12" t="s">
        <v>163</v>
      </c>
      <c r="B12">
        <v>3327327</v>
      </c>
    </row>
    <row r="13" spans="1:2" x14ac:dyDescent="0.3">
      <c r="A13" t="s">
        <v>99</v>
      </c>
      <c r="B13">
        <v>18061053</v>
      </c>
    </row>
    <row r="14" spans="1:2" x14ac:dyDescent="0.3">
      <c r="A14" t="s">
        <v>47</v>
      </c>
      <c r="B14">
        <v>1182418</v>
      </c>
    </row>
    <row r="15" spans="1:2" x14ac:dyDescent="0.3">
      <c r="A15" t="s">
        <v>120</v>
      </c>
      <c r="B15">
        <v>14643730</v>
      </c>
    </row>
    <row r="16" spans="1:2" x14ac:dyDescent="0.3">
      <c r="A16" t="s">
        <v>63</v>
      </c>
      <c r="B16">
        <v>2530939</v>
      </c>
    </row>
    <row r="17" spans="1:2" x14ac:dyDescent="0.3">
      <c r="A17" t="s">
        <v>34</v>
      </c>
      <c r="B17">
        <v>1985667</v>
      </c>
    </row>
    <row r="18" spans="1:2" x14ac:dyDescent="0.3">
      <c r="A18" t="s">
        <v>413</v>
      </c>
    </row>
    <row r="19" spans="1:2" x14ac:dyDescent="0.3">
      <c r="A19" t="s">
        <v>417</v>
      </c>
      <c r="B19">
        <v>74576</v>
      </c>
    </row>
    <row r="20" spans="1:2" x14ac:dyDescent="0.3">
      <c r="A20" t="s">
        <v>406</v>
      </c>
      <c r="B20">
        <v>51009211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4755-8916-4D1A-BBCB-020BDCB61B5A}">
  <dimension ref="A1:N27"/>
  <sheetViews>
    <sheetView workbookViewId="0">
      <selection activeCell="A2" sqref="A2"/>
    </sheetView>
  </sheetViews>
  <sheetFormatPr defaultRowHeight="14.4" x14ac:dyDescent="0.3"/>
  <cols>
    <col min="1" max="1" width="12" customWidth="1"/>
    <col min="2" max="2" width="11.5546875" customWidth="1"/>
    <col min="3" max="3" width="22.33203125" bestFit="1" customWidth="1"/>
    <col min="4" max="4" width="10.5546875" bestFit="1" customWidth="1"/>
    <col min="5" max="5" width="15.21875" bestFit="1" customWidth="1"/>
    <col min="6" max="6" width="15.77734375" bestFit="1" customWidth="1"/>
    <col min="7" max="7" width="9.21875" bestFit="1" customWidth="1"/>
    <col min="8" max="8" width="10.44140625" bestFit="1" customWidth="1"/>
    <col min="9" max="10" width="8.77734375" bestFit="1" customWidth="1"/>
    <col min="11" max="11" width="14.88671875" bestFit="1" customWidth="1"/>
    <col min="12" max="12" width="11" bestFit="1" customWidth="1"/>
    <col min="13" max="14" width="8.77734375" bestFit="1" customWidth="1"/>
  </cols>
  <sheetData>
    <row r="1" spans="1:14" x14ac:dyDescent="0.3">
      <c r="A1" s="19" t="s">
        <v>416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s="20">
        <v>45595</v>
      </c>
      <c r="B4" t="s">
        <v>85</v>
      </c>
      <c r="C4" t="s">
        <v>342</v>
      </c>
      <c r="D4" t="s">
        <v>33</v>
      </c>
      <c r="E4" t="s">
        <v>34</v>
      </c>
      <c r="F4" t="s">
        <v>155</v>
      </c>
      <c r="G4" t="s">
        <v>28</v>
      </c>
      <c r="H4">
        <v>97</v>
      </c>
      <c r="I4">
        <v>654</v>
      </c>
      <c r="J4">
        <v>839</v>
      </c>
      <c r="K4">
        <v>63438</v>
      </c>
      <c r="L4">
        <v>81383</v>
      </c>
      <c r="M4">
        <v>17945</v>
      </c>
      <c r="N4" t="s">
        <v>414</v>
      </c>
    </row>
    <row r="5" spans="1:14" x14ac:dyDescent="0.3">
      <c r="A5" s="20">
        <v>45594</v>
      </c>
      <c r="B5" t="s">
        <v>85</v>
      </c>
      <c r="C5" t="s">
        <v>341</v>
      </c>
      <c r="D5" t="s">
        <v>33</v>
      </c>
      <c r="E5" t="s">
        <v>34</v>
      </c>
      <c r="F5" t="s">
        <v>153</v>
      </c>
      <c r="G5" t="s">
        <v>19</v>
      </c>
      <c r="H5">
        <v>66</v>
      </c>
      <c r="I5">
        <v>701</v>
      </c>
      <c r="J5">
        <v>1204</v>
      </c>
      <c r="K5">
        <v>46266</v>
      </c>
      <c r="L5">
        <v>79464</v>
      </c>
      <c r="M5">
        <v>33198</v>
      </c>
      <c r="N5" t="s">
        <v>414</v>
      </c>
    </row>
    <row r="6" spans="1:14" x14ac:dyDescent="0.3">
      <c r="A6" s="20">
        <v>45593</v>
      </c>
      <c r="B6" t="s">
        <v>85</v>
      </c>
      <c r="C6" t="s">
        <v>340</v>
      </c>
      <c r="D6" t="s">
        <v>33</v>
      </c>
      <c r="E6" t="s">
        <v>34</v>
      </c>
      <c r="F6" t="s">
        <v>44</v>
      </c>
      <c r="G6" t="s">
        <v>28</v>
      </c>
      <c r="H6">
        <v>52</v>
      </c>
      <c r="I6">
        <v>509</v>
      </c>
      <c r="J6">
        <v>764</v>
      </c>
      <c r="K6">
        <v>26468</v>
      </c>
      <c r="L6">
        <v>39728</v>
      </c>
      <c r="M6">
        <v>13260</v>
      </c>
      <c r="N6" t="s">
        <v>414</v>
      </c>
    </row>
    <row r="7" spans="1:14" x14ac:dyDescent="0.3">
      <c r="A7" s="20">
        <v>45592</v>
      </c>
      <c r="B7" t="s">
        <v>85</v>
      </c>
      <c r="C7" t="s">
        <v>339</v>
      </c>
      <c r="D7" t="s">
        <v>33</v>
      </c>
      <c r="E7" t="s">
        <v>34</v>
      </c>
      <c r="F7" t="s">
        <v>113</v>
      </c>
      <c r="G7" t="s">
        <v>28</v>
      </c>
      <c r="H7">
        <v>71</v>
      </c>
      <c r="I7">
        <v>777</v>
      </c>
      <c r="J7">
        <v>1034</v>
      </c>
      <c r="K7">
        <v>55167</v>
      </c>
      <c r="L7">
        <v>73414</v>
      </c>
      <c r="M7">
        <v>18247</v>
      </c>
      <c r="N7" t="s">
        <v>414</v>
      </c>
    </row>
    <row r="8" spans="1:14" x14ac:dyDescent="0.3">
      <c r="A8" s="20">
        <v>45390</v>
      </c>
      <c r="B8" t="s">
        <v>31</v>
      </c>
      <c r="C8" t="s">
        <v>257</v>
      </c>
      <c r="D8" t="s">
        <v>33</v>
      </c>
      <c r="E8" t="s">
        <v>34</v>
      </c>
      <c r="F8" t="s">
        <v>44</v>
      </c>
      <c r="G8" t="s">
        <v>28</v>
      </c>
      <c r="H8">
        <v>79</v>
      </c>
      <c r="I8">
        <v>632</v>
      </c>
      <c r="J8">
        <v>1271</v>
      </c>
      <c r="K8">
        <v>49928</v>
      </c>
      <c r="L8">
        <v>100409</v>
      </c>
      <c r="M8">
        <v>50481</v>
      </c>
      <c r="N8" t="s">
        <v>414</v>
      </c>
    </row>
    <row r="9" spans="1:14" x14ac:dyDescent="0.3">
      <c r="A9" s="20">
        <v>45388</v>
      </c>
      <c r="B9" t="s">
        <v>31</v>
      </c>
      <c r="C9" t="s">
        <v>256</v>
      </c>
      <c r="D9" t="s">
        <v>33</v>
      </c>
      <c r="E9" t="s">
        <v>34</v>
      </c>
      <c r="F9" t="s">
        <v>78</v>
      </c>
      <c r="G9" t="s">
        <v>28</v>
      </c>
      <c r="H9">
        <v>100</v>
      </c>
      <c r="I9">
        <v>893</v>
      </c>
      <c r="J9">
        <v>1460</v>
      </c>
      <c r="K9">
        <v>89300</v>
      </c>
      <c r="L9">
        <v>146000</v>
      </c>
      <c r="M9">
        <v>56700</v>
      </c>
      <c r="N9" t="s">
        <v>414</v>
      </c>
    </row>
    <row r="10" spans="1:14" x14ac:dyDescent="0.3">
      <c r="A10" s="20">
        <v>45389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28</v>
      </c>
      <c r="H10">
        <v>55</v>
      </c>
      <c r="I10">
        <v>637</v>
      </c>
      <c r="J10">
        <v>1143</v>
      </c>
      <c r="K10">
        <v>35035</v>
      </c>
      <c r="L10">
        <v>62865</v>
      </c>
      <c r="M10">
        <v>27830</v>
      </c>
      <c r="N10" t="s">
        <v>414</v>
      </c>
    </row>
    <row r="11" spans="1:14" x14ac:dyDescent="0.3">
      <c r="A11" s="20">
        <v>45387</v>
      </c>
      <c r="B11" t="s">
        <v>31</v>
      </c>
      <c r="C11" t="s">
        <v>255</v>
      </c>
      <c r="D11" t="s">
        <v>33</v>
      </c>
      <c r="E11" t="s">
        <v>34</v>
      </c>
      <c r="F11" t="s">
        <v>76</v>
      </c>
      <c r="G11" t="s">
        <v>28</v>
      </c>
      <c r="H11">
        <v>65</v>
      </c>
      <c r="I11">
        <v>816</v>
      </c>
      <c r="J11">
        <v>1347</v>
      </c>
      <c r="K11">
        <v>53040</v>
      </c>
      <c r="L11">
        <v>87555</v>
      </c>
      <c r="M11">
        <v>34515</v>
      </c>
      <c r="N11" t="s">
        <v>414</v>
      </c>
    </row>
    <row r="12" spans="1:14" x14ac:dyDescent="0.3">
      <c r="A12" s="20">
        <v>45595</v>
      </c>
      <c r="B12" t="s">
        <v>85</v>
      </c>
      <c r="C12" t="s">
        <v>342</v>
      </c>
      <c r="D12" t="s">
        <v>33</v>
      </c>
      <c r="E12" t="s">
        <v>34</v>
      </c>
      <c r="F12" t="s">
        <v>155</v>
      </c>
      <c r="G12" t="s">
        <v>28</v>
      </c>
      <c r="H12">
        <v>88</v>
      </c>
      <c r="I12">
        <v>552</v>
      </c>
      <c r="J12">
        <v>1422</v>
      </c>
      <c r="K12">
        <v>48576</v>
      </c>
      <c r="L12">
        <v>125136</v>
      </c>
      <c r="M12">
        <v>76560</v>
      </c>
      <c r="N12" t="s">
        <v>414</v>
      </c>
    </row>
    <row r="13" spans="1:14" x14ac:dyDescent="0.3">
      <c r="A13" s="20">
        <v>45594</v>
      </c>
      <c r="B13" t="s">
        <v>85</v>
      </c>
      <c r="C13" t="s">
        <v>341</v>
      </c>
      <c r="D13" t="s">
        <v>33</v>
      </c>
      <c r="E13" t="s">
        <v>34</v>
      </c>
      <c r="F13" t="s">
        <v>153</v>
      </c>
      <c r="G13" t="s">
        <v>19</v>
      </c>
      <c r="H13">
        <v>99</v>
      </c>
      <c r="I13">
        <v>880</v>
      </c>
      <c r="J13">
        <v>1318</v>
      </c>
      <c r="K13">
        <v>87120</v>
      </c>
      <c r="L13">
        <v>130482</v>
      </c>
      <c r="M13">
        <v>43362</v>
      </c>
      <c r="N13" t="s">
        <v>414</v>
      </c>
    </row>
    <row r="14" spans="1:14" x14ac:dyDescent="0.3">
      <c r="A14" s="20">
        <v>45593</v>
      </c>
      <c r="B14" t="s">
        <v>85</v>
      </c>
      <c r="C14" t="s">
        <v>340</v>
      </c>
      <c r="D14" t="s">
        <v>33</v>
      </c>
      <c r="E14" t="s">
        <v>34</v>
      </c>
      <c r="F14" t="s">
        <v>44</v>
      </c>
      <c r="G14" t="s">
        <v>28</v>
      </c>
      <c r="H14">
        <v>60</v>
      </c>
      <c r="I14">
        <v>729</v>
      </c>
      <c r="J14">
        <v>759</v>
      </c>
      <c r="K14">
        <v>43740</v>
      </c>
      <c r="L14">
        <v>45540</v>
      </c>
      <c r="M14">
        <v>1800</v>
      </c>
      <c r="N14" t="s">
        <v>414</v>
      </c>
    </row>
    <row r="15" spans="1:14" x14ac:dyDescent="0.3">
      <c r="A15" s="20">
        <v>45592</v>
      </c>
      <c r="B15" t="s">
        <v>85</v>
      </c>
      <c r="C15" t="s">
        <v>339</v>
      </c>
      <c r="D15" t="s">
        <v>33</v>
      </c>
      <c r="E15" t="s">
        <v>34</v>
      </c>
      <c r="F15" t="s">
        <v>113</v>
      </c>
      <c r="G15" t="s">
        <v>28</v>
      </c>
      <c r="H15">
        <v>69</v>
      </c>
      <c r="I15">
        <v>921</v>
      </c>
      <c r="J15">
        <v>1177</v>
      </c>
      <c r="K15">
        <v>63549</v>
      </c>
      <c r="L15">
        <v>81213</v>
      </c>
      <c r="M15">
        <v>17664</v>
      </c>
      <c r="N15" t="s">
        <v>414</v>
      </c>
    </row>
    <row r="16" spans="1:14" x14ac:dyDescent="0.3">
      <c r="A16" s="20">
        <v>45390</v>
      </c>
      <c r="B16" t="s">
        <v>31</v>
      </c>
      <c r="C16" t="s">
        <v>257</v>
      </c>
      <c r="D16" t="s">
        <v>33</v>
      </c>
      <c r="E16" t="s">
        <v>34</v>
      </c>
      <c r="F16" t="s">
        <v>44</v>
      </c>
      <c r="G16" t="s">
        <v>28</v>
      </c>
      <c r="H16">
        <v>70</v>
      </c>
      <c r="I16">
        <v>878</v>
      </c>
      <c r="J16">
        <v>844</v>
      </c>
      <c r="K16">
        <v>61460</v>
      </c>
      <c r="L16">
        <v>59080</v>
      </c>
      <c r="M16">
        <v>-2380</v>
      </c>
      <c r="N16" t="s">
        <v>415</v>
      </c>
    </row>
    <row r="17" spans="1:14" x14ac:dyDescent="0.3">
      <c r="A17" s="20">
        <v>45388</v>
      </c>
      <c r="B17" t="s">
        <v>31</v>
      </c>
      <c r="C17" t="s">
        <v>256</v>
      </c>
      <c r="D17" t="s">
        <v>33</v>
      </c>
      <c r="E17" t="s">
        <v>34</v>
      </c>
      <c r="F17" t="s">
        <v>78</v>
      </c>
      <c r="G17" t="s">
        <v>28</v>
      </c>
      <c r="H17">
        <v>83</v>
      </c>
      <c r="I17">
        <v>594</v>
      </c>
      <c r="J17">
        <v>852</v>
      </c>
      <c r="K17">
        <v>49302</v>
      </c>
      <c r="L17">
        <v>70716</v>
      </c>
      <c r="M17">
        <v>21414</v>
      </c>
      <c r="N17" t="s">
        <v>414</v>
      </c>
    </row>
    <row r="18" spans="1:14" x14ac:dyDescent="0.3">
      <c r="A18" s="20">
        <v>45387</v>
      </c>
      <c r="B18" t="s">
        <v>31</v>
      </c>
      <c r="C18" t="s">
        <v>255</v>
      </c>
      <c r="D18" t="s">
        <v>33</v>
      </c>
      <c r="E18" t="s">
        <v>34</v>
      </c>
      <c r="F18" t="s">
        <v>76</v>
      </c>
      <c r="G18" t="s">
        <v>28</v>
      </c>
      <c r="H18">
        <v>74</v>
      </c>
      <c r="I18">
        <v>743</v>
      </c>
      <c r="J18">
        <v>1265</v>
      </c>
      <c r="K18">
        <v>54982</v>
      </c>
      <c r="L18">
        <v>93610</v>
      </c>
      <c r="M18">
        <v>38628</v>
      </c>
      <c r="N18" t="s">
        <v>414</v>
      </c>
    </row>
    <row r="19" spans="1:14" x14ac:dyDescent="0.3">
      <c r="A19" s="20">
        <v>45389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28</v>
      </c>
      <c r="H19">
        <v>78</v>
      </c>
      <c r="I19">
        <v>655</v>
      </c>
      <c r="J19">
        <v>790</v>
      </c>
      <c r="K19">
        <v>51090</v>
      </c>
      <c r="L19">
        <v>61620</v>
      </c>
      <c r="M19">
        <v>10530</v>
      </c>
      <c r="N19" t="s">
        <v>414</v>
      </c>
    </row>
    <row r="20" spans="1:14" x14ac:dyDescent="0.3">
      <c r="A20" s="20">
        <v>45595</v>
      </c>
      <c r="B20" t="s">
        <v>85</v>
      </c>
      <c r="C20" t="s">
        <v>342</v>
      </c>
      <c r="D20" t="s">
        <v>33</v>
      </c>
      <c r="E20" t="s">
        <v>34</v>
      </c>
      <c r="F20" t="s">
        <v>155</v>
      </c>
      <c r="G20" t="s">
        <v>28</v>
      </c>
      <c r="H20">
        <v>70</v>
      </c>
      <c r="I20">
        <v>699</v>
      </c>
      <c r="J20">
        <v>1090</v>
      </c>
      <c r="K20">
        <v>48930</v>
      </c>
      <c r="L20">
        <v>76300</v>
      </c>
      <c r="M20">
        <v>27370</v>
      </c>
      <c r="N20" t="s">
        <v>414</v>
      </c>
    </row>
    <row r="21" spans="1:14" x14ac:dyDescent="0.3">
      <c r="A21" s="20">
        <v>45594</v>
      </c>
      <c r="B21" t="s">
        <v>85</v>
      </c>
      <c r="C21" t="s">
        <v>341</v>
      </c>
      <c r="D21" t="s">
        <v>33</v>
      </c>
      <c r="E21" t="s">
        <v>34</v>
      </c>
      <c r="F21" t="s">
        <v>153</v>
      </c>
      <c r="G21" t="s">
        <v>19</v>
      </c>
      <c r="H21">
        <v>73</v>
      </c>
      <c r="I21">
        <v>801</v>
      </c>
      <c r="J21">
        <v>1092</v>
      </c>
      <c r="K21">
        <v>58473</v>
      </c>
      <c r="L21">
        <v>79716</v>
      </c>
      <c r="M21">
        <v>21243</v>
      </c>
      <c r="N21" t="s">
        <v>414</v>
      </c>
    </row>
    <row r="22" spans="1:14" x14ac:dyDescent="0.3">
      <c r="A22" s="20">
        <v>45593</v>
      </c>
      <c r="B22" t="s">
        <v>85</v>
      </c>
      <c r="C22" t="s">
        <v>340</v>
      </c>
      <c r="D22" t="s">
        <v>33</v>
      </c>
      <c r="E22" t="s">
        <v>34</v>
      </c>
      <c r="F22" t="s">
        <v>44</v>
      </c>
      <c r="G22" t="s">
        <v>28</v>
      </c>
      <c r="H22">
        <v>86</v>
      </c>
      <c r="I22">
        <v>949</v>
      </c>
      <c r="J22">
        <v>924</v>
      </c>
      <c r="K22">
        <v>81614</v>
      </c>
      <c r="L22">
        <v>79464</v>
      </c>
      <c r="M22">
        <v>-2150</v>
      </c>
      <c r="N22" t="s">
        <v>415</v>
      </c>
    </row>
    <row r="23" spans="1:14" x14ac:dyDescent="0.3">
      <c r="A23" s="20">
        <v>45592</v>
      </c>
      <c r="B23" t="s">
        <v>85</v>
      </c>
      <c r="C23" t="s">
        <v>339</v>
      </c>
      <c r="D23" t="s">
        <v>33</v>
      </c>
      <c r="E23" t="s">
        <v>34</v>
      </c>
      <c r="F23" t="s">
        <v>113</v>
      </c>
      <c r="G23" t="s">
        <v>28</v>
      </c>
      <c r="H23">
        <v>95</v>
      </c>
      <c r="I23">
        <v>845</v>
      </c>
      <c r="J23">
        <v>1102</v>
      </c>
      <c r="K23">
        <v>80275</v>
      </c>
      <c r="L23">
        <v>104690</v>
      </c>
      <c r="M23">
        <v>24415</v>
      </c>
      <c r="N23" t="s">
        <v>414</v>
      </c>
    </row>
    <row r="24" spans="1:14" x14ac:dyDescent="0.3">
      <c r="A24" s="20">
        <v>45390</v>
      </c>
      <c r="B24" t="s">
        <v>31</v>
      </c>
      <c r="C24" t="s">
        <v>257</v>
      </c>
      <c r="D24" t="s">
        <v>33</v>
      </c>
      <c r="E24" t="s">
        <v>34</v>
      </c>
      <c r="F24" t="s">
        <v>44</v>
      </c>
      <c r="G24" t="s">
        <v>28</v>
      </c>
      <c r="H24">
        <v>51</v>
      </c>
      <c r="I24">
        <v>847</v>
      </c>
      <c r="J24">
        <v>972</v>
      </c>
      <c r="K24">
        <v>43197</v>
      </c>
      <c r="L24">
        <v>49572</v>
      </c>
      <c r="M24">
        <v>6375</v>
      </c>
      <c r="N24" t="s">
        <v>414</v>
      </c>
    </row>
    <row r="25" spans="1:14" x14ac:dyDescent="0.3">
      <c r="A25" s="20">
        <v>45388</v>
      </c>
      <c r="B25" t="s">
        <v>31</v>
      </c>
      <c r="C25" t="s">
        <v>256</v>
      </c>
      <c r="D25" t="s">
        <v>33</v>
      </c>
      <c r="E25" t="s">
        <v>34</v>
      </c>
      <c r="F25" t="s">
        <v>78</v>
      </c>
      <c r="G25" t="s">
        <v>28</v>
      </c>
      <c r="H25">
        <v>84</v>
      </c>
      <c r="I25">
        <v>784</v>
      </c>
      <c r="J25">
        <v>965</v>
      </c>
      <c r="K25">
        <v>65856</v>
      </c>
      <c r="L25">
        <v>81060</v>
      </c>
      <c r="M25">
        <v>15204</v>
      </c>
      <c r="N25" t="s">
        <v>414</v>
      </c>
    </row>
    <row r="26" spans="1:14" x14ac:dyDescent="0.3">
      <c r="A26" s="20">
        <v>45387</v>
      </c>
      <c r="B26" t="s">
        <v>31</v>
      </c>
      <c r="C26" t="s">
        <v>255</v>
      </c>
      <c r="D26" t="s">
        <v>33</v>
      </c>
      <c r="E26" t="s">
        <v>34</v>
      </c>
      <c r="F26" t="s">
        <v>76</v>
      </c>
      <c r="G26" t="s">
        <v>28</v>
      </c>
      <c r="H26">
        <v>95</v>
      </c>
      <c r="I26">
        <v>936</v>
      </c>
      <c r="J26">
        <v>1350</v>
      </c>
      <c r="K26">
        <v>88920</v>
      </c>
      <c r="L26">
        <v>128250</v>
      </c>
      <c r="M26">
        <v>39330</v>
      </c>
      <c r="N26" t="s">
        <v>414</v>
      </c>
    </row>
    <row r="27" spans="1:14" x14ac:dyDescent="0.3">
      <c r="A27" s="20">
        <v>45389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28</v>
      </c>
      <c r="H27">
        <v>55</v>
      </c>
      <c r="I27">
        <v>906</v>
      </c>
      <c r="J27">
        <v>880</v>
      </c>
      <c r="K27">
        <v>49830</v>
      </c>
      <c r="L27">
        <v>48400</v>
      </c>
      <c r="M27">
        <v>-1430</v>
      </c>
      <c r="N27" t="s">
        <v>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50DC-92B9-4E65-B15F-B4F32B42894D}">
  <sheetPr>
    <tabColor rgb="FFFFFF00"/>
  </sheetPr>
  <dimension ref="A6:M58"/>
  <sheetViews>
    <sheetView topLeftCell="A77" zoomScale="160" zoomScaleNormal="160" workbookViewId="0">
      <selection activeCell="A36" sqref="A36:B56"/>
    </sheetView>
  </sheetViews>
  <sheetFormatPr defaultRowHeight="14.4" x14ac:dyDescent="0.3"/>
  <cols>
    <col min="1" max="1" width="15.77734375" bestFit="1" customWidth="1"/>
    <col min="2" max="3" width="11.77734375" bestFit="1" customWidth="1"/>
    <col min="4" max="7" width="12.88671875" bestFit="1" customWidth="1"/>
    <col min="8" max="12" width="15.21875" bestFit="1" customWidth="1"/>
    <col min="13" max="14" width="10.77734375" bestFit="1" customWidth="1"/>
    <col min="15" max="22" width="15.21875" bestFit="1" customWidth="1"/>
    <col min="23" max="23" width="10.77734375" bestFit="1" customWidth="1"/>
    <col min="24" max="25" width="7.21875" bestFit="1" customWidth="1"/>
    <col min="26" max="26" width="8.77734375" bestFit="1" customWidth="1"/>
    <col min="27" max="28" width="6.88671875" bestFit="1" customWidth="1"/>
    <col min="29" max="29" width="7.77734375" bestFit="1" customWidth="1"/>
    <col min="30" max="31" width="15.5546875" bestFit="1" customWidth="1"/>
    <col min="32" max="32" width="17.21875" bestFit="1" customWidth="1"/>
    <col min="33" max="34" width="16.77734375" bestFit="1" customWidth="1"/>
    <col min="35" max="35" width="18.44140625" bestFit="1" customWidth="1"/>
    <col min="36" max="36" width="9.21875" bestFit="1" customWidth="1"/>
    <col min="37" max="39" width="10.77734375" bestFit="1" customWidth="1"/>
    <col min="40" max="40" width="12.33203125" bestFit="1" customWidth="1"/>
    <col min="41" max="42" width="14.21875" bestFit="1" customWidth="1"/>
    <col min="43" max="43" width="15.88671875" bestFit="1" customWidth="1"/>
    <col min="44" max="45" width="9.77734375" bestFit="1" customWidth="1"/>
    <col min="46" max="46" width="11.33203125" bestFit="1" customWidth="1"/>
    <col min="47" max="48" width="13.21875" bestFit="1" customWidth="1"/>
    <col min="49" max="49" width="14.77734375" bestFit="1" customWidth="1"/>
    <col min="50" max="51" width="9" bestFit="1" customWidth="1"/>
    <col min="52" max="52" width="10.21875" bestFit="1" customWidth="1"/>
    <col min="53" max="54" width="10.77734375" bestFit="1" customWidth="1"/>
    <col min="55" max="55" width="12.21875" bestFit="1" customWidth="1"/>
    <col min="56" max="57" width="8" bestFit="1" customWidth="1"/>
    <col min="58" max="58" width="9" bestFit="1" customWidth="1"/>
    <col min="59" max="61" width="8" bestFit="1" customWidth="1"/>
    <col min="62" max="63" width="15.5546875" bestFit="1" customWidth="1"/>
    <col min="64" max="64" width="17.21875" bestFit="1" customWidth="1"/>
    <col min="65" max="65" width="20.109375" bestFit="1" customWidth="1"/>
    <col min="66" max="67" width="21.109375" bestFit="1" customWidth="1"/>
  </cols>
  <sheetData>
    <row r="6" spans="1:7" x14ac:dyDescent="0.3">
      <c r="A6" s="15" t="s">
        <v>5</v>
      </c>
      <c r="B6" t="s">
        <v>418</v>
      </c>
      <c r="E6" s="22" t="s">
        <v>3</v>
      </c>
      <c r="F6" s="22" t="s">
        <v>4</v>
      </c>
      <c r="G6" s="22" t="s">
        <v>418</v>
      </c>
    </row>
    <row r="7" spans="1:7" x14ac:dyDescent="0.3">
      <c r="A7" t="s">
        <v>52</v>
      </c>
      <c r="B7">
        <v>301266</v>
      </c>
      <c r="E7" s="19" t="s">
        <v>16</v>
      </c>
      <c r="F7" t="s">
        <v>17</v>
      </c>
      <c r="G7" t="e">
        <f>GETPIVOTDATA("Profit",$A$6,"Category",E7,"Product Name",F7)</f>
        <v>#REF!</v>
      </c>
    </row>
    <row r="8" spans="1:7" x14ac:dyDescent="0.3">
      <c r="A8" t="s">
        <v>18</v>
      </c>
      <c r="B8">
        <v>548403</v>
      </c>
      <c r="E8" s="23" t="s">
        <v>16</v>
      </c>
      <c r="F8" t="s">
        <v>37</v>
      </c>
      <c r="G8" t="e">
        <f t="shared" ref="G8:G18" si="0">GETPIVOTDATA("Profit",$A$6,"Category",E8,"Product Name",F8)</f>
        <v>#REF!</v>
      </c>
    </row>
    <row r="9" spans="1:7" x14ac:dyDescent="0.3">
      <c r="A9" t="s">
        <v>54</v>
      </c>
      <c r="B9">
        <v>399259</v>
      </c>
      <c r="E9" s="19" t="s">
        <v>46</v>
      </c>
      <c r="F9" t="s">
        <v>133</v>
      </c>
      <c r="G9" t="e">
        <f t="shared" si="0"/>
        <v>#REF!</v>
      </c>
    </row>
    <row r="10" spans="1:7" x14ac:dyDescent="0.3">
      <c r="A10" t="s">
        <v>49</v>
      </c>
      <c r="B10">
        <v>373255</v>
      </c>
      <c r="E10" s="19" t="s">
        <v>46</v>
      </c>
      <c r="F10" t="s">
        <v>118</v>
      </c>
      <c r="G10" t="e">
        <f t="shared" si="0"/>
        <v>#REF!</v>
      </c>
    </row>
    <row r="11" spans="1:7" x14ac:dyDescent="0.3">
      <c r="A11" t="s">
        <v>23</v>
      </c>
      <c r="B11">
        <v>596183</v>
      </c>
      <c r="E11" s="19" t="s">
        <v>46</v>
      </c>
      <c r="F11" t="s">
        <v>47</v>
      </c>
      <c r="G11" t="e">
        <f t="shared" si="0"/>
        <v>#REF!</v>
      </c>
    </row>
    <row r="12" spans="1:7" x14ac:dyDescent="0.3">
      <c r="A12" t="s">
        <v>71</v>
      </c>
      <c r="B12">
        <v>393650</v>
      </c>
      <c r="E12" s="23" t="s">
        <v>46</v>
      </c>
      <c r="F12" t="s">
        <v>63</v>
      </c>
      <c r="G12" t="e">
        <f t="shared" si="0"/>
        <v>#REF!</v>
      </c>
    </row>
    <row r="13" spans="1:7" x14ac:dyDescent="0.3">
      <c r="A13" t="s">
        <v>35</v>
      </c>
      <c r="B13">
        <v>1008276</v>
      </c>
      <c r="E13" s="19" t="s">
        <v>33</v>
      </c>
      <c r="F13" t="s">
        <v>387</v>
      </c>
      <c r="G13" t="e">
        <f t="shared" si="0"/>
        <v>#REF!</v>
      </c>
    </row>
    <row r="14" spans="1:7" x14ac:dyDescent="0.3">
      <c r="A14" t="s">
        <v>153</v>
      </c>
      <c r="B14">
        <v>816663</v>
      </c>
      <c r="D14" t="s">
        <v>419</v>
      </c>
      <c r="E14" s="19" t="s">
        <v>33</v>
      </c>
      <c r="F14" t="s">
        <v>163</v>
      </c>
      <c r="G14" t="e">
        <f t="shared" si="0"/>
        <v>#REF!</v>
      </c>
    </row>
    <row r="15" spans="1:7" x14ac:dyDescent="0.3">
      <c r="A15" t="s">
        <v>30</v>
      </c>
      <c r="B15">
        <v>1133104</v>
      </c>
      <c r="E15" s="19" t="s">
        <v>33</v>
      </c>
      <c r="F15" t="s">
        <v>99</v>
      </c>
      <c r="G15" t="e">
        <f t="shared" si="0"/>
        <v>#REF!</v>
      </c>
    </row>
    <row r="16" spans="1:7" x14ac:dyDescent="0.3">
      <c r="A16" t="s">
        <v>76</v>
      </c>
      <c r="B16">
        <v>864313</v>
      </c>
      <c r="E16" s="19" t="s">
        <v>33</v>
      </c>
      <c r="F16" t="s">
        <v>120</v>
      </c>
      <c r="G16" t="e">
        <f t="shared" si="0"/>
        <v>#REF!</v>
      </c>
    </row>
    <row r="17" spans="1:7" x14ac:dyDescent="0.3">
      <c r="A17" t="s">
        <v>113</v>
      </c>
      <c r="B17">
        <v>540922</v>
      </c>
      <c r="E17" s="23" t="s">
        <v>33</v>
      </c>
      <c r="F17" t="s">
        <v>34</v>
      </c>
      <c r="G17" t="e">
        <f t="shared" si="0"/>
        <v>#REF!</v>
      </c>
    </row>
    <row r="18" spans="1:7" x14ac:dyDescent="0.3">
      <c r="A18" t="s">
        <v>27</v>
      </c>
      <c r="B18">
        <v>836610</v>
      </c>
      <c r="E18" s="23" t="s">
        <v>413</v>
      </c>
      <c r="F18" t="s">
        <v>413</v>
      </c>
      <c r="G18" t="e">
        <f t="shared" si="0"/>
        <v>#REF!</v>
      </c>
    </row>
    <row r="19" spans="1:7" x14ac:dyDescent="0.3">
      <c r="A19" t="s">
        <v>44</v>
      </c>
      <c r="B19">
        <v>1792706</v>
      </c>
      <c r="E19" s="24" t="s">
        <v>406</v>
      </c>
      <c r="F19" s="24"/>
    </row>
    <row r="20" spans="1:7" x14ac:dyDescent="0.3">
      <c r="A20" t="s">
        <v>21</v>
      </c>
      <c r="B20">
        <v>782804</v>
      </c>
    </row>
    <row r="21" spans="1:7" x14ac:dyDescent="0.3">
      <c r="A21" t="s">
        <v>60</v>
      </c>
      <c r="B21">
        <v>913872</v>
      </c>
    </row>
    <row r="22" spans="1:7" x14ac:dyDescent="0.3">
      <c r="A22" t="s">
        <v>64</v>
      </c>
      <c r="B22">
        <v>1256292</v>
      </c>
      <c r="C22" s="22"/>
    </row>
    <row r="23" spans="1:7" x14ac:dyDescent="0.3">
      <c r="A23" t="s">
        <v>78</v>
      </c>
      <c r="B23">
        <v>388578</v>
      </c>
    </row>
    <row r="24" spans="1:7" x14ac:dyDescent="0.3">
      <c r="A24" t="s">
        <v>39</v>
      </c>
      <c r="B24">
        <v>1837718</v>
      </c>
    </row>
    <row r="25" spans="1:7" x14ac:dyDescent="0.3">
      <c r="A25" t="s">
        <v>155</v>
      </c>
      <c r="B25">
        <v>701022</v>
      </c>
    </row>
    <row r="26" spans="1:7" x14ac:dyDescent="0.3">
      <c r="A26" t="s">
        <v>25</v>
      </c>
      <c r="B26">
        <v>1877109</v>
      </c>
    </row>
    <row r="27" spans="1:7" x14ac:dyDescent="0.3">
      <c r="A27" t="s">
        <v>413</v>
      </c>
    </row>
    <row r="28" spans="1:7" x14ac:dyDescent="0.3">
      <c r="A28" t="s">
        <v>406</v>
      </c>
      <c r="B28">
        <v>17362005</v>
      </c>
    </row>
    <row r="33" spans="1:13" x14ac:dyDescent="0.3">
      <c r="I33" s="21"/>
      <c r="J33" s="21"/>
      <c r="K33" s="21"/>
      <c r="L33" s="21"/>
      <c r="M33" s="21"/>
    </row>
    <row r="34" spans="1:13" x14ac:dyDescent="0.3">
      <c r="I34" s="21"/>
      <c r="J34" s="21"/>
      <c r="K34" s="21"/>
      <c r="L34" s="21"/>
      <c r="M34" s="21"/>
    </row>
    <row r="35" spans="1:13" x14ac:dyDescent="0.3">
      <c r="B35" s="24"/>
      <c r="C35" s="24"/>
      <c r="I35" s="21"/>
      <c r="J35" s="21"/>
      <c r="K35" s="21"/>
      <c r="L35" s="21"/>
      <c r="M35" s="21"/>
    </row>
    <row r="36" spans="1:13" x14ac:dyDescent="0.3">
      <c r="A36" s="22" t="s">
        <v>5</v>
      </c>
      <c r="I36" s="21"/>
      <c r="J36" s="21"/>
      <c r="K36" s="21"/>
      <c r="L36" s="21"/>
      <c r="M36" s="21"/>
    </row>
    <row r="37" spans="1:13" x14ac:dyDescent="0.3">
      <c r="A37" t="s">
        <v>52</v>
      </c>
      <c r="B37">
        <f>GETPIVOTDATA("Profit",$A$6,"State",A37)</f>
        <v>301266</v>
      </c>
      <c r="I37" s="21"/>
      <c r="J37" s="21"/>
      <c r="K37" s="21"/>
      <c r="L37" s="21"/>
      <c r="M37" s="21"/>
    </row>
    <row r="38" spans="1:13" x14ac:dyDescent="0.3">
      <c r="A38" t="s">
        <v>18</v>
      </c>
      <c r="B38">
        <f t="shared" ref="B38:B57" si="1">GETPIVOTDATA("Profit",$A$6,"State",A38)</f>
        <v>548403</v>
      </c>
      <c r="I38" s="21"/>
      <c r="J38" s="21"/>
      <c r="K38" s="21"/>
      <c r="L38" s="21"/>
      <c r="M38" s="21"/>
    </row>
    <row r="39" spans="1:13" x14ac:dyDescent="0.3">
      <c r="A39" t="s">
        <v>54</v>
      </c>
      <c r="B39">
        <f t="shared" si="1"/>
        <v>399259</v>
      </c>
      <c r="G39" s="21"/>
      <c r="H39" s="21"/>
      <c r="I39" s="21"/>
      <c r="J39" s="21"/>
      <c r="K39" s="21"/>
      <c r="L39" s="21"/>
      <c r="M39" s="21"/>
    </row>
    <row r="40" spans="1:13" x14ac:dyDescent="0.3">
      <c r="A40" t="s">
        <v>49</v>
      </c>
      <c r="B40">
        <f t="shared" si="1"/>
        <v>373255</v>
      </c>
      <c r="G40" s="21"/>
      <c r="H40" s="21"/>
      <c r="I40" s="21"/>
      <c r="J40" s="21"/>
      <c r="K40" s="21"/>
      <c r="L40" s="21"/>
      <c r="M40" s="21"/>
    </row>
    <row r="41" spans="1:13" x14ac:dyDescent="0.3">
      <c r="A41" t="s">
        <v>23</v>
      </c>
      <c r="B41">
        <f t="shared" si="1"/>
        <v>596183</v>
      </c>
      <c r="G41" s="21"/>
      <c r="H41" s="21"/>
      <c r="I41" s="21"/>
      <c r="J41" s="21"/>
      <c r="K41" s="21"/>
      <c r="L41" s="21"/>
      <c r="M41" s="21"/>
    </row>
    <row r="42" spans="1:13" x14ac:dyDescent="0.3">
      <c r="A42" t="s">
        <v>71</v>
      </c>
      <c r="B42">
        <f t="shared" si="1"/>
        <v>393650</v>
      </c>
    </row>
    <row r="43" spans="1:13" x14ac:dyDescent="0.3">
      <c r="A43" t="s">
        <v>35</v>
      </c>
      <c r="B43">
        <f t="shared" si="1"/>
        <v>1008276</v>
      </c>
    </row>
    <row r="44" spans="1:13" x14ac:dyDescent="0.3">
      <c r="A44" t="s">
        <v>153</v>
      </c>
      <c r="B44">
        <f t="shared" si="1"/>
        <v>816663</v>
      </c>
    </row>
    <row r="45" spans="1:13" x14ac:dyDescent="0.3">
      <c r="A45" t="s">
        <v>30</v>
      </c>
      <c r="B45">
        <f t="shared" si="1"/>
        <v>1133104</v>
      </c>
    </row>
    <row r="46" spans="1:13" x14ac:dyDescent="0.3">
      <c r="A46" t="s">
        <v>76</v>
      </c>
      <c r="B46">
        <f t="shared" si="1"/>
        <v>864313</v>
      </c>
    </row>
    <row r="47" spans="1:13" x14ac:dyDescent="0.3">
      <c r="A47" t="s">
        <v>113</v>
      </c>
      <c r="B47">
        <f t="shared" si="1"/>
        <v>540922</v>
      </c>
    </row>
    <row r="48" spans="1:13" x14ac:dyDescent="0.3">
      <c r="A48" t="s">
        <v>27</v>
      </c>
      <c r="B48">
        <f t="shared" si="1"/>
        <v>836610</v>
      </c>
    </row>
    <row r="49" spans="1:2" x14ac:dyDescent="0.3">
      <c r="A49" t="s">
        <v>44</v>
      </c>
      <c r="B49">
        <f t="shared" si="1"/>
        <v>1792706</v>
      </c>
    </row>
    <row r="50" spans="1:2" x14ac:dyDescent="0.3">
      <c r="A50" t="s">
        <v>21</v>
      </c>
      <c r="B50">
        <f t="shared" si="1"/>
        <v>782804</v>
      </c>
    </row>
    <row r="51" spans="1:2" x14ac:dyDescent="0.3">
      <c r="A51" t="s">
        <v>60</v>
      </c>
      <c r="B51">
        <f t="shared" si="1"/>
        <v>913872</v>
      </c>
    </row>
    <row r="52" spans="1:2" x14ac:dyDescent="0.3">
      <c r="A52" t="s">
        <v>64</v>
      </c>
      <c r="B52">
        <f t="shared" si="1"/>
        <v>1256292</v>
      </c>
    </row>
    <row r="53" spans="1:2" x14ac:dyDescent="0.3">
      <c r="A53" t="s">
        <v>78</v>
      </c>
      <c r="B53">
        <f t="shared" si="1"/>
        <v>388578</v>
      </c>
    </row>
    <row r="54" spans="1:2" x14ac:dyDescent="0.3">
      <c r="A54" t="s">
        <v>39</v>
      </c>
      <c r="B54">
        <f t="shared" si="1"/>
        <v>1837718</v>
      </c>
    </row>
    <row r="55" spans="1:2" x14ac:dyDescent="0.3">
      <c r="A55" t="s">
        <v>155</v>
      </c>
      <c r="B55">
        <f t="shared" si="1"/>
        <v>701022</v>
      </c>
    </row>
    <row r="56" spans="1:2" x14ac:dyDescent="0.3">
      <c r="A56" t="s">
        <v>25</v>
      </c>
      <c r="B56">
        <f t="shared" si="1"/>
        <v>1877109</v>
      </c>
    </row>
    <row r="57" spans="1:2" x14ac:dyDescent="0.3">
      <c r="A57" t="s">
        <v>413</v>
      </c>
      <c r="B57">
        <f t="shared" si="1"/>
        <v>0</v>
      </c>
    </row>
    <row r="58" spans="1:2" x14ac:dyDescent="0.3">
      <c r="A58" s="24" t="s">
        <v>406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352B-1F67-4731-8085-DEBCFCE78200}">
  <sheetPr>
    <tabColor rgb="FFFF0000"/>
    <pageSetUpPr fitToPage="1"/>
  </sheetPr>
  <dimension ref="A1:Q994"/>
  <sheetViews>
    <sheetView zoomScale="75" zoomScaleNormal="130" workbookViewId="0">
      <selection activeCell="A3" sqref="A3"/>
    </sheetView>
  </sheetViews>
  <sheetFormatPr defaultRowHeight="14.4" x14ac:dyDescent="0.3"/>
  <cols>
    <col min="1" max="2" width="18.109375" customWidth="1"/>
    <col min="3" max="3" width="26.6640625" bestFit="1" customWidth="1"/>
    <col min="4" max="4" width="12.44140625" bestFit="1" customWidth="1"/>
    <col min="5" max="5" width="19.21875" bestFit="1" customWidth="1"/>
    <col min="6" max="6" width="16.109375" bestFit="1" customWidth="1"/>
    <col min="7" max="7" width="10.44140625" bestFit="1" customWidth="1"/>
    <col min="8" max="8" width="12.109375" bestFit="1" customWidth="1"/>
    <col min="9" max="9" width="12.109375" customWidth="1"/>
    <col min="10" max="10" width="9.5546875" customWidth="1"/>
    <col min="11" max="11" width="18.77734375" bestFit="1" customWidth="1"/>
    <col min="12" max="12" width="13.44140625" bestFit="1" customWidth="1"/>
    <col min="13" max="14" width="11" bestFit="1" customWidth="1"/>
  </cols>
  <sheetData>
    <row r="1" spans="1:14" ht="28.05" customHeight="1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.6" thickTop="1" thickBot="1" x14ac:dyDescent="0.35">
      <c r="A2" s="4">
        <v>45454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>
        <v>17</v>
      </c>
      <c r="I2" s="5">
        <v>938</v>
      </c>
      <c r="J2" s="5">
        <v>938</v>
      </c>
      <c r="K2" s="6">
        <f t="shared" ref="K2:K65" si="0">H2*I2</f>
        <v>15946</v>
      </c>
      <c r="L2" s="6">
        <f t="shared" ref="L2:L65" si="1">H2*J2</f>
        <v>15946</v>
      </c>
      <c r="M2" s="6">
        <f t="shared" ref="M2:M65" si="2">L2-K2</f>
        <v>0</v>
      </c>
      <c r="N2" s="6" t="str">
        <f t="shared" ref="N2:N65" si="3">IF(M2&gt;0,"profit","loss")</f>
        <v>loss</v>
      </c>
    </row>
    <row r="3" spans="1:14" ht="15.6" thickTop="1" thickBot="1" x14ac:dyDescent="0.35">
      <c r="A3" s="4">
        <v>45455</v>
      </c>
      <c r="B3" s="4" t="s">
        <v>14</v>
      </c>
      <c r="C3" s="5" t="s">
        <v>20</v>
      </c>
      <c r="D3" s="5" t="s">
        <v>16</v>
      </c>
      <c r="E3" s="5" t="s">
        <v>17</v>
      </c>
      <c r="F3" s="5" t="s">
        <v>21</v>
      </c>
      <c r="G3" s="5" t="s">
        <v>19</v>
      </c>
      <c r="H3" s="5">
        <v>18</v>
      </c>
      <c r="I3" s="5">
        <v>920</v>
      </c>
      <c r="J3" s="5">
        <v>1360</v>
      </c>
      <c r="K3" s="6">
        <f t="shared" si="0"/>
        <v>16560</v>
      </c>
      <c r="L3" s="6">
        <f t="shared" si="1"/>
        <v>24480</v>
      </c>
      <c r="M3" s="6">
        <f t="shared" si="2"/>
        <v>7920</v>
      </c>
      <c r="N3" s="6" t="str">
        <f t="shared" si="3"/>
        <v>profit</v>
      </c>
    </row>
    <row r="4" spans="1:14" ht="15.6" thickTop="1" thickBot="1" x14ac:dyDescent="0.35">
      <c r="A4" s="4">
        <v>45456</v>
      </c>
      <c r="B4" s="4" t="s">
        <v>14</v>
      </c>
      <c r="C4" s="5" t="s">
        <v>22</v>
      </c>
      <c r="D4" s="5" t="s">
        <v>16</v>
      </c>
      <c r="E4" s="5" t="s">
        <v>17</v>
      </c>
      <c r="F4" s="5" t="s">
        <v>23</v>
      </c>
      <c r="G4" s="5" t="s">
        <v>19</v>
      </c>
      <c r="H4" s="5">
        <v>20</v>
      </c>
      <c r="I4" s="5">
        <v>731</v>
      </c>
      <c r="J4" s="5">
        <v>1186</v>
      </c>
      <c r="K4" s="6">
        <f t="shared" si="0"/>
        <v>14620</v>
      </c>
      <c r="L4" s="6">
        <f t="shared" si="1"/>
        <v>23720</v>
      </c>
      <c r="M4" s="6">
        <f t="shared" si="2"/>
        <v>9100</v>
      </c>
      <c r="N4" s="6" t="str">
        <f t="shared" si="3"/>
        <v>profit</v>
      </c>
    </row>
    <row r="5" spans="1:14" ht="15.6" thickTop="1" thickBot="1" x14ac:dyDescent="0.35">
      <c r="A5" s="4">
        <v>45457</v>
      </c>
      <c r="B5" s="4" t="s">
        <v>14</v>
      </c>
      <c r="C5" s="5" t="s">
        <v>24</v>
      </c>
      <c r="D5" s="5" t="s">
        <v>16</v>
      </c>
      <c r="E5" s="5" t="s">
        <v>17</v>
      </c>
      <c r="F5" s="5" t="s">
        <v>25</v>
      </c>
      <c r="G5" s="5" t="s">
        <v>19</v>
      </c>
      <c r="H5" s="5">
        <v>17</v>
      </c>
      <c r="I5" s="5">
        <v>750</v>
      </c>
      <c r="J5" s="5">
        <v>793</v>
      </c>
      <c r="K5" s="6">
        <f t="shared" si="0"/>
        <v>12750</v>
      </c>
      <c r="L5" s="6">
        <f t="shared" si="1"/>
        <v>13481</v>
      </c>
      <c r="M5" s="6">
        <f t="shared" si="2"/>
        <v>731</v>
      </c>
      <c r="N5" s="6" t="str">
        <f t="shared" si="3"/>
        <v>profit</v>
      </c>
    </row>
    <row r="6" spans="1:14" ht="15.6" thickTop="1" thickBot="1" x14ac:dyDescent="0.35">
      <c r="A6" s="4">
        <v>45459</v>
      </c>
      <c r="B6" s="4" t="s">
        <v>14</v>
      </c>
      <c r="C6" s="5" t="s">
        <v>26</v>
      </c>
      <c r="D6" s="5" t="s">
        <v>16</v>
      </c>
      <c r="E6" s="5" t="s">
        <v>17</v>
      </c>
      <c r="F6" s="5" t="s">
        <v>27</v>
      </c>
      <c r="G6" s="5" t="s">
        <v>28</v>
      </c>
      <c r="H6" s="5">
        <v>14</v>
      </c>
      <c r="I6" s="5">
        <v>906</v>
      </c>
      <c r="J6" s="5">
        <v>1327</v>
      </c>
      <c r="K6" s="6">
        <f t="shared" si="0"/>
        <v>12684</v>
      </c>
      <c r="L6" s="6">
        <f t="shared" si="1"/>
        <v>18578</v>
      </c>
      <c r="M6" s="6">
        <f t="shared" si="2"/>
        <v>5894</v>
      </c>
      <c r="N6" s="6" t="str">
        <f t="shared" si="3"/>
        <v>profit</v>
      </c>
    </row>
    <row r="7" spans="1:14" ht="15.6" thickTop="1" thickBot="1" x14ac:dyDescent="0.35">
      <c r="A7" s="4">
        <v>45460</v>
      </c>
      <c r="B7" s="4" t="s">
        <v>14</v>
      </c>
      <c r="C7" s="5" t="s">
        <v>29</v>
      </c>
      <c r="D7" s="5" t="s">
        <v>16</v>
      </c>
      <c r="E7" s="5" t="s">
        <v>17</v>
      </c>
      <c r="F7" s="5" t="s">
        <v>30</v>
      </c>
      <c r="G7" s="5" t="s">
        <v>28</v>
      </c>
      <c r="H7" s="5">
        <v>20</v>
      </c>
      <c r="I7" s="5">
        <v>699</v>
      </c>
      <c r="J7" s="5">
        <v>1400</v>
      </c>
      <c r="K7" s="6">
        <f t="shared" si="0"/>
        <v>13980</v>
      </c>
      <c r="L7" s="6">
        <f t="shared" si="1"/>
        <v>28000</v>
      </c>
      <c r="M7" s="6">
        <f t="shared" si="2"/>
        <v>14020</v>
      </c>
      <c r="N7" s="6" t="str">
        <f t="shared" si="3"/>
        <v>profit</v>
      </c>
    </row>
    <row r="8" spans="1:14" ht="15.6" thickTop="1" thickBot="1" x14ac:dyDescent="0.35">
      <c r="A8" s="4">
        <v>45389</v>
      </c>
      <c r="B8" s="4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28</v>
      </c>
      <c r="H8" s="5">
        <v>55</v>
      </c>
      <c r="I8" s="5">
        <v>637</v>
      </c>
      <c r="J8" s="5">
        <v>1143</v>
      </c>
      <c r="K8" s="6">
        <f t="shared" si="0"/>
        <v>35035</v>
      </c>
      <c r="L8" s="6">
        <f t="shared" si="1"/>
        <v>62865</v>
      </c>
      <c r="M8" s="6">
        <f t="shared" si="2"/>
        <v>27830</v>
      </c>
      <c r="N8" s="6" t="str">
        <f t="shared" si="3"/>
        <v>profit</v>
      </c>
    </row>
    <row r="9" spans="1:14" ht="15.6" thickTop="1" thickBot="1" x14ac:dyDescent="0.35">
      <c r="A9" s="4">
        <v>45472</v>
      </c>
      <c r="B9" s="4" t="s">
        <v>14</v>
      </c>
      <c r="C9" s="5" t="s">
        <v>36</v>
      </c>
      <c r="D9" s="5" t="s">
        <v>16</v>
      </c>
      <c r="E9" s="5" t="s">
        <v>37</v>
      </c>
      <c r="F9" s="5" t="s">
        <v>35</v>
      </c>
      <c r="G9" s="5" t="s">
        <v>19</v>
      </c>
      <c r="H9" s="5">
        <v>17</v>
      </c>
      <c r="I9" s="5">
        <v>537</v>
      </c>
      <c r="J9" s="5">
        <v>1350</v>
      </c>
      <c r="K9" s="6">
        <f t="shared" si="0"/>
        <v>9129</v>
      </c>
      <c r="L9" s="6">
        <f t="shared" si="1"/>
        <v>22950</v>
      </c>
      <c r="M9" s="6">
        <f t="shared" si="2"/>
        <v>13821</v>
      </c>
      <c r="N9" s="6" t="str">
        <f t="shared" si="3"/>
        <v>profit</v>
      </c>
    </row>
    <row r="10" spans="1:14" ht="15.6" thickTop="1" thickBot="1" x14ac:dyDescent="0.35">
      <c r="A10" s="4">
        <v>45473</v>
      </c>
      <c r="B10" s="4" t="s">
        <v>14</v>
      </c>
      <c r="C10" s="5" t="s">
        <v>38</v>
      </c>
      <c r="D10" s="5" t="s">
        <v>16</v>
      </c>
      <c r="E10" s="5" t="s">
        <v>37</v>
      </c>
      <c r="F10" s="5" t="s">
        <v>39</v>
      </c>
      <c r="G10" s="5" t="s">
        <v>19</v>
      </c>
      <c r="H10" s="5">
        <v>20</v>
      </c>
      <c r="I10" s="5">
        <v>875</v>
      </c>
      <c r="J10" s="5">
        <v>911</v>
      </c>
      <c r="K10" s="6">
        <f t="shared" si="0"/>
        <v>17500</v>
      </c>
      <c r="L10" s="6">
        <f t="shared" si="1"/>
        <v>18220</v>
      </c>
      <c r="M10" s="6">
        <f t="shared" si="2"/>
        <v>720</v>
      </c>
      <c r="N10" s="6" t="str">
        <f t="shared" si="3"/>
        <v>profit</v>
      </c>
    </row>
    <row r="11" spans="1:14" ht="15.6" thickTop="1" thickBot="1" x14ac:dyDescent="0.35">
      <c r="A11" s="4">
        <v>45474</v>
      </c>
      <c r="B11" s="4" t="s">
        <v>40</v>
      </c>
      <c r="C11" s="5" t="s">
        <v>41</v>
      </c>
      <c r="D11" s="5" t="s">
        <v>16</v>
      </c>
      <c r="E11" s="5" t="s">
        <v>37</v>
      </c>
      <c r="F11" s="5" t="s">
        <v>39</v>
      </c>
      <c r="G11" s="5" t="s">
        <v>19</v>
      </c>
      <c r="H11" s="5">
        <v>13</v>
      </c>
      <c r="I11" s="5">
        <v>917</v>
      </c>
      <c r="J11" s="5">
        <v>1315</v>
      </c>
      <c r="K11" s="6">
        <f t="shared" si="0"/>
        <v>11921</v>
      </c>
      <c r="L11" s="6">
        <f t="shared" si="1"/>
        <v>17095</v>
      </c>
      <c r="M11" s="6">
        <f t="shared" si="2"/>
        <v>5174</v>
      </c>
      <c r="N11" s="6" t="str">
        <f t="shared" si="3"/>
        <v>profit</v>
      </c>
    </row>
    <row r="12" spans="1:14" ht="15.6" thickTop="1" thickBot="1" x14ac:dyDescent="0.35">
      <c r="A12" s="4">
        <v>45476</v>
      </c>
      <c r="B12" s="4" t="s">
        <v>40</v>
      </c>
      <c r="C12" s="5" t="s">
        <v>42</v>
      </c>
      <c r="D12" s="5" t="s">
        <v>16</v>
      </c>
      <c r="E12" s="5" t="s">
        <v>37</v>
      </c>
      <c r="F12" s="5" t="s">
        <v>27</v>
      </c>
      <c r="G12" s="5" t="s">
        <v>19</v>
      </c>
      <c r="H12" s="5">
        <v>12</v>
      </c>
      <c r="I12" s="5">
        <v>980</v>
      </c>
      <c r="J12" s="5">
        <v>1462</v>
      </c>
      <c r="K12" s="6">
        <f t="shared" si="0"/>
        <v>11760</v>
      </c>
      <c r="L12" s="6">
        <f t="shared" si="1"/>
        <v>17544</v>
      </c>
      <c r="M12" s="6">
        <f t="shared" si="2"/>
        <v>5784</v>
      </c>
      <c r="N12" s="6" t="str">
        <f t="shared" si="3"/>
        <v>profit</v>
      </c>
    </row>
    <row r="13" spans="1:14" ht="15.6" thickTop="1" thickBot="1" x14ac:dyDescent="0.35">
      <c r="A13" s="4">
        <v>45477</v>
      </c>
      <c r="B13" s="4" t="s">
        <v>40</v>
      </c>
      <c r="C13" s="5" t="s">
        <v>43</v>
      </c>
      <c r="D13" s="5" t="s">
        <v>16</v>
      </c>
      <c r="E13" s="5" t="s">
        <v>37</v>
      </c>
      <c r="F13" s="5" t="s">
        <v>44</v>
      </c>
      <c r="G13" s="5" t="s">
        <v>19</v>
      </c>
      <c r="H13" s="5">
        <v>12</v>
      </c>
      <c r="I13" s="5">
        <v>734</v>
      </c>
      <c r="J13" s="5">
        <v>1181</v>
      </c>
      <c r="K13" s="6">
        <f t="shared" si="0"/>
        <v>8808</v>
      </c>
      <c r="L13" s="6">
        <f t="shared" si="1"/>
        <v>14172</v>
      </c>
      <c r="M13" s="6">
        <f t="shared" si="2"/>
        <v>5364</v>
      </c>
      <c r="N13" s="6" t="str">
        <f t="shared" si="3"/>
        <v>profit</v>
      </c>
    </row>
    <row r="14" spans="1:14" ht="15.6" thickTop="1" thickBot="1" x14ac:dyDescent="0.35">
      <c r="A14" s="4">
        <v>45395</v>
      </c>
      <c r="B14" s="4" t="s">
        <v>31</v>
      </c>
      <c r="C14" s="5" t="s">
        <v>45</v>
      </c>
      <c r="D14" s="5" t="s">
        <v>46</v>
      </c>
      <c r="E14" s="5" t="s">
        <v>47</v>
      </c>
      <c r="F14" s="5" t="s">
        <v>44</v>
      </c>
      <c r="G14" s="5" t="s">
        <v>19</v>
      </c>
      <c r="H14" s="5">
        <v>29</v>
      </c>
      <c r="I14" s="5">
        <v>951</v>
      </c>
      <c r="J14" s="5">
        <v>1268</v>
      </c>
      <c r="K14" s="6">
        <f t="shared" si="0"/>
        <v>27579</v>
      </c>
      <c r="L14" s="6">
        <f t="shared" si="1"/>
        <v>36772</v>
      </c>
      <c r="M14" s="6">
        <f t="shared" si="2"/>
        <v>9193</v>
      </c>
      <c r="N14" s="6" t="str">
        <f t="shared" si="3"/>
        <v>profit</v>
      </c>
    </row>
    <row r="15" spans="1:14" ht="15.6" thickTop="1" thickBot="1" x14ac:dyDescent="0.35">
      <c r="A15" s="4">
        <v>45478</v>
      </c>
      <c r="B15" s="4" t="s">
        <v>40</v>
      </c>
      <c r="C15" s="5" t="s">
        <v>48</v>
      </c>
      <c r="D15" s="5" t="s">
        <v>16</v>
      </c>
      <c r="E15" s="5" t="s">
        <v>37</v>
      </c>
      <c r="F15" s="5" t="s">
        <v>49</v>
      </c>
      <c r="G15" s="5" t="s">
        <v>19</v>
      </c>
      <c r="H15" s="5">
        <v>12</v>
      </c>
      <c r="I15" s="5">
        <v>913</v>
      </c>
      <c r="J15" s="5">
        <v>1170</v>
      </c>
      <c r="K15" s="6">
        <f t="shared" si="0"/>
        <v>10956</v>
      </c>
      <c r="L15" s="6">
        <f t="shared" si="1"/>
        <v>14040</v>
      </c>
      <c r="M15" s="6">
        <f t="shared" si="2"/>
        <v>3084</v>
      </c>
      <c r="N15" s="6" t="str">
        <f t="shared" si="3"/>
        <v>profit</v>
      </c>
    </row>
    <row r="16" spans="1:14" ht="15.6" thickTop="1" thickBot="1" x14ac:dyDescent="0.35">
      <c r="A16" s="4">
        <v>45479</v>
      </c>
      <c r="B16" s="4" t="s">
        <v>40</v>
      </c>
      <c r="C16" s="5" t="s">
        <v>50</v>
      </c>
      <c r="D16" s="5" t="s">
        <v>16</v>
      </c>
      <c r="E16" s="5" t="s">
        <v>37</v>
      </c>
      <c r="F16" s="5" t="s">
        <v>27</v>
      </c>
      <c r="G16" s="5" t="s">
        <v>28</v>
      </c>
      <c r="H16" s="5">
        <v>20</v>
      </c>
      <c r="I16" s="5">
        <v>833</v>
      </c>
      <c r="J16" s="5">
        <v>877</v>
      </c>
      <c r="K16" s="6">
        <f t="shared" si="0"/>
        <v>16660</v>
      </c>
      <c r="L16" s="6">
        <f t="shared" si="1"/>
        <v>17540</v>
      </c>
      <c r="M16" s="6">
        <f t="shared" si="2"/>
        <v>880</v>
      </c>
      <c r="N16" s="6" t="str">
        <f t="shared" si="3"/>
        <v>profit</v>
      </c>
    </row>
    <row r="17" spans="1:14" ht="15.6" thickTop="1" thickBot="1" x14ac:dyDescent="0.35">
      <c r="A17" s="4">
        <v>45480</v>
      </c>
      <c r="B17" s="4" t="s">
        <v>40</v>
      </c>
      <c r="C17" s="5" t="s">
        <v>51</v>
      </c>
      <c r="D17" s="5" t="s">
        <v>16</v>
      </c>
      <c r="E17" s="5" t="s">
        <v>37</v>
      </c>
      <c r="F17" s="5" t="s">
        <v>52</v>
      </c>
      <c r="G17" s="5" t="s">
        <v>28</v>
      </c>
      <c r="H17" s="5">
        <v>17</v>
      </c>
      <c r="I17" s="5">
        <v>748</v>
      </c>
      <c r="J17" s="5">
        <v>1138</v>
      </c>
      <c r="K17" s="6">
        <f t="shared" si="0"/>
        <v>12716</v>
      </c>
      <c r="L17" s="6">
        <f t="shared" si="1"/>
        <v>19346</v>
      </c>
      <c r="M17" s="6">
        <f t="shared" si="2"/>
        <v>6630</v>
      </c>
      <c r="N17" s="6" t="str">
        <f t="shared" si="3"/>
        <v>profit</v>
      </c>
    </row>
    <row r="18" spans="1:14" ht="15.6" thickTop="1" thickBot="1" x14ac:dyDescent="0.35">
      <c r="A18" s="4">
        <v>45481</v>
      </c>
      <c r="B18" s="4" t="s">
        <v>40</v>
      </c>
      <c r="C18" s="5" t="s">
        <v>53</v>
      </c>
      <c r="D18" s="5" t="s">
        <v>16</v>
      </c>
      <c r="E18" s="5" t="s">
        <v>37</v>
      </c>
      <c r="F18" s="5" t="s">
        <v>54</v>
      </c>
      <c r="G18" s="5" t="s">
        <v>28</v>
      </c>
      <c r="H18" s="5">
        <v>20</v>
      </c>
      <c r="I18" s="5">
        <v>517</v>
      </c>
      <c r="J18" s="5">
        <v>1405</v>
      </c>
      <c r="K18" s="6">
        <f t="shared" si="0"/>
        <v>10340</v>
      </c>
      <c r="L18" s="6">
        <f t="shared" si="1"/>
        <v>28100</v>
      </c>
      <c r="M18" s="6">
        <f t="shared" si="2"/>
        <v>17760</v>
      </c>
      <c r="N18" s="6" t="str">
        <f t="shared" si="3"/>
        <v>profit</v>
      </c>
    </row>
    <row r="19" spans="1:14" ht="15.6" thickTop="1" thickBot="1" x14ac:dyDescent="0.35">
      <c r="A19" s="4">
        <v>45482</v>
      </c>
      <c r="B19" s="4" t="s">
        <v>40</v>
      </c>
      <c r="C19" s="5" t="s">
        <v>55</v>
      </c>
      <c r="D19" s="5" t="s">
        <v>16</v>
      </c>
      <c r="E19" s="5" t="s">
        <v>37</v>
      </c>
      <c r="F19" s="5" t="s">
        <v>35</v>
      </c>
      <c r="G19" s="5" t="s">
        <v>28</v>
      </c>
      <c r="H19" s="5">
        <v>18</v>
      </c>
      <c r="I19" s="5">
        <v>674</v>
      </c>
      <c r="J19" s="5">
        <v>775</v>
      </c>
      <c r="K19" s="6">
        <f t="shared" si="0"/>
        <v>12132</v>
      </c>
      <c r="L19" s="6">
        <f t="shared" si="1"/>
        <v>13950</v>
      </c>
      <c r="M19" s="6">
        <f t="shared" si="2"/>
        <v>1818</v>
      </c>
      <c r="N19" s="6" t="str">
        <f t="shared" si="3"/>
        <v>profit</v>
      </c>
    </row>
    <row r="20" spans="1:14" ht="15.6" thickTop="1" thickBot="1" x14ac:dyDescent="0.35">
      <c r="A20" s="4">
        <v>45483</v>
      </c>
      <c r="B20" s="4" t="s">
        <v>40</v>
      </c>
      <c r="C20" s="5" t="s">
        <v>56</v>
      </c>
      <c r="D20" s="5" t="s">
        <v>16</v>
      </c>
      <c r="E20" s="5" t="s">
        <v>37</v>
      </c>
      <c r="F20" s="5" t="s">
        <v>39</v>
      </c>
      <c r="G20" s="5" t="s">
        <v>19</v>
      </c>
      <c r="H20" s="5">
        <v>17</v>
      </c>
      <c r="I20" s="5">
        <v>641</v>
      </c>
      <c r="J20" s="5">
        <v>765</v>
      </c>
      <c r="K20" s="6">
        <f t="shared" si="0"/>
        <v>10897</v>
      </c>
      <c r="L20" s="6">
        <f t="shared" si="1"/>
        <v>13005</v>
      </c>
      <c r="M20" s="6">
        <f t="shared" si="2"/>
        <v>2108</v>
      </c>
      <c r="N20" s="6" t="str">
        <f t="shared" si="3"/>
        <v>profit</v>
      </c>
    </row>
    <row r="21" spans="1:14" ht="15.6" thickTop="1" thickBot="1" x14ac:dyDescent="0.35">
      <c r="A21" s="4">
        <v>45510</v>
      </c>
      <c r="B21" s="4" t="s">
        <v>57</v>
      </c>
      <c r="C21" s="5" t="s">
        <v>58</v>
      </c>
      <c r="D21" s="5" t="s">
        <v>16</v>
      </c>
      <c r="E21" s="5" t="s">
        <v>37</v>
      </c>
      <c r="F21" s="5" t="s">
        <v>44</v>
      </c>
      <c r="G21" s="5" t="s">
        <v>19</v>
      </c>
      <c r="H21" s="5">
        <v>10</v>
      </c>
      <c r="I21" s="5">
        <v>754</v>
      </c>
      <c r="J21" s="5">
        <v>982</v>
      </c>
      <c r="K21" s="6">
        <f t="shared" si="0"/>
        <v>7540</v>
      </c>
      <c r="L21" s="6">
        <f t="shared" si="1"/>
        <v>9820</v>
      </c>
      <c r="M21" s="6">
        <f t="shared" si="2"/>
        <v>2280</v>
      </c>
      <c r="N21" s="6" t="str">
        <f t="shared" si="3"/>
        <v>profit</v>
      </c>
    </row>
    <row r="22" spans="1:14" ht="15.6" thickTop="1" thickBot="1" x14ac:dyDescent="0.35">
      <c r="A22" s="4">
        <v>45511</v>
      </c>
      <c r="B22" s="4" t="s">
        <v>57</v>
      </c>
      <c r="C22" s="5" t="s">
        <v>59</v>
      </c>
      <c r="D22" s="5" t="s">
        <v>16</v>
      </c>
      <c r="E22" s="5" t="s">
        <v>37</v>
      </c>
      <c r="F22" s="5" t="s">
        <v>60</v>
      </c>
      <c r="G22" s="5" t="s">
        <v>19</v>
      </c>
      <c r="H22" s="5">
        <v>14</v>
      </c>
      <c r="I22" s="5">
        <v>815</v>
      </c>
      <c r="J22" s="5">
        <v>1341</v>
      </c>
      <c r="K22" s="6">
        <f t="shared" si="0"/>
        <v>11410</v>
      </c>
      <c r="L22" s="6">
        <f t="shared" si="1"/>
        <v>18774</v>
      </c>
      <c r="M22" s="6">
        <f t="shared" si="2"/>
        <v>7364</v>
      </c>
      <c r="N22" s="6" t="str">
        <f t="shared" si="3"/>
        <v>profit</v>
      </c>
    </row>
    <row r="23" spans="1:14" ht="15.6" thickTop="1" thickBot="1" x14ac:dyDescent="0.35">
      <c r="A23" s="4">
        <v>45513</v>
      </c>
      <c r="B23" s="4" t="s">
        <v>57</v>
      </c>
      <c r="C23" s="5" t="s">
        <v>61</v>
      </c>
      <c r="D23" s="5" t="s">
        <v>16</v>
      </c>
      <c r="E23" s="5" t="s">
        <v>37</v>
      </c>
      <c r="F23" s="5" t="s">
        <v>39</v>
      </c>
      <c r="G23" s="5" t="s">
        <v>19</v>
      </c>
      <c r="H23" s="5">
        <v>18</v>
      </c>
      <c r="I23" s="5">
        <v>704</v>
      </c>
      <c r="J23" s="5">
        <v>930</v>
      </c>
      <c r="K23" s="6">
        <f t="shared" si="0"/>
        <v>12672</v>
      </c>
      <c r="L23" s="6">
        <f t="shared" si="1"/>
        <v>16740</v>
      </c>
      <c r="M23" s="6">
        <f t="shared" si="2"/>
        <v>4068</v>
      </c>
      <c r="N23" s="6" t="str">
        <f t="shared" si="3"/>
        <v>profit</v>
      </c>
    </row>
    <row r="24" spans="1:14" ht="15.6" thickTop="1" thickBot="1" x14ac:dyDescent="0.35">
      <c r="A24" s="4">
        <v>45405</v>
      </c>
      <c r="B24" s="4" t="s">
        <v>31</v>
      </c>
      <c r="C24" s="5" t="s">
        <v>62</v>
      </c>
      <c r="D24" s="5" t="s">
        <v>46</v>
      </c>
      <c r="E24" s="5" t="s">
        <v>63</v>
      </c>
      <c r="F24" s="5" t="s">
        <v>64</v>
      </c>
      <c r="G24" s="5" t="s">
        <v>28</v>
      </c>
      <c r="H24" s="5">
        <v>25</v>
      </c>
      <c r="I24" s="5">
        <v>958</v>
      </c>
      <c r="J24" s="5">
        <v>942</v>
      </c>
      <c r="K24" s="6">
        <f t="shared" si="0"/>
        <v>23950</v>
      </c>
      <c r="L24" s="6">
        <f t="shared" si="1"/>
        <v>23550</v>
      </c>
      <c r="M24" s="6">
        <f t="shared" si="2"/>
        <v>-400</v>
      </c>
      <c r="N24" s="6" t="str">
        <f t="shared" si="3"/>
        <v>loss</v>
      </c>
    </row>
    <row r="25" spans="1:14" ht="15.6" thickTop="1" thickBot="1" x14ac:dyDescent="0.35">
      <c r="A25" s="4">
        <v>45514</v>
      </c>
      <c r="B25" s="4" t="s">
        <v>57</v>
      </c>
      <c r="C25" s="5" t="s">
        <v>65</v>
      </c>
      <c r="D25" s="5" t="s">
        <v>16</v>
      </c>
      <c r="E25" s="5" t="s">
        <v>37</v>
      </c>
      <c r="F25" s="5" t="s">
        <v>39</v>
      </c>
      <c r="G25" s="5" t="s">
        <v>19</v>
      </c>
      <c r="H25" s="5">
        <v>19</v>
      </c>
      <c r="I25" s="5">
        <v>744</v>
      </c>
      <c r="J25" s="5">
        <v>1433</v>
      </c>
      <c r="K25" s="6">
        <f t="shared" si="0"/>
        <v>14136</v>
      </c>
      <c r="L25" s="6">
        <f t="shared" si="1"/>
        <v>27227</v>
      </c>
      <c r="M25" s="6">
        <f t="shared" si="2"/>
        <v>13091</v>
      </c>
      <c r="N25" s="6" t="str">
        <f t="shared" si="3"/>
        <v>profit</v>
      </c>
    </row>
    <row r="26" spans="1:14" ht="15.6" thickTop="1" thickBot="1" x14ac:dyDescent="0.35">
      <c r="A26" s="4">
        <v>45407</v>
      </c>
      <c r="B26" s="4" t="s">
        <v>31</v>
      </c>
      <c r="C26" s="5" t="s">
        <v>66</v>
      </c>
      <c r="D26" s="5" t="s">
        <v>46</v>
      </c>
      <c r="E26" s="5" t="s">
        <v>63</v>
      </c>
      <c r="F26" s="5" t="s">
        <v>60</v>
      </c>
      <c r="G26" s="5" t="s">
        <v>19</v>
      </c>
      <c r="H26" s="5">
        <v>26</v>
      </c>
      <c r="I26" s="5">
        <v>520</v>
      </c>
      <c r="J26" s="5">
        <v>1486</v>
      </c>
      <c r="K26" s="6">
        <f t="shared" si="0"/>
        <v>13520</v>
      </c>
      <c r="L26" s="6">
        <f t="shared" si="1"/>
        <v>38636</v>
      </c>
      <c r="M26" s="6">
        <f t="shared" si="2"/>
        <v>25116</v>
      </c>
      <c r="N26" s="6" t="str">
        <f t="shared" si="3"/>
        <v>profit</v>
      </c>
    </row>
    <row r="27" spans="1:14" ht="15.6" thickTop="1" thickBot="1" x14ac:dyDescent="0.35">
      <c r="A27" s="4">
        <v>45515</v>
      </c>
      <c r="B27" s="4" t="s">
        <v>57</v>
      </c>
      <c r="C27" s="5" t="s">
        <v>67</v>
      </c>
      <c r="D27" s="5" t="s">
        <v>16</v>
      </c>
      <c r="E27" s="5" t="s">
        <v>37</v>
      </c>
      <c r="F27" s="5" t="s">
        <v>44</v>
      </c>
      <c r="G27" s="5" t="s">
        <v>28</v>
      </c>
      <c r="H27" s="5">
        <v>10</v>
      </c>
      <c r="I27" s="5">
        <v>669</v>
      </c>
      <c r="J27" s="5">
        <v>1344</v>
      </c>
      <c r="K27" s="6">
        <f t="shared" si="0"/>
        <v>6690</v>
      </c>
      <c r="L27" s="6">
        <f t="shared" si="1"/>
        <v>13440</v>
      </c>
      <c r="M27" s="6">
        <f t="shared" si="2"/>
        <v>6750</v>
      </c>
      <c r="N27" s="6" t="str">
        <f t="shared" si="3"/>
        <v>profit</v>
      </c>
    </row>
    <row r="28" spans="1:14" ht="15.6" thickTop="1" thickBot="1" x14ac:dyDescent="0.35">
      <c r="A28" s="4">
        <v>45516</v>
      </c>
      <c r="B28" s="4" t="s">
        <v>57</v>
      </c>
      <c r="C28" s="5" t="s">
        <v>68</v>
      </c>
      <c r="D28" s="5" t="s">
        <v>16</v>
      </c>
      <c r="E28" s="5" t="s">
        <v>37</v>
      </c>
      <c r="F28" s="5" t="s">
        <v>27</v>
      </c>
      <c r="G28" s="5" t="s">
        <v>28</v>
      </c>
      <c r="H28" s="5">
        <v>20</v>
      </c>
      <c r="I28" s="5">
        <v>966</v>
      </c>
      <c r="J28" s="5">
        <v>924</v>
      </c>
      <c r="K28" s="6">
        <f t="shared" si="0"/>
        <v>19320</v>
      </c>
      <c r="L28" s="6">
        <f t="shared" si="1"/>
        <v>18480</v>
      </c>
      <c r="M28" s="6">
        <f t="shared" si="2"/>
        <v>-840</v>
      </c>
      <c r="N28" s="6" t="str">
        <f t="shared" si="3"/>
        <v>loss</v>
      </c>
    </row>
    <row r="29" spans="1:14" ht="15.6" thickTop="1" thickBot="1" x14ac:dyDescent="0.35">
      <c r="A29" s="4">
        <v>45543</v>
      </c>
      <c r="B29" s="4" t="s">
        <v>69</v>
      </c>
      <c r="C29" s="5" t="s">
        <v>70</v>
      </c>
      <c r="D29" s="5" t="s">
        <v>16</v>
      </c>
      <c r="E29" s="5" t="s">
        <v>37</v>
      </c>
      <c r="F29" s="5" t="s">
        <v>71</v>
      </c>
      <c r="G29" s="5" t="s">
        <v>28</v>
      </c>
      <c r="H29" s="5">
        <v>18</v>
      </c>
      <c r="I29" s="5">
        <v>859</v>
      </c>
      <c r="J29" s="5">
        <v>1044</v>
      </c>
      <c r="K29" s="6">
        <f t="shared" si="0"/>
        <v>15462</v>
      </c>
      <c r="L29" s="6">
        <f t="shared" si="1"/>
        <v>18792</v>
      </c>
      <c r="M29" s="6">
        <f t="shared" si="2"/>
        <v>3330</v>
      </c>
      <c r="N29" s="6" t="str">
        <f t="shared" si="3"/>
        <v>profit</v>
      </c>
    </row>
    <row r="30" spans="1:14" ht="15.6" thickTop="1" thickBot="1" x14ac:dyDescent="0.35">
      <c r="A30" s="4">
        <v>45544</v>
      </c>
      <c r="B30" s="4" t="s">
        <v>69</v>
      </c>
      <c r="C30" s="5" t="s">
        <v>72</v>
      </c>
      <c r="D30" s="5" t="s">
        <v>16</v>
      </c>
      <c r="E30" s="5" t="s">
        <v>37</v>
      </c>
      <c r="F30" s="5" t="s">
        <v>44</v>
      </c>
      <c r="G30" s="5" t="s">
        <v>28</v>
      </c>
      <c r="H30" s="5">
        <v>15</v>
      </c>
      <c r="I30" s="5">
        <v>890</v>
      </c>
      <c r="J30" s="5">
        <v>1362</v>
      </c>
      <c r="K30" s="6">
        <f t="shared" si="0"/>
        <v>13350</v>
      </c>
      <c r="L30" s="6">
        <f t="shared" si="1"/>
        <v>20430</v>
      </c>
      <c r="M30" s="6">
        <f t="shared" si="2"/>
        <v>7080</v>
      </c>
      <c r="N30" s="6" t="str">
        <f t="shared" si="3"/>
        <v>profit</v>
      </c>
    </row>
    <row r="31" spans="1:14" ht="15.6" thickTop="1" thickBot="1" x14ac:dyDescent="0.35">
      <c r="A31" s="4">
        <v>45545</v>
      </c>
      <c r="B31" s="4" t="s">
        <v>69</v>
      </c>
      <c r="C31" s="5" t="s">
        <v>73</v>
      </c>
      <c r="D31" s="5" t="s">
        <v>16</v>
      </c>
      <c r="E31" s="5" t="s">
        <v>37</v>
      </c>
      <c r="F31" s="5" t="s">
        <v>25</v>
      </c>
      <c r="G31" s="5" t="s">
        <v>28</v>
      </c>
      <c r="H31" s="5">
        <v>19</v>
      </c>
      <c r="I31" s="5">
        <v>630</v>
      </c>
      <c r="J31" s="5">
        <v>882</v>
      </c>
      <c r="K31" s="6">
        <f t="shared" si="0"/>
        <v>11970</v>
      </c>
      <c r="L31" s="6">
        <f t="shared" si="1"/>
        <v>16758</v>
      </c>
      <c r="M31" s="6">
        <f t="shared" si="2"/>
        <v>4788</v>
      </c>
      <c r="N31" s="6" t="str">
        <f t="shared" si="3"/>
        <v>profit</v>
      </c>
    </row>
    <row r="32" spans="1:14" ht="15.6" thickTop="1" thickBot="1" x14ac:dyDescent="0.35">
      <c r="A32" s="4">
        <v>45546</v>
      </c>
      <c r="B32" s="4" t="s">
        <v>69</v>
      </c>
      <c r="C32" s="5" t="s">
        <v>74</v>
      </c>
      <c r="D32" s="5" t="s">
        <v>16</v>
      </c>
      <c r="E32" s="5" t="s">
        <v>37</v>
      </c>
      <c r="F32" s="5" t="s">
        <v>64</v>
      </c>
      <c r="G32" s="5" t="s">
        <v>28</v>
      </c>
      <c r="H32" s="5">
        <v>10</v>
      </c>
      <c r="I32" s="5">
        <v>701</v>
      </c>
      <c r="J32" s="5">
        <v>1384</v>
      </c>
      <c r="K32" s="6">
        <f t="shared" si="0"/>
        <v>7010</v>
      </c>
      <c r="L32" s="6">
        <f t="shared" si="1"/>
        <v>13840</v>
      </c>
      <c r="M32" s="6">
        <f t="shared" si="2"/>
        <v>6830</v>
      </c>
      <c r="N32" s="6" t="str">
        <f t="shared" si="3"/>
        <v>profit</v>
      </c>
    </row>
    <row r="33" spans="1:14" ht="15.6" thickTop="1" thickBot="1" x14ac:dyDescent="0.35">
      <c r="A33" s="4">
        <v>45547</v>
      </c>
      <c r="B33" s="4" t="s">
        <v>69</v>
      </c>
      <c r="C33" s="5" t="s">
        <v>75</v>
      </c>
      <c r="D33" s="5" t="s">
        <v>16</v>
      </c>
      <c r="E33" s="5" t="s">
        <v>37</v>
      </c>
      <c r="F33" s="5" t="s">
        <v>76</v>
      </c>
      <c r="G33" s="5" t="s">
        <v>19</v>
      </c>
      <c r="H33" s="5">
        <v>19</v>
      </c>
      <c r="I33" s="5">
        <v>653</v>
      </c>
      <c r="J33" s="5">
        <v>1402</v>
      </c>
      <c r="K33" s="6">
        <f t="shared" si="0"/>
        <v>12407</v>
      </c>
      <c r="L33" s="6">
        <f t="shared" si="1"/>
        <v>26638</v>
      </c>
      <c r="M33" s="6">
        <f t="shared" si="2"/>
        <v>14231</v>
      </c>
      <c r="N33" s="6" t="str">
        <f t="shared" si="3"/>
        <v>profit</v>
      </c>
    </row>
    <row r="34" spans="1:14" ht="15.6" thickTop="1" thickBot="1" x14ac:dyDescent="0.35">
      <c r="A34" s="4">
        <v>45548</v>
      </c>
      <c r="B34" s="4" t="s">
        <v>69</v>
      </c>
      <c r="C34" s="5" t="s">
        <v>77</v>
      </c>
      <c r="D34" s="5" t="s">
        <v>16</v>
      </c>
      <c r="E34" s="5" t="s">
        <v>37</v>
      </c>
      <c r="F34" s="5" t="s">
        <v>78</v>
      </c>
      <c r="G34" s="5" t="s">
        <v>19</v>
      </c>
      <c r="H34" s="5">
        <v>14</v>
      </c>
      <c r="I34" s="5">
        <v>968</v>
      </c>
      <c r="J34" s="5">
        <v>1419</v>
      </c>
      <c r="K34" s="6">
        <f t="shared" si="0"/>
        <v>13552</v>
      </c>
      <c r="L34" s="6">
        <f t="shared" si="1"/>
        <v>19866</v>
      </c>
      <c r="M34" s="6">
        <f t="shared" si="2"/>
        <v>6314</v>
      </c>
      <c r="N34" s="6" t="str">
        <f t="shared" si="3"/>
        <v>profit</v>
      </c>
    </row>
    <row r="35" spans="1:14" ht="15.6" thickTop="1" thickBot="1" x14ac:dyDescent="0.35">
      <c r="A35" s="4">
        <v>45550</v>
      </c>
      <c r="B35" s="4" t="s">
        <v>69</v>
      </c>
      <c r="C35" s="5" t="s">
        <v>79</v>
      </c>
      <c r="D35" s="5" t="s">
        <v>16</v>
      </c>
      <c r="E35" s="5" t="s">
        <v>37</v>
      </c>
      <c r="F35" s="5" t="s">
        <v>44</v>
      </c>
      <c r="G35" s="5" t="s">
        <v>19</v>
      </c>
      <c r="H35" s="5">
        <v>20</v>
      </c>
      <c r="I35" s="5">
        <v>508</v>
      </c>
      <c r="J35" s="5">
        <v>1433</v>
      </c>
      <c r="K35" s="6">
        <f t="shared" si="0"/>
        <v>10160</v>
      </c>
      <c r="L35" s="6">
        <f t="shared" si="1"/>
        <v>28660</v>
      </c>
      <c r="M35" s="6">
        <f t="shared" si="2"/>
        <v>18500</v>
      </c>
      <c r="N35" s="6" t="str">
        <f t="shared" si="3"/>
        <v>profit</v>
      </c>
    </row>
    <row r="36" spans="1:14" ht="15.6" thickTop="1" thickBot="1" x14ac:dyDescent="0.35">
      <c r="A36" s="4">
        <v>45551</v>
      </c>
      <c r="B36" s="4" t="s">
        <v>69</v>
      </c>
      <c r="C36" s="5" t="s">
        <v>80</v>
      </c>
      <c r="D36" s="5" t="s">
        <v>16</v>
      </c>
      <c r="E36" s="5" t="s">
        <v>37</v>
      </c>
      <c r="F36" s="5" t="s">
        <v>60</v>
      </c>
      <c r="G36" s="5" t="s">
        <v>19</v>
      </c>
      <c r="H36" s="5">
        <v>12</v>
      </c>
      <c r="I36" s="5">
        <v>539</v>
      </c>
      <c r="J36" s="5">
        <v>1136</v>
      </c>
      <c r="K36" s="6">
        <f t="shared" si="0"/>
        <v>6468</v>
      </c>
      <c r="L36" s="6">
        <f t="shared" si="1"/>
        <v>13632</v>
      </c>
      <c r="M36" s="6">
        <f t="shared" si="2"/>
        <v>7164</v>
      </c>
      <c r="N36" s="6" t="str">
        <f t="shared" si="3"/>
        <v>profit</v>
      </c>
    </row>
    <row r="37" spans="1:14" ht="15.6" thickTop="1" thickBot="1" x14ac:dyDescent="0.35">
      <c r="A37" s="4">
        <v>45552</v>
      </c>
      <c r="B37" s="4" t="s">
        <v>69</v>
      </c>
      <c r="C37" s="5" t="s">
        <v>81</v>
      </c>
      <c r="D37" s="5" t="s">
        <v>16</v>
      </c>
      <c r="E37" s="5" t="s">
        <v>37</v>
      </c>
      <c r="F37" s="5" t="s">
        <v>35</v>
      </c>
      <c r="G37" s="5" t="s">
        <v>19</v>
      </c>
      <c r="H37" s="5">
        <v>10</v>
      </c>
      <c r="I37" s="5">
        <v>731</v>
      </c>
      <c r="J37" s="5">
        <v>1226</v>
      </c>
      <c r="K37" s="6">
        <f t="shared" si="0"/>
        <v>7310</v>
      </c>
      <c r="L37" s="6">
        <f t="shared" si="1"/>
        <v>12260</v>
      </c>
      <c r="M37" s="6">
        <f t="shared" si="2"/>
        <v>4950</v>
      </c>
      <c r="N37" s="6" t="str">
        <f t="shared" si="3"/>
        <v>profit</v>
      </c>
    </row>
    <row r="38" spans="1:14" ht="15.6" thickTop="1" thickBot="1" x14ac:dyDescent="0.35">
      <c r="A38" s="4">
        <v>45553</v>
      </c>
      <c r="B38" s="4" t="s">
        <v>69</v>
      </c>
      <c r="C38" s="5" t="s">
        <v>82</v>
      </c>
      <c r="D38" s="5" t="s">
        <v>16</v>
      </c>
      <c r="E38" s="5" t="s">
        <v>37</v>
      </c>
      <c r="F38" s="5" t="s">
        <v>39</v>
      </c>
      <c r="G38" s="5" t="s">
        <v>19</v>
      </c>
      <c r="H38" s="5">
        <v>15</v>
      </c>
      <c r="I38" s="5">
        <v>621</v>
      </c>
      <c r="J38" s="5">
        <v>1488</v>
      </c>
      <c r="K38" s="6">
        <f t="shared" si="0"/>
        <v>9315</v>
      </c>
      <c r="L38" s="6">
        <f t="shared" si="1"/>
        <v>22320</v>
      </c>
      <c r="M38" s="6">
        <f t="shared" si="2"/>
        <v>13005</v>
      </c>
      <c r="N38" s="6" t="str">
        <f t="shared" si="3"/>
        <v>profit</v>
      </c>
    </row>
    <row r="39" spans="1:14" ht="15.6" thickTop="1" thickBot="1" x14ac:dyDescent="0.35">
      <c r="A39" s="4">
        <v>45562</v>
      </c>
      <c r="B39" s="4" t="s">
        <v>69</v>
      </c>
      <c r="C39" s="5" t="s">
        <v>83</v>
      </c>
      <c r="D39" s="5" t="s">
        <v>16</v>
      </c>
      <c r="E39" s="5" t="s">
        <v>17</v>
      </c>
      <c r="F39" s="5" t="s">
        <v>35</v>
      </c>
      <c r="G39" s="5" t="s">
        <v>28</v>
      </c>
      <c r="H39" s="5">
        <v>16</v>
      </c>
      <c r="I39" s="5">
        <v>963</v>
      </c>
      <c r="J39" s="5">
        <v>1186</v>
      </c>
      <c r="K39" s="6">
        <f t="shared" si="0"/>
        <v>15408</v>
      </c>
      <c r="L39" s="6">
        <f t="shared" si="1"/>
        <v>18976</v>
      </c>
      <c r="M39" s="6">
        <f t="shared" si="2"/>
        <v>3568</v>
      </c>
      <c r="N39" s="6" t="str">
        <f t="shared" si="3"/>
        <v>profit</v>
      </c>
    </row>
    <row r="40" spans="1:14" ht="15.6" thickTop="1" thickBot="1" x14ac:dyDescent="0.35">
      <c r="A40" s="4">
        <v>45564</v>
      </c>
      <c r="B40" s="4" t="s">
        <v>69</v>
      </c>
      <c r="C40" s="5" t="s">
        <v>84</v>
      </c>
      <c r="D40" s="5" t="s">
        <v>16</v>
      </c>
      <c r="E40" s="5" t="s">
        <v>17</v>
      </c>
      <c r="F40" s="5" t="s">
        <v>39</v>
      </c>
      <c r="G40" s="5" t="s">
        <v>19</v>
      </c>
      <c r="H40" s="5">
        <v>13</v>
      </c>
      <c r="I40" s="5">
        <v>762</v>
      </c>
      <c r="J40" s="5">
        <v>1311</v>
      </c>
      <c r="K40" s="6">
        <f t="shared" si="0"/>
        <v>9906</v>
      </c>
      <c r="L40" s="6">
        <f t="shared" si="1"/>
        <v>17043</v>
      </c>
      <c r="M40" s="6">
        <f t="shared" si="2"/>
        <v>7137</v>
      </c>
      <c r="N40" s="6" t="str">
        <f t="shared" si="3"/>
        <v>profit</v>
      </c>
    </row>
    <row r="41" spans="1:14" ht="15.6" thickTop="1" thickBot="1" x14ac:dyDescent="0.35">
      <c r="A41" s="4">
        <v>45566</v>
      </c>
      <c r="B41" s="4" t="s">
        <v>85</v>
      </c>
      <c r="C41" s="5" t="s">
        <v>86</v>
      </c>
      <c r="D41" s="5" t="s">
        <v>16</v>
      </c>
      <c r="E41" s="5" t="s">
        <v>17</v>
      </c>
      <c r="F41" s="5" t="s">
        <v>64</v>
      </c>
      <c r="G41" s="5" t="s">
        <v>19</v>
      </c>
      <c r="H41" s="5">
        <v>14</v>
      </c>
      <c r="I41" s="5">
        <v>909</v>
      </c>
      <c r="J41" s="5">
        <v>780</v>
      </c>
      <c r="K41" s="6">
        <f t="shared" si="0"/>
        <v>12726</v>
      </c>
      <c r="L41" s="6">
        <f t="shared" si="1"/>
        <v>10920</v>
      </c>
      <c r="M41" s="6">
        <f t="shared" si="2"/>
        <v>-1806</v>
      </c>
      <c r="N41" s="6" t="str">
        <f t="shared" si="3"/>
        <v>loss</v>
      </c>
    </row>
    <row r="42" spans="1:14" ht="15.6" thickTop="1" thickBot="1" x14ac:dyDescent="0.35">
      <c r="A42" s="4">
        <v>45567</v>
      </c>
      <c r="B42" s="4" t="s">
        <v>85</v>
      </c>
      <c r="C42" s="5" t="s">
        <v>87</v>
      </c>
      <c r="D42" s="5" t="s">
        <v>16</v>
      </c>
      <c r="E42" s="5" t="s">
        <v>17</v>
      </c>
      <c r="F42" s="5" t="s">
        <v>60</v>
      </c>
      <c r="G42" s="5" t="s">
        <v>19</v>
      </c>
      <c r="H42" s="5">
        <v>11</v>
      </c>
      <c r="I42" s="5">
        <v>858</v>
      </c>
      <c r="J42" s="5">
        <v>1080</v>
      </c>
      <c r="K42" s="6">
        <f t="shared" si="0"/>
        <v>9438</v>
      </c>
      <c r="L42" s="6">
        <f t="shared" si="1"/>
        <v>11880</v>
      </c>
      <c r="M42" s="6">
        <f t="shared" si="2"/>
        <v>2442</v>
      </c>
      <c r="N42" s="6" t="str">
        <f t="shared" si="3"/>
        <v>profit</v>
      </c>
    </row>
    <row r="43" spans="1:14" ht="15.6" thickTop="1" thickBot="1" x14ac:dyDescent="0.35">
      <c r="A43" s="4">
        <v>45568</v>
      </c>
      <c r="B43" s="4" t="s">
        <v>85</v>
      </c>
      <c r="C43" s="5" t="s">
        <v>88</v>
      </c>
      <c r="D43" s="5" t="s">
        <v>16</v>
      </c>
      <c r="E43" s="5" t="s">
        <v>17</v>
      </c>
      <c r="F43" s="5" t="s">
        <v>39</v>
      </c>
      <c r="G43" s="5" t="s">
        <v>19</v>
      </c>
      <c r="H43" s="5">
        <v>12</v>
      </c>
      <c r="I43" s="5">
        <v>516</v>
      </c>
      <c r="J43" s="5">
        <v>857</v>
      </c>
      <c r="K43" s="6">
        <f t="shared" si="0"/>
        <v>6192</v>
      </c>
      <c r="L43" s="6">
        <f t="shared" si="1"/>
        <v>10284</v>
      </c>
      <c r="M43" s="6">
        <f t="shared" si="2"/>
        <v>4092</v>
      </c>
      <c r="N43" s="6" t="str">
        <f t="shared" si="3"/>
        <v>profit</v>
      </c>
    </row>
    <row r="44" spans="1:14" ht="15.6" thickTop="1" thickBot="1" x14ac:dyDescent="0.35">
      <c r="A44" s="4">
        <v>45580</v>
      </c>
      <c r="B44" s="4" t="s">
        <v>85</v>
      </c>
      <c r="C44" s="5" t="s">
        <v>89</v>
      </c>
      <c r="D44" s="5" t="s">
        <v>16</v>
      </c>
      <c r="E44" s="5" t="s">
        <v>37</v>
      </c>
      <c r="F44" s="5" t="s">
        <v>30</v>
      </c>
      <c r="G44" s="5" t="s">
        <v>28</v>
      </c>
      <c r="H44" s="5">
        <v>20</v>
      </c>
      <c r="I44" s="5">
        <v>817</v>
      </c>
      <c r="J44" s="5">
        <v>1324</v>
      </c>
      <c r="K44" s="6">
        <f t="shared" si="0"/>
        <v>16340</v>
      </c>
      <c r="L44" s="6">
        <f t="shared" si="1"/>
        <v>26480</v>
      </c>
      <c r="M44" s="6">
        <f t="shared" si="2"/>
        <v>10140</v>
      </c>
      <c r="N44" s="6" t="str">
        <f t="shared" si="3"/>
        <v>profit</v>
      </c>
    </row>
    <row r="45" spans="1:14" ht="15.6" thickTop="1" thickBot="1" x14ac:dyDescent="0.35">
      <c r="A45" s="4">
        <v>45581</v>
      </c>
      <c r="B45" s="4" t="s">
        <v>85</v>
      </c>
      <c r="C45" s="5" t="s">
        <v>90</v>
      </c>
      <c r="D45" s="5" t="s">
        <v>16</v>
      </c>
      <c r="E45" s="5" t="s">
        <v>37</v>
      </c>
      <c r="F45" s="5" t="s">
        <v>25</v>
      </c>
      <c r="G45" s="5" t="s">
        <v>28</v>
      </c>
      <c r="H45" s="5">
        <v>16</v>
      </c>
      <c r="I45" s="5">
        <v>935</v>
      </c>
      <c r="J45" s="5">
        <v>980</v>
      </c>
      <c r="K45" s="6">
        <f t="shared" si="0"/>
        <v>14960</v>
      </c>
      <c r="L45" s="6">
        <f t="shared" si="1"/>
        <v>15680</v>
      </c>
      <c r="M45" s="6">
        <f t="shared" si="2"/>
        <v>720</v>
      </c>
      <c r="N45" s="6" t="str">
        <f t="shared" si="3"/>
        <v>profit</v>
      </c>
    </row>
    <row r="46" spans="1:14" ht="15.6" thickTop="1" thickBot="1" x14ac:dyDescent="0.35">
      <c r="A46" s="4">
        <v>45582</v>
      </c>
      <c r="B46" s="4" t="s">
        <v>85</v>
      </c>
      <c r="C46" s="5" t="s">
        <v>91</v>
      </c>
      <c r="D46" s="5" t="s">
        <v>16</v>
      </c>
      <c r="E46" s="5" t="s">
        <v>37</v>
      </c>
      <c r="F46" s="5" t="s">
        <v>76</v>
      </c>
      <c r="G46" s="5" t="s">
        <v>28</v>
      </c>
      <c r="H46" s="5">
        <v>17</v>
      </c>
      <c r="I46" s="5">
        <v>642</v>
      </c>
      <c r="J46" s="5">
        <v>1095</v>
      </c>
      <c r="K46" s="6">
        <f t="shared" si="0"/>
        <v>10914</v>
      </c>
      <c r="L46" s="6">
        <f t="shared" si="1"/>
        <v>18615</v>
      </c>
      <c r="M46" s="6">
        <f t="shared" si="2"/>
        <v>7701</v>
      </c>
      <c r="N46" s="6" t="str">
        <f t="shared" si="3"/>
        <v>profit</v>
      </c>
    </row>
    <row r="47" spans="1:14" ht="15.6" thickTop="1" thickBot="1" x14ac:dyDescent="0.35">
      <c r="A47" s="4">
        <v>45584</v>
      </c>
      <c r="B47" s="4" t="s">
        <v>85</v>
      </c>
      <c r="C47" s="5" t="s">
        <v>92</v>
      </c>
      <c r="D47" s="5" t="s">
        <v>16</v>
      </c>
      <c r="E47" s="5" t="s">
        <v>37</v>
      </c>
      <c r="F47" s="5" t="s">
        <v>35</v>
      </c>
      <c r="G47" s="5" t="s">
        <v>19</v>
      </c>
      <c r="H47" s="5">
        <v>18</v>
      </c>
      <c r="I47" s="5">
        <v>596</v>
      </c>
      <c r="J47" s="5">
        <v>817</v>
      </c>
      <c r="K47" s="6">
        <f t="shared" si="0"/>
        <v>10728</v>
      </c>
      <c r="L47" s="6">
        <f t="shared" si="1"/>
        <v>14706</v>
      </c>
      <c r="M47" s="6">
        <f t="shared" si="2"/>
        <v>3978</v>
      </c>
      <c r="N47" s="6" t="str">
        <f t="shared" si="3"/>
        <v>profit</v>
      </c>
    </row>
    <row r="48" spans="1:14" ht="15.6" thickTop="1" thickBot="1" x14ac:dyDescent="0.35">
      <c r="A48" s="4">
        <v>45585</v>
      </c>
      <c r="B48" s="4" t="s">
        <v>85</v>
      </c>
      <c r="C48" s="5" t="s">
        <v>93</v>
      </c>
      <c r="D48" s="5" t="s">
        <v>16</v>
      </c>
      <c r="E48" s="5" t="s">
        <v>37</v>
      </c>
      <c r="F48" s="5" t="s">
        <v>39</v>
      </c>
      <c r="G48" s="5" t="s">
        <v>19</v>
      </c>
      <c r="H48" s="5">
        <v>14</v>
      </c>
      <c r="I48" s="5">
        <v>533</v>
      </c>
      <c r="J48" s="5">
        <v>922</v>
      </c>
      <c r="K48" s="6">
        <f t="shared" si="0"/>
        <v>7462</v>
      </c>
      <c r="L48" s="6">
        <f t="shared" si="1"/>
        <v>12908</v>
      </c>
      <c r="M48" s="6">
        <f t="shared" si="2"/>
        <v>5446</v>
      </c>
      <c r="N48" s="6" t="str">
        <f t="shared" si="3"/>
        <v>profit</v>
      </c>
    </row>
    <row r="49" spans="1:14" ht="15.6" thickTop="1" thickBot="1" x14ac:dyDescent="0.35">
      <c r="A49" s="4">
        <v>45587</v>
      </c>
      <c r="B49" s="4" t="s">
        <v>85</v>
      </c>
      <c r="C49" s="5" t="s">
        <v>94</v>
      </c>
      <c r="D49" s="5" t="s">
        <v>16</v>
      </c>
      <c r="E49" s="5" t="s">
        <v>37</v>
      </c>
      <c r="F49" s="5" t="s">
        <v>64</v>
      </c>
      <c r="G49" s="5" t="s">
        <v>19</v>
      </c>
      <c r="H49" s="5">
        <v>19</v>
      </c>
      <c r="I49" s="5">
        <v>578</v>
      </c>
      <c r="J49" s="5">
        <v>1434</v>
      </c>
      <c r="K49" s="6">
        <f t="shared" si="0"/>
        <v>10982</v>
      </c>
      <c r="L49" s="6">
        <f t="shared" si="1"/>
        <v>27246</v>
      </c>
      <c r="M49" s="6">
        <f t="shared" si="2"/>
        <v>16264</v>
      </c>
      <c r="N49" s="6" t="str">
        <f t="shared" si="3"/>
        <v>profit</v>
      </c>
    </row>
    <row r="50" spans="1:14" ht="15.6" thickTop="1" thickBot="1" x14ac:dyDescent="0.35">
      <c r="A50" s="4">
        <v>45659</v>
      </c>
      <c r="B50" s="4" t="s">
        <v>95</v>
      </c>
      <c r="C50" s="5" t="s">
        <v>96</v>
      </c>
      <c r="D50" s="5" t="s">
        <v>16</v>
      </c>
      <c r="E50" s="5" t="s">
        <v>17</v>
      </c>
      <c r="F50" s="5" t="s">
        <v>25</v>
      </c>
      <c r="G50" s="5" t="s">
        <v>19</v>
      </c>
      <c r="H50" s="5">
        <v>14</v>
      </c>
      <c r="I50" s="5">
        <v>521</v>
      </c>
      <c r="J50" s="5">
        <v>974</v>
      </c>
      <c r="K50" s="6">
        <f t="shared" si="0"/>
        <v>7294</v>
      </c>
      <c r="L50" s="6">
        <f t="shared" si="1"/>
        <v>13636</v>
      </c>
      <c r="M50" s="6">
        <f t="shared" si="2"/>
        <v>6342</v>
      </c>
      <c r="N50" s="6" t="str">
        <f t="shared" si="3"/>
        <v>profit</v>
      </c>
    </row>
    <row r="51" spans="1:14" ht="15.6" thickTop="1" thickBot="1" x14ac:dyDescent="0.35">
      <c r="A51" s="4">
        <v>45432</v>
      </c>
      <c r="B51" s="4" t="s">
        <v>97</v>
      </c>
      <c r="C51" s="5" t="s">
        <v>98</v>
      </c>
      <c r="D51" s="5" t="s">
        <v>33</v>
      </c>
      <c r="E51" s="5" t="s">
        <v>99</v>
      </c>
      <c r="F51" s="5" t="s">
        <v>35</v>
      </c>
      <c r="G51" s="5" t="s">
        <v>28</v>
      </c>
      <c r="H51" s="5">
        <v>79</v>
      </c>
      <c r="I51" s="5">
        <v>616</v>
      </c>
      <c r="J51" s="5">
        <v>944</v>
      </c>
      <c r="K51" s="6">
        <f t="shared" si="0"/>
        <v>48664</v>
      </c>
      <c r="L51" s="6">
        <f t="shared" si="1"/>
        <v>74576</v>
      </c>
      <c r="M51" s="6">
        <f t="shared" si="2"/>
        <v>25912</v>
      </c>
      <c r="N51" s="6" t="str">
        <f t="shared" si="3"/>
        <v>profit</v>
      </c>
    </row>
    <row r="52" spans="1:14" ht="15.6" thickTop="1" thickBot="1" x14ac:dyDescent="0.35">
      <c r="A52" s="4">
        <v>45661</v>
      </c>
      <c r="B52" s="4" t="s">
        <v>95</v>
      </c>
      <c r="C52" s="5" t="s">
        <v>100</v>
      </c>
      <c r="D52" s="5" t="s">
        <v>16</v>
      </c>
      <c r="E52" s="5" t="s">
        <v>17</v>
      </c>
      <c r="F52" s="5" t="s">
        <v>71</v>
      </c>
      <c r="G52" s="5" t="s">
        <v>19</v>
      </c>
      <c r="H52" s="5">
        <v>14</v>
      </c>
      <c r="I52" s="5">
        <v>734</v>
      </c>
      <c r="J52" s="5">
        <v>1058</v>
      </c>
      <c r="K52" s="6">
        <f t="shared" si="0"/>
        <v>10276</v>
      </c>
      <c r="L52" s="6">
        <f t="shared" si="1"/>
        <v>14812</v>
      </c>
      <c r="M52" s="6">
        <f t="shared" si="2"/>
        <v>4536</v>
      </c>
      <c r="N52" s="6" t="str">
        <f t="shared" si="3"/>
        <v>profit</v>
      </c>
    </row>
    <row r="53" spans="1:14" ht="15.6" thickTop="1" thickBot="1" x14ac:dyDescent="0.35">
      <c r="A53" s="4">
        <v>45663</v>
      </c>
      <c r="B53" s="4" t="s">
        <v>95</v>
      </c>
      <c r="C53" s="5" t="s">
        <v>101</v>
      </c>
      <c r="D53" s="5" t="s">
        <v>16</v>
      </c>
      <c r="E53" s="5" t="s">
        <v>17</v>
      </c>
      <c r="F53" s="5" t="s">
        <v>21</v>
      </c>
      <c r="G53" s="5" t="s">
        <v>19</v>
      </c>
      <c r="H53" s="5">
        <v>20</v>
      </c>
      <c r="I53" s="5">
        <v>837</v>
      </c>
      <c r="J53" s="5">
        <v>1014</v>
      </c>
      <c r="K53" s="6">
        <f t="shared" si="0"/>
        <v>16740</v>
      </c>
      <c r="L53" s="6">
        <f t="shared" si="1"/>
        <v>20280</v>
      </c>
      <c r="M53" s="6">
        <f t="shared" si="2"/>
        <v>3540</v>
      </c>
      <c r="N53" s="6" t="str">
        <f t="shared" si="3"/>
        <v>profit</v>
      </c>
    </row>
    <row r="54" spans="1:14" ht="15.6" thickTop="1" thickBot="1" x14ac:dyDescent="0.35">
      <c r="A54" s="4">
        <v>45665</v>
      </c>
      <c r="B54" s="4" t="s">
        <v>95</v>
      </c>
      <c r="C54" s="5" t="s">
        <v>102</v>
      </c>
      <c r="D54" s="5" t="s">
        <v>16</v>
      </c>
      <c r="E54" s="5" t="s">
        <v>17</v>
      </c>
      <c r="F54" s="5" t="s">
        <v>25</v>
      </c>
      <c r="G54" s="5" t="s">
        <v>28</v>
      </c>
      <c r="H54" s="5">
        <v>11</v>
      </c>
      <c r="I54" s="5">
        <v>617</v>
      </c>
      <c r="J54" s="5">
        <v>1025</v>
      </c>
      <c r="K54" s="6">
        <f t="shared" si="0"/>
        <v>6787</v>
      </c>
      <c r="L54" s="6">
        <f t="shared" si="1"/>
        <v>11275</v>
      </c>
      <c r="M54" s="6">
        <f t="shared" si="2"/>
        <v>4488</v>
      </c>
      <c r="N54" s="6" t="str">
        <f t="shared" si="3"/>
        <v>profit</v>
      </c>
    </row>
    <row r="55" spans="1:14" ht="15.6" thickTop="1" thickBot="1" x14ac:dyDescent="0.35">
      <c r="A55" s="4">
        <v>45678</v>
      </c>
      <c r="B55" s="4" t="s">
        <v>95</v>
      </c>
      <c r="C55" s="5" t="s">
        <v>103</v>
      </c>
      <c r="D55" s="5" t="s">
        <v>16</v>
      </c>
      <c r="E55" s="5" t="s">
        <v>37</v>
      </c>
      <c r="F55" s="5" t="s">
        <v>18</v>
      </c>
      <c r="G55" s="5" t="s">
        <v>19</v>
      </c>
      <c r="H55" s="5">
        <v>20</v>
      </c>
      <c r="I55" s="5">
        <v>749</v>
      </c>
      <c r="J55" s="5">
        <v>753</v>
      </c>
      <c r="K55" s="6">
        <f t="shared" si="0"/>
        <v>14980</v>
      </c>
      <c r="L55" s="6">
        <f t="shared" si="1"/>
        <v>15060</v>
      </c>
      <c r="M55" s="6">
        <f t="shared" si="2"/>
        <v>80</v>
      </c>
      <c r="N55" s="6" t="str">
        <f t="shared" si="3"/>
        <v>profit</v>
      </c>
    </row>
    <row r="56" spans="1:14" ht="15.6" thickTop="1" thickBot="1" x14ac:dyDescent="0.35">
      <c r="A56" s="4">
        <v>45679</v>
      </c>
      <c r="B56" s="4" t="s">
        <v>95</v>
      </c>
      <c r="C56" s="5" t="s">
        <v>104</v>
      </c>
      <c r="D56" s="5" t="s">
        <v>16</v>
      </c>
      <c r="E56" s="5" t="s">
        <v>37</v>
      </c>
      <c r="F56" s="5" t="s">
        <v>21</v>
      </c>
      <c r="G56" s="5" t="s">
        <v>19</v>
      </c>
      <c r="H56" s="5">
        <v>15</v>
      </c>
      <c r="I56" s="5">
        <v>924</v>
      </c>
      <c r="J56" s="5">
        <v>1024</v>
      </c>
      <c r="K56" s="6">
        <f t="shared" si="0"/>
        <v>13860</v>
      </c>
      <c r="L56" s="6">
        <f t="shared" si="1"/>
        <v>15360</v>
      </c>
      <c r="M56" s="6">
        <f t="shared" si="2"/>
        <v>1500</v>
      </c>
      <c r="N56" s="6" t="str">
        <f t="shared" si="3"/>
        <v>profit</v>
      </c>
    </row>
    <row r="57" spans="1:14" ht="15.6" thickTop="1" thickBot="1" x14ac:dyDescent="0.35">
      <c r="A57" s="4">
        <v>45680</v>
      </c>
      <c r="B57" s="4" t="s">
        <v>95</v>
      </c>
      <c r="C57" s="5" t="s">
        <v>105</v>
      </c>
      <c r="D57" s="5" t="s">
        <v>16</v>
      </c>
      <c r="E57" s="5" t="s">
        <v>37</v>
      </c>
      <c r="F57" s="5" t="s">
        <v>23</v>
      </c>
      <c r="G57" s="5" t="s">
        <v>19</v>
      </c>
      <c r="H57" s="5">
        <v>18</v>
      </c>
      <c r="I57" s="5">
        <v>601</v>
      </c>
      <c r="J57" s="5">
        <v>1246</v>
      </c>
      <c r="K57" s="6">
        <f t="shared" si="0"/>
        <v>10818</v>
      </c>
      <c r="L57" s="6">
        <f t="shared" si="1"/>
        <v>22428</v>
      </c>
      <c r="M57" s="6">
        <f t="shared" si="2"/>
        <v>11610</v>
      </c>
      <c r="N57" s="6" t="str">
        <f t="shared" si="3"/>
        <v>profit</v>
      </c>
    </row>
    <row r="58" spans="1:14" ht="15.6" thickTop="1" thickBot="1" x14ac:dyDescent="0.35">
      <c r="A58" s="4">
        <v>45681</v>
      </c>
      <c r="B58" s="4" t="s">
        <v>95</v>
      </c>
      <c r="C58" s="5" t="s">
        <v>106</v>
      </c>
      <c r="D58" s="5" t="s">
        <v>16</v>
      </c>
      <c r="E58" s="5" t="s">
        <v>37</v>
      </c>
      <c r="F58" s="5" t="s">
        <v>25</v>
      </c>
      <c r="G58" s="5" t="s">
        <v>19</v>
      </c>
      <c r="H58" s="5">
        <v>17</v>
      </c>
      <c r="I58" s="5">
        <v>626</v>
      </c>
      <c r="J58" s="5">
        <v>1462</v>
      </c>
      <c r="K58" s="6">
        <f t="shared" si="0"/>
        <v>10642</v>
      </c>
      <c r="L58" s="6">
        <f t="shared" si="1"/>
        <v>24854</v>
      </c>
      <c r="M58" s="6">
        <f t="shared" si="2"/>
        <v>14212</v>
      </c>
      <c r="N58" s="6" t="str">
        <f t="shared" si="3"/>
        <v>profit</v>
      </c>
    </row>
    <row r="59" spans="1:14" ht="15.6" thickTop="1" thickBot="1" x14ac:dyDescent="0.35">
      <c r="A59" s="4">
        <v>45682</v>
      </c>
      <c r="B59" s="4" t="s">
        <v>95</v>
      </c>
      <c r="C59" s="5" t="s">
        <v>107</v>
      </c>
      <c r="D59" s="5" t="s">
        <v>16</v>
      </c>
      <c r="E59" s="5" t="s">
        <v>37</v>
      </c>
      <c r="F59" s="5" t="s">
        <v>25</v>
      </c>
      <c r="G59" s="5" t="s">
        <v>19</v>
      </c>
      <c r="H59" s="5">
        <v>13</v>
      </c>
      <c r="I59" s="5">
        <v>542</v>
      </c>
      <c r="J59" s="5">
        <v>853</v>
      </c>
      <c r="K59" s="6">
        <f t="shared" si="0"/>
        <v>7046</v>
      </c>
      <c r="L59" s="6">
        <f t="shared" si="1"/>
        <v>11089</v>
      </c>
      <c r="M59" s="6">
        <f t="shared" si="2"/>
        <v>4043</v>
      </c>
      <c r="N59" s="6" t="str">
        <f t="shared" si="3"/>
        <v>profit</v>
      </c>
    </row>
    <row r="60" spans="1:14" ht="15.6" thickTop="1" thickBot="1" x14ac:dyDescent="0.35">
      <c r="A60" s="4">
        <v>45441</v>
      </c>
      <c r="B60" s="4" t="s">
        <v>97</v>
      </c>
      <c r="C60" s="5" t="s">
        <v>108</v>
      </c>
      <c r="D60" s="5" t="s">
        <v>33</v>
      </c>
      <c r="E60" s="5" t="s">
        <v>99</v>
      </c>
      <c r="F60" s="5" t="s">
        <v>54</v>
      </c>
      <c r="G60" s="5" t="s">
        <v>28</v>
      </c>
      <c r="H60" s="5">
        <v>50</v>
      </c>
      <c r="I60" s="5">
        <v>639</v>
      </c>
      <c r="J60" s="5">
        <v>789</v>
      </c>
      <c r="K60" s="6">
        <f t="shared" si="0"/>
        <v>31950</v>
      </c>
      <c r="L60" s="6">
        <f t="shared" si="1"/>
        <v>39450</v>
      </c>
      <c r="M60" s="6">
        <f t="shared" si="2"/>
        <v>7500</v>
      </c>
      <c r="N60" s="6" t="str">
        <f t="shared" si="3"/>
        <v>profit</v>
      </c>
    </row>
    <row r="61" spans="1:14" ht="15.6" thickTop="1" thickBot="1" x14ac:dyDescent="0.35">
      <c r="A61" s="4">
        <v>45684</v>
      </c>
      <c r="B61" s="4" t="s">
        <v>95</v>
      </c>
      <c r="C61" s="5" t="s">
        <v>109</v>
      </c>
      <c r="D61" s="5" t="s">
        <v>16</v>
      </c>
      <c r="E61" s="5" t="s">
        <v>37</v>
      </c>
      <c r="F61" s="5" t="s">
        <v>30</v>
      </c>
      <c r="G61" s="5" t="s">
        <v>28</v>
      </c>
      <c r="H61" s="5">
        <v>19</v>
      </c>
      <c r="I61" s="5">
        <v>595</v>
      </c>
      <c r="J61" s="5">
        <v>1424</v>
      </c>
      <c r="K61" s="6">
        <f t="shared" si="0"/>
        <v>11305</v>
      </c>
      <c r="L61" s="6">
        <f t="shared" si="1"/>
        <v>27056</v>
      </c>
      <c r="M61" s="6">
        <f t="shared" si="2"/>
        <v>15751</v>
      </c>
      <c r="N61" s="6" t="str">
        <f t="shared" si="3"/>
        <v>profit</v>
      </c>
    </row>
    <row r="62" spans="1:14" ht="15.6" thickTop="1" thickBot="1" x14ac:dyDescent="0.35">
      <c r="A62" s="4">
        <v>45685</v>
      </c>
      <c r="B62" s="4" t="s">
        <v>95</v>
      </c>
      <c r="C62" s="5" t="s">
        <v>110</v>
      </c>
      <c r="D62" s="5" t="s">
        <v>16</v>
      </c>
      <c r="E62" s="5" t="s">
        <v>37</v>
      </c>
      <c r="F62" s="5" t="s">
        <v>25</v>
      </c>
      <c r="G62" s="5" t="s">
        <v>28</v>
      </c>
      <c r="H62" s="5">
        <v>17</v>
      </c>
      <c r="I62" s="5">
        <v>593</v>
      </c>
      <c r="J62" s="5">
        <v>895</v>
      </c>
      <c r="K62" s="6">
        <f t="shared" si="0"/>
        <v>10081</v>
      </c>
      <c r="L62" s="6">
        <f t="shared" si="1"/>
        <v>15215</v>
      </c>
      <c r="M62" s="6">
        <f t="shared" si="2"/>
        <v>5134</v>
      </c>
      <c r="N62" s="6" t="str">
        <f t="shared" si="3"/>
        <v>profit</v>
      </c>
    </row>
    <row r="63" spans="1:14" ht="15.6" thickTop="1" thickBot="1" x14ac:dyDescent="0.35">
      <c r="A63" s="4">
        <v>45686</v>
      </c>
      <c r="B63" s="4" t="s">
        <v>95</v>
      </c>
      <c r="C63" s="5" t="s">
        <v>111</v>
      </c>
      <c r="D63" s="5" t="s">
        <v>16</v>
      </c>
      <c r="E63" s="5" t="s">
        <v>37</v>
      </c>
      <c r="F63" s="5" t="s">
        <v>39</v>
      </c>
      <c r="G63" s="5" t="s">
        <v>28</v>
      </c>
      <c r="H63" s="5">
        <v>20</v>
      </c>
      <c r="I63" s="5">
        <v>735</v>
      </c>
      <c r="J63" s="5">
        <v>1277</v>
      </c>
      <c r="K63" s="6">
        <f t="shared" si="0"/>
        <v>14700</v>
      </c>
      <c r="L63" s="6">
        <f t="shared" si="1"/>
        <v>25540</v>
      </c>
      <c r="M63" s="6">
        <f t="shared" si="2"/>
        <v>10840</v>
      </c>
      <c r="N63" s="6" t="str">
        <f t="shared" si="3"/>
        <v>profit</v>
      </c>
    </row>
    <row r="64" spans="1:14" ht="15.6" thickTop="1" thickBot="1" x14ac:dyDescent="0.35">
      <c r="A64" s="4">
        <v>45688</v>
      </c>
      <c r="B64" s="4" t="s">
        <v>95</v>
      </c>
      <c r="C64" s="5" t="s">
        <v>112</v>
      </c>
      <c r="D64" s="5" t="s">
        <v>16</v>
      </c>
      <c r="E64" s="5" t="s">
        <v>37</v>
      </c>
      <c r="F64" s="5" t="s">
        <v>113</v>
      </c>
      <c r="G64" s="5" t="s">
        <v>28</v>
      </c>
      <c r="H64" s="5">
        <v>17</v>
      </c>
      <c r="I64" s="5">
        <v>750</v>
      </c>
      <c r="J64" s="5">
        <v>1253</v>
      </c>
      <c r="K64" s="6">
        <f t="shared" si="0"/>
        <v>12750</v>
      </c>
      <c r="L64" s="6">
        <f t="shared" si="1"/>
        <v>21301</v>
      </c>
      <c r="M64" s="6">
        <f t="shared" si="2"/>
        <v>8551</v>
      </c>
      <c r="N64" s="6" t="str">
        <f t="shared" si="3"/>
        <v>profit</v>
      </c>
    </row>
    <row r="65" spans="1:14" ht="15.6" thickTop="1" thickBot="1" x14ac:dyDescent="0.35">
      <c r="A65" s="4">
        <v>45454</v>
      </c>
      <c r="B65" s="4" t="s">
        <v>14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19</v>
      </c>
      <c r="H65" s="5">
        <v>11</v>
      </c>
      <c r="I65" s="5">
        <v>601</v>
      </c>
      <c r="J65" s="5">
        <v>1323</v>
      </c>
      <c r="K65" s="6">
        <f t="shared" si="0"/>
        <v>6611</v>
      </c>
      <c r="L65" s="6">
        <f t="shared" si="1"/>
        <v>14553</v>
      </c>
      <c r="M65" s="6">
        <f t="shared" si="2"/>
        <v>7942</v>
      </c>
      <c r="N65" s="6" t="str">
        <f t="shared" si="3"/>
        <v>profit</v>
      </c>
    </row>
    <row r="66" spans="1:14" ht="15.6" thickTop="1" thickBot="1" x14ac:dyDescent="0.35">
      <c r="A66" s="4">
        <v>45455</v>
      </c>
      <c r="B66" s="4" t="s">
        <v>14</v>
      </c>
      <c r="C66" s="5" t="s">
        <v>20</v>
      </c>
      <c r="D66" s="5" t="s">
        <v>16</v>
      </c>
      <c r="E66" s="5" t="s">
        <v>17</v>
      </c>
      <c r="F66" s="5" t="s">
        <v>21</v>
      </c>
      <c r="G66" s="5" t="s">
        <v>19</v>
      </c>
      <c r="H66" s="5">
        <v>20</v>
      </c>
      <c r="I66" s="5">
        <v>857</v>
      </c>
      <c r="J66" s="5">
        <v>983</v>
      </c>
      <c r="K66" s="6">
        <f t="shared" ref="K66:K129" si="4">H66*I66</f>
        <v>17140</v>
      </c>
      <c r="L66" s="6">
        <f t="shared" ref="L66:L129" si="5">H66*J66</f>
        <v>19660</v>
      </c>
      <c r="M66" s="6">
        <f t="shared" ref="M66:M129" si="6">L66-K66</f>
        <v>2520</v>
      </c>
      <c r="N66" s="6" t="str">
        <f t="shared" ref="N66:N129" si="7">IF(M66&gt;0,"profit","loss")</f>
        <v>profit</v>
      </c>
    </row>
    <row r="67" spans="1:14" ht="15.6" thickTop="1" thickBot="1" x14ac:dyDescent="0.35">
      <c r="A67" s="4">
        <v>45456</v>
      </c>
      <c r="B67" s="4" t="s">
        <v>14</v>
      </c>
      <c r="C67" s="5" t="s">
        <v>22</v>
      </c>
      <c r="D67" s="5" t="s">
        <v>16</v>
      </c>
      <c r="E67" s="5" t="s">
        <v>17</v>
      </c>
      <c r="F67" s="5" t="s">
        <v>23</v>
      </c>
      <c r="G67" s="5" t="s">
        <v>19</v>
      </c>
      <c r="H67" s="5">
        <v>11</v>
      </c>
      <c r="I67" s="5">
        <v>774</v>
      </c>
      <c r="J67" s="5">
        <v>1363</v>
      </c>
      <c r="K67" s="6">
        <f t="shared" si="4"/>
        <v>8514</v>
      </c>
      <c r="L67" s="6">
        <f t="shared" si="5"/>
        <v>14993</v>
      </c>
      <c r="M67" s="6">
        <f t="shared" si="6"/>
        <v>6479</v>
      </c>
      <c r="N67" s="6" t="str">
        <f t="shared" si="7"/>
        <v>profit</v>
      </c>
    </row>
    <row r="68" spans="1:14" ht="15.6" thickTop="1" thickBot="1" x14ac:dyDescent="0.35">
      <c r="A68" s="4">
        <v>45457</v>
      </c>
      <c r="B68" s="4" t="s">
        <v>14</v>
      </c>
      <c r="C68" s="5" t="s">
        <v>24</v>
      </c>
      <c r="D68" s="5" t="s">
        <v>16</v>
      </c>
      <c r="E68" s="5" t="s">
        <v>17</v>
      </c>
      <c r="F68" s="5" t="s">
        <v>25</v>
      </c>
      <c r="G68" s="5" t="s">
        <v>19</v>
      </c>
      <c r="H68" s="5">
        <v>13</v>
      </c>
      <c r="I68" s="5">
        <v>986</v>
      </c>
      <c r="J68" s="5">
        <v>1073</v>
      </c>
      <c r="K68" s="6">
        <f t="shared" si="4"/>
        <v>12818</v>
      </c>
      <c r="L68" s="6">
        <f t="shared" si="5"/>
        <v>13949</v>
      </c>
      <c r="M68" s="6">
        <f t="shared" si="6"/>
        <v>1131</v>
      </c>
      <c r="N68" s="6" t="str">
        <f t="shared" si="7"/>
        <v>profit</v>
      </c>
    </row>
    <row r="69" spans="1:14" ht="15.6" thickTop="1" thickBot="1" x14ac:dyDescent="0.35">
      <c r="A69" s="4">
        <v>45459</v>
      </c>
      <c r="B69" s="4" t="s">
        <v>14</v>
      </c>
      <c r="C69" s="5" t="s">
        <v>26</v>
      </c>
      <c r="D69" s="5" t="s">
        <v>16</v>
      </c>
      <c r="E69" s="5" t="s">
        <v>17</v>
      </c>
      <c r="F69" s="5" t="s">
        <v>27</v>
      </c>
      <c r="G69" s="5" t="s">
        <v>28</v>
      </c>
      <c r="H69" s="5">
        <v>12</v>
      </c>
      <c r="I69" s="5">
        <v>997</v>
      </c>
      <c r="J69" s="5">
        <v>1445</v>
      </c>
      <c r="K69" s="6">
        <f t="shared" si="4"/>
        <v>11964</v>
      </c>
      <c r="L69" s="6">
        <f t="shared" si="5"/>
        <v>17340</v>
      </c>
      <c r="M69" s="6">
        <f t="shared" si="6"/>
        <v>5376</v>
      </c>
      <c r="N69" s="6" t="str">
        <f t="shared" si="7"/>
        <v>profit</v>
      </c>
    </row>
    <row r="70" spans="1:14" ht="15.6" thickTop="1" thickBot="1" x14ac:dyDescent="0.35">
      <c r="A70" s="4">
        <v>45460</v>
      </c>
      <c r="B70" s="4" t="s">
        <v>14</v>
      </c>
      <c r="C70" s="5" t="s">
        <v>29</v>
      </c>
      <c r="D70" s="5" t="s">
        <v>16</v>
      </c>
      <c r="E70" s="5" t="s">
        <v>17</v>
      </c>
      <c r="F70" s="5" t="s">
        <v>30</v>
      </c>
      <c r="G70" s="5" t="s">
        <v>28</v>
      </c>
      <c r="H70" s="5">
        <v>20</v>
      </c>
      <c r="I70" s="5">
        <v>941</v>
      </c>
      <c r="J70" s="5">
        <v>1053</v>
      </c>
      <c r="K70" s="6">
        <f t="shared" si="4"/>
        <v>18820</v>
      </c>
      <c r="L70" s="6">
        <f t="shared" si="5"/>
        <v>21060</v>
      </c>
      <c r="M70" s="6">
        <f t="shared" si="6"/>
        <v>2240</v>
      </c>
      <c r="N70" s="6" t="str">
        <f t="shared" si="7"/>
        <v>profit</v>
      </c>
    </row>
    <row r="71" spans="1:14" ht="15.6" thickTop="1" thickBot="1" x14ac:dyDescent="0.35">
      <c r="A71" s="4">
        <v>45472</v>
      </c>
      <c r="B71" s="4" t="s">
        <v>14</v>
      </c>
      <c r="C71" s="5" t="s">
        <v>36</v>
      </c>
      <c r="D71" s="5" t="s">
        <v>16</v>
      </c>
      <c r="E71" s="5" t="s">
        <v>37</v>
      </c>
      <c r="F71" s="5" t="s">
        <v>35</v>
      </c>
      <c r="G71" s="5" t="s">
        <v>19</v>
      </c>
      <c r="H71" s="5">
        <v>19</v>
      </c>
      <c r="I71" s="5">
        <v>952</v>
      </c>
      <c r="J71" s="5">
        <v>1486</v>
      </c>
      <c r="K71" s="6">
        <f t="shared" si="4"/>
        <v>18088</v>
      </c>
      <c r="L71" s="6">
        <f t="shared" si="5"/>
        <v>28234</v>
      </c>
      <c r="M71" s="6">
        <f t="shared" si="6"/>
        <v>10146</v>
      </c>
      <c r="N71" s="6" t="str">
        <f t="shared" si="7"/>
        <v>profit</v>
      </c>
    </row>
    <row r="72" spans="1:14" ht="15.6" thickTop="1" thickBot="1" x14ac:dyDescent="0.35">
      <c r="A72" s="4">
        <v>45473</v>
      </c>
      <c r="B72" s="4" t="s">
        <v>14</v>
      </c>
      <c r="C72" s="5" t="s">
        <v>38</v>
      </c>
      <c r="D72" s="5" t="s">
        <v>16</v>
      </c>
      <c r="E72" s="5" t="s">
        <v>37</v>
      </c>
      <c r="F72" s="5" t="s">
        <v>39</v>
      </c>
      <c r="G72" s="5" t="s">
        <v>19</v>
      </c>
      <c r="H72" s="5">
        <v>11</v>
      </c>
      <c r="I72" s="5">
        <v>503</v>
      </c>
      <c r="J72" s="5">
        <v>762</v>
      </c>
      <c r="K72" s="6">
        <f t="shared" si="4"/>
        <v>5533</v>
      </c>
      <c r="L72" s="6">
        <f t="shared" si="5"/>
        <v>8382</v>
      </c>
      <c r="M72" s="6">
        <f t="shared" si="6"/>
        <v>2849</v>
      </c>
      <c r="N72" s="6" t="str">
        <f t="shared" si="7"/>
        <v>profit</v>
      </c>
    </row>
    <row r="73" spans="1:14" ht="15.6" thickTop="1" thickBot="1" x14ac:dyDescent="0.35">
      <c r="A73" s="4">
        <v>45474</v>
      </c>
      <c r="B73" s="4" t="s">
        <v>40</v>
      </c>
      <c r="C73" s="5" t="s">
        <v>41</v>
      </c>
      <c r="D73" s="5" t="s">
        <v>16</v>
      </c>
      <c r="E73" s="5" t="s">
        <v>37</v>
      </c>
      <c r="F73" s="5" t="s">
        <v>39</v>
      </c>
      <c r="G73" s="5" t="s">
        <v>19</v>
      </c>
      <c r="H73" s="5">
        <v>10</v>
      </c>
      <c r="I73" s="5">
        <v>719</v>
      </c>
      <c r="J73" s="5">
        <v>862</v>
      </c>
      <c r="K73" s="6">
        <f t="shared" si="4"/>
        <v>7190</v>
      </c>
      <c r="L73" s="6">
        <f t="shared" si="5"/>
        <v>8620</v>
      </c>
      <c r="M73" s="6">
        <f t="shared" si="6"/>
        <v>1430</v>
      </c>
      <c r="N73" s="6" t="str">
        <f t="shared" si="7"/>
        <v>profit</v>
      </c>
    </row>
    <row r="74" spans="1:14" ht="15.6" thickTop="1" thickBot="1" x14ac:dyDescent="0.35">
      <c r="A74" s="4">
        <v>45476</v>
      </c>
      <c r="B74" s="4" t="s">
        <v>40</v>
      </c>
      <c r="C74" s="5" t="s">
        <v>42</v>
      </c>
      <c r="D74" s="5" t="s">
        <v>16</v>
      </c>
      <c r="E74" s="5" t="s">
        <v>37</v>
      </c>
      <c r="F74" s="5" t="s">
        <v>27</v>
      </c>
      <c r="G74" s="5" t="s">
        <v>19</v>
      </c>
      <c r="H74" s="5">
        <v>15</v>
      </c>
      <c r="I74" s="5">
        <v>941</v>
      </c>
      <c r="J74" s="5">
        <v>913</v>
      </c>
      <c r="K74" s="6">
        <f t="shared" si="4"/>
        <v>14115</v>
      </c>
      <c r="L74" s="6">
        <f t="shared" si="5"/>
        <v>13695</v>
      </c>
      <c r="M74" s="6">
        <f t="shared" si="6"/>
        <v>-420</v>
      </c>
      <c r="N74" s="6" t="str">
        <f t="shared" si="7"/>
        <v>loss</v>
      </c>
    </row>
    <row r="75" spans="1:14" ht="15.6" thickTop="1" thickBot="1" x14ac:dyDescent="0.35">
      <c r="A75" s="4">
        <v>45477</v>
      </c>
      <c r="B75" s="4" t="s">
        <v>40</v>
      </c>
      <c r="C75" s="5" t="s">
        <v>43</v>
      </c>
      <c r="D75" s="5" t="s">
        <v>16</v>
      </c>
      <c r="E75" s="5" t="s">
        <v>37</v>
      </c>
      <c r="F75" s="5" t="s">
        <v>44</v>
      </c>
      <c r="G75" s="5" t="s">
        <v>19</v>
      </c>
      <c r="H75" s="5">
        <v>15</v>
      </c>
      <c r="I75" s="5">
        <v>937</v>
      </c>
      <c r="J75" s="5">
        <v>1427</v>
      </c>
      <c r="K75" s="6">
        <f t="shared" si="4"/>
        <v>14055</v>
      </c>
      <c r="L75" s="6">
        <f t="shared" si="5"/>
        <v>21405</v>
      </c>
      <c r="M75" s="6">
        <f t="shared" si="6"/>
        <v>7350</v>
      </c>
      <c r="N75" s="6" t="str">
        <f t="shared" si="7"/>
        <v>profit</v>
      </c>
    </row>
    <row r="76" spans="1:14" ht="15.6" thickTop="1" thickBot="1" x14ac:dyDescent="0.35">
      <c r="A76" s="4">
        <v>45478</v>
      </c>
      <c r="B76" s="4" t="s">
        <v>40</v>
      </c>
      <c r="C76" s="5" t="s">
        <v>48</v>
      </c>
      <c r="D76" s="5" t="s">
        <v>16</v>
      </c>
      <c r="E76" s="5" t="s">
        <v>37</v>
      </c>
      <c r="F76" s="5" t="s">
        <v>49</v>
      </c>
      <c r="G76" s="5" t="s">
        <v>19</v>
      </c>
      <c r="H76" s="5">
        <v>11</v>
      </c>
      <c r="I76" s="5">
        <v>674</v>
      </c>
      <c r="J76" s="5">
        <v>1415</v>
      </c>
      <c r="K76" s="6">
        <f t="shared" si="4"/>
        <v>7414</v>
      </c>
      <c r="L76" s="6">
        <f t="shared" si="5"/>
        <v>15565</v>
      </c>
      <c r="M76" s="6">
        <f t="shared" si="6"/>
        <v>8151</v>
      </c>
      <c r="N76" s="6" t="str">
        <f t="shared" si="7"/>
        <v>profit</v>
      </c>
    </row>
    <row r="77" spans="1:14" ht="15.6" thickTop="1" thickBot="1" x14ac:dyDescent="0.35">
      <c r="A77" s="4">
        <v>45458</v>
      </c>
      <c r="B77" s="4" t="s">
        <v>14</v>
      </c>
      <c r="C77" s="5" t="s">
        <v>114</v>
      </c>
      <c r="D77" s="5" t="s">
        <v>16</v>
      </c>
      <c r="E77" s="5" t="s">
        <v>17</v>
      </c>
      <c r="F77" s="5" t="s">
        <v>25</v>
      </c>
      <c r="G77" s="5" t="s">
        <v>19</v>
      </c>
      <c r="H77" s="5">
        <v>20</v>
      </c>
      <c r="I77" s="5">
        <v>827</v>
      </c>
      <c r="J77" s="5">
        <v>816</v>
      </c>
      <c r="K77" s="6">
        <f t="shared" si="4"/>
        <v>16540</v>
      </c>
      <c r="L77" s="6">
        <f t="shared" si="5"/>
        <v>16320</v>
      </c>
      <c r="M77" s="6">
        <f t="shared" si="6"/>
        <v>-220</v>
      </c>
      <c r="N77" s="6" t="str">
        <f t="shared" si="7"/>
        <v>loss</v>
      </c>
    </row>
    <row r="78" spans="1:14" ht="15.6" thickTop="1" thickBot="1" x14ac:dyDescent="0.35">
      <c r="A78" s="4">
        <v>45479</v>
      </c>
      <c r="B78" s="4" t="s">
        <v>40</v>
      </c>
      <c r="C78" s="5" t="s">
        <v>50</v>
      </c>
      <c r="D78" s="5" t="s">
        <v>16</v>
      </c>
      <c r="E78" s="5" t="s">
        <v>37</v>
      </c>
      <c r="F78" s="5" t="s">
        <v>27</v>
      </c>
      <c r="G78" s="5" t="s">
        <v>28</v>
      </c>
      <c r="H78" s="5">
        <v>20</v>
      </c>
      <c r="I78" s="5">
        <v>596</v>
      </c>
      <c r="J78" s="5">
        <v>1255</v>
      </c>
      <c r="K78" s="6">
        <f t="shared" si="4"/>
        <v>11920</v>
      </c>
      <c r="L78" s="6">
        <f t="shared" si="5"/>
        <v>25100</v>
      </c>
      <c r="M78" s="6">
        <f t="shared" si="6"/>
        <v>13180</v>
      </c>
      <c r="N78" s="6" t="str">
        <f t="shared" si="7"/>
        <v>profit</v>
      </c>
    </row>
    <row r="79" spans="1:14" ht="15.6" thickTop="1" thickBot="1" x14ac:dyDescent="0.35">
      <c r="A79" s="4">
        <v>45480</v>
      </c>
      <c r="B79" s="4" t="s">
        <v>40</v>
      </c>
      <c r="C79" s="5" t="s">
        <v>51</v>
      </c>
      <c r="D79" s="5" t="s">
        <v>16</v>
      </c>
      <c r="E79" s="5" t="s">
        <v>37</v>
      </c>
      <c r="F79" s="5" t="s">
        <v>52</v>
      </c>
      <c r="G79" s="5" t="s">
        <v>28</v>
      </c>
      <c r="H79" s="5">
        <v>20</v>
      </c>
      <c r="I79" s="5">
        <v>689</v>
      </c>
      <c r="J79" s="5">
        <v>939</v>
      </c>
      <c r="K79" s="6">
        <f t="shared" si="4"/>
        <v>13780</v>
      </c>
      <c r="L79" s="6">
        <f t="shared" si="5"/>
        <v>18780</v>
      </c>
      <c r="M79" s="6">
        <f t="shared" si="6"/>
        <v>5000</v>
      </c>
      <c r="N79" s="6" t="str">
        <f t="shared" si="7"/>
        <v>profit</v>
      </c>
    </row>
    <row r="80" spans="1:14" ht="15.6" thickTop="1" thickBot="1" x14ac:dyDescent="0.35">
      <c r="A80" s="4">
        <v>45481</v>
      </c>
      <c r="B80" s="4" t="s">
        <v>40</v>
      </c>
      <c r="C80" s="5" t="s">
        <v>53</v>
      </c>
      <c r="D80" s="5" t="s">
        <v>16</v>
      </c>
      <c r="E80" s="5" t="s">
        <v>37</v>
      </c>
      <c r="F80" s="5" t="s">
        <v>54</v>
      </c>
      <c r="G80" s="5" t="s">
        <v>28</v>
      </c>
      <c r="H80" s="5">
        <v>17</v>
      </c>
      <c r="I80" s="5">
        <v>990</v>
      </c>
      <c r="J80" s="5">
        <v>1391</v>
      </c>
      <c r="K80" s="6">
        <f t="shared" si="4"/>
        <v>16830</v>
      </c>
      <c r="L80" s="6">
        <f t="shared" si="5"/>
        <v>23647</v>
      </c>
      <c r="M80" s="6">
        <f t="shared" si="6"/>
        <v>6817</v>
      </c>
      <c r="N80" s="6" t="str">
        <f t="shared" si="7"/>
        <v>profit</v>
      </c>
    </row>
    <row r="81" spans="1:14" ht="15.6" thickTop="1" thickBot="1" x14ac:dyDescent="0.35">
      <c r="A81" s="4">
        <v>45482</v>
      </c>
      <c r="B81" s="4" t="s">
        <v>40</v>
      </c>
      <c r="C81" s="5" t="s">
        <v>55</v>
      </c>
      <c r="D81" s="5" t="s">
        <v>16</v>
      </c>
      <c r="E81" s="5" t="s">
        <v>37</v>
      </c>
      <c r="F81" s="5" t="s">
        <v>35</v>
      </c>
      <c r="G81" s="5" t="s">
        <v>28</v>
      </c>
      <c r="H81" s="5">
        <v>20</v>
      </c>
      <c r="I81" s="5">
        <v>589</v>
      </c>
      <c r="J81" s="5">
        <v>773</v>
      </c>
      <c r="K81" s="6">
        <f t="shared" si="4"/>
        <v>11780</v>
      </c>
      <c r="L81" s="6">
        <f t="shared" si="5"/>
        <v>15460</v>
      </c>
      <c r="M81" s="6">
        <f t="shared" si="6"/>
        <v>3680</v>
      </c>
      <c r="N81" s="6" t="str">
        <f t="shared" si="7"/>
        <v>profit</v>
      </c>
    </row>
    <row r="82" spans="1:14" ht="15.6" thickTop="1" thickBot="1" x14ac:dyDescent="0.35">
      <c r="A82" s="4">
        <v>45483</v>
      </c>
      <c r="B82" s="4" t="s">
        <v>40</v>
      </c>
      <c r="C82" s="5" t="s">
        <v>56</v>
      </c>
      <c r="D82" s="5" t="s">
        <v>16</v>
      </c>
      <c r="E82" s="5" t="s">
        <v>37</v>
      </c>
      <c r="F82" s="5" t="s">
        <v>39</v>
      </c>
      <c r="G82" s="5" t="s">
        <v>19</v>
      </c>
      <c r="H82" s="5">
        <v>17</v>
      </c>
      <c r="I82" s="5">
        <v>773</v>
      </c>
      <c r="J82" s="5">
        <v>1266</v>
      </c>
      <c r="K82" s="6">
        <f t="shared" si="4"/>
        <v>13141</v>
      </c>
      <c r="L82" s="6">
        <f t="shared" si="5"/>
        <v>21522</v>
      </c>
      <c r="M82" s="6">
        <f t="shared" si="6"/>
        <v>8381</v>
      </c>
      <c r="N82" s="6" t="str">
        <f t="shared" si="7"/>
        <v>profit</v>
      </c>
    </row>
    <row r="83" spans="1:14" ht="15.6" thickTop="1" thickBot="1" x14ac:dyDescent="0.35">
      <c r="A83" s="4">
        <v>45464</v>
      </c>
      <c r="B83" s="4" t="s">
        <v>14</v>
      </c>
      <c r="C83" s="5" t="s">
        <v>115</v>
      </c>
      <c r="D83" s="5" t="s">
        <v>33</v>
      </c>
      <c r="E83" s="5" t="s">
        <v>99</v>
      </c>
      <c r="F83" s="5" t="s">
        <v>44</v>
      </c>
      <c r="G83" s="5" t="s">
        <v>19</v>
      </c>
      <c r="H83" s="5">
        <v>75</v>
      </c>
      <c r="I83" s="5">
        <v>859</v>
      </c>
      <c r="J83" s="5">
        <v>1486</v>
      </c>
      <c r="K83" s="6">
        <f t="shared" si="4"/>
        <v>64425</v>
      </c>
      <c r="L83" s="6">
        <f t="shared" si="5"/>
        <v>111450</v>
      </c>
      <c r="M83" s="6">
        <f t="shared" si="6"/>
        <v>47025</v>
      </c>
      <c r="N83" s="6" t="str">
        <f t="shared" si="7"/>
        <v>profit</v>
      </c>
    </row>
    <row r="84" spans="1:14" ht="15.6" thickTop="1" thickBot="1" x14ac:dyDescent="0.35">
      <c r="A84" s="4">
        <v>45510</v>
      </c>
      <c r="B84" s="4" t="s">
        <v>57</v>
      </c>
      <c r="C84" s="5" t="s">
        <v>58</v>
      </c>
      <c r="D84" s="5" t="s">
        <v>16</v>
      </c>
      <c r="E84" s="5" t="s">
        <v>37</v>
      </c>
      <c r="F84" s="5" t="s">
        <v>44</v>
      </c>
      <c r="G84" s="5" t="s">
        <v>19</v>
      </c>
      <c r="H84" s="5">
        <v>11</v>
      </c>
      <c r="I84" s="5">
        <v>830</v>
      </c>
      <c r="J84" s="5">
        <v>1386</v>
      </c>
      <c r="K84" s="6">
        <f t="shared" si="4"/>
        <v>9130</v>
      </c>
      <c r="L84" s="6">
        <f t="shared" si="5"/>
        <v>15246</v>
      </c>
      <c r="M84" s="6">
        <f t="shared" si="6"/>
        <v>6116</v>
      </c>
      <c r="N84" s="6" t="str">
        <f t="shared" si="7"/>
        <v>profit</v>
      </c>
    </row>
    <row r="85" spans="1:14" ht="15.6" thickTop="1" thickBot="1" x14ac:dyDescent="0.35">
      <c r="A85" s="4">
        <v>45511</v>
      </c>
      <c r="B85" s="4" t="s">
        <v>57</v>
      </c>
      <c r="C85" s="5" t="s">
        <v>59</v>
      </c>
      <c r="D85" s="5" t="s">
        <v>16</v>
      </c>
      <c r="E85" s="5" t="s">
        <v>37</v>
      </c>
      <c r="F85" s="5" t="s">
        <v>60</v>
      </c>
      <c r="G85" s="5" t="s">
        <v>19</v>
      </c>
      <c r="H85" s="5">
        <v>11</v>
      </c>
      <c r="I85" s="5">
        <v>930</v>
      </c>
      <c r="J85" s="5">
        <v>876</v>
      </c>
      <c r="K85" s="6">
        <f t="shared" si="4"/>
        <v>10230</v>
      </c>
      <c r="L85" s="6">
        <f t="shared" si="5"/>
        <v>9636</v>
      </c>
      <c r="M85" s="6">
        <f t="shared" si="6"/>
        <v>-594</v>
      </c>
      <c r="N85" s="6" t="str">
        <f t="shared" si="7"/>
        <v>loss</v>
      </c>
    </row>
    <row r="86" spans="1:14" ht="15.6" thickTop="1" thickBot="1" x14ac:dyDescent="0.35">
      <c r="A86" s="4">
        <v>45513</v>
      </c>
      <c r="B86" s="4" t="s">
        <v>57</v>
      </c>
      <c r="C86" s="5" t="s">
        <v>61</v>
      </c>
      <c r="D86" s="5" t="s">
        <v>16</v>
      </c>
      <c r="E86" s="5" t="s">
        <v>37</v>
      </c>
      <c r="F86" s="5" t="s">
        <v>39</v>
      </c>
      <c r="G86" s="5" t="s">
        <v>19</v>
      </c>
      <c r="H86" s="5">
        <v>19</v>
      </c>
      <c r="I86" s="5">
        <v>654</v>
      </c>
      <c r="J86" s="5">
        <v>1295</v>
      </c>
      <c r="K86" s="6">
        <f t="shared" si="4"/>
        <v>12426</v>
      </c>
      <c r="L86" s="6">
        <f t="shared" si="5"/>
        <v>24605</v>
      </c>
      <c r="M86" s="6">
        <f t="shared" si="6"/>
        <v>12179</v>
      </c>
      <c r="N86" s="6" t="str">
        <f t="shared" si="7"/>
        <v>profit</v>
      </c>
    </row>
    <row r="87" spans="1:14" ht="15.6" thickTop="1" thickBot="1" x14ac:dyDescent="0.35">
      <c r="A87" s="4">
        <v>45514</v>
      </c>
      <c r="B87" s="4" t="s">
        <v>57</v>
      </c>
      <c r="C87" s="5" t="s">
        <v>65</v>
      </c>
      <c r="D87" s="5" t="s">
        <v>16</v>
      </c>
      <c r="E87" s="5" t="s">
        <v>37</v>
      </c>
      <c r="F87" s="5" t="s">
        <v>39</v>
      </c>
      <c r="G87" s="5" t="s">
        <v>19</v>
      </c>
      <c r="H87" s="5">
        <v>18</v>
      </c>
      <c r="I87" s="5">
        <v>767</v>
      </c>
      <c r="J87" s="5">
        <v>988</v>
      </c>
      <c r="K87" s="6">
        <f t="shared" si="4"/>
        <v>13806</v>
      </c>
      <c r="L87" s="6">
        <f t="shared" si="5"/>
        <v>17784</v>
      </c>
      <c r="M87" s="6">
        <f t="shared" si="6"/>
        <v>3978</v>
      </c>
      <c r="N87" s="6" t="str">
        <f t="shared" si="7"/>
        <v>profit</v>
      </c>
    </row>
    <row r="88" spans="1:14" ht="15.6" thickTop="1" thickBot="1" x14ac:dyDescent="0.35">
      <c r="A88" s="4">
        <v>45515</v>
      </c>
      <c r="B88" s="4" t="s">
        <v>57</v>
      </c>
      <c r="C88" s="5" t="s">
        <v>67</v>
      </c>
      <c r="D88" s="5" t="s">
        <v>16</v>
      </c>
      <c r="E88" s="5" t="s">
        <v>37</v>
      </c>
      <c r="F88" s="5" t="s">
        <v>44</v>
      </c>
      <c r="G88" s="5" t="s">
        <v>28</v>
      </c>
      <c r="H88" s="5">
        <v>12</v>
      </c>
      <c r="I88" s="5">
        <v>654</v>
      </c>
      <c r="J88" s="5">
        <v>788</v>
      </c>
      <c r="K88" s="6">
        <f t="shared" si="4"/>
        <v>7848</v>
      </c>
      <c r="L88" s="6">
        <f t="shared" si="5"/>
        <v>9456</v>
      </c>
      <c r="M88" s="6">
        <f t="shared" si="6"/>
        <v>1608</v>
      </c>
      <c r="N88" s="6" t="str">
        <f t="shared" si="7"/>
        <v>profit</v>
      </c>
    </row>
    <row r="89" spans="1:14" ht="15.6" thickTop="1" thickBot="1" x14ac:dyDescent="0.35">
      <c r="A89" s="4">
        <v>45516</v>
      </c>
      <c r="B89" s="4" t="s">
        <v>57</v>
      </c>
      <c r="C89" s="5" t="s">
        <v>68</v>
      </c>
      <c r="D89" s="5" t="s">
        <v>16</v>
      </c>
      <c r="E89" s="5" t="s">
        <v>37</v>
      </c>
      <c r="F89" s="5" t="s">
        <v>27</v>
      </c>
      <c r="G89" s="5" t="s">
        <v>28</v>
      </c>
      <c r="H89" s="5">
        <v>11</v>
      </c>
      <c r="I89" s="5">
        <v>827</v>
      </c>
      <c r="J89" s="5">
        <v>765</v>
      </c>
      <c r="K89" s="6">
        <f t="shared" si="4"/>
        <v>9097</v>
      </c>
      <c r="L89" s="6">
        <f t="shared" si="5"/>
        <v>8415</v>
      </c>
      <c r="M89" s="6">
        <f t="shared" si="6"/>
        <v>-682</v>
      </c>
      <c r="N89" s="6" t="str">
        <f t="shared" si="7"/>
        <v>loss</v>
      </c>
    </row>
    <row r="90" spans="1:14" ht="15.6" thickTop="1" thickBot="1" x14ac:dyDescent="0.35">
      <c r="A90" s="4">
        <v>45543</v>
      </c>
      <c r="B90" s="4" t="s">
        <v>69</v>
      </c>
      <c r="C90" s="5" t="s">
        <v>70</v>
      </c>
      <c r="D90" s="5" t="s">
        <v>16</v>
      </c>
      <c r="E90" s="5" t="s">
        <v>37</v>
      </c>
      <c r="F90" s="5" t="s">
        <v>71</v>
      </c>
      <c r="G90" s="5" t="s">
        <v>28</v>
      </c>
      <c r="H90" s="5">
        <v>12</v>
      </c>
      <c r="I90" s="5">
        <v>561</v>
      </c>
      <c r="J90" s="5">
        <v>1162</v>
      </c>
      <c r="K90" s="6">
        <f t="shared" si="4"/>
        <v>6732</v>
      </c>
      <c r="L90" s="6">
        <f t="shared" si="5"/>
        <v>13944</v>
      </c>
      <c r="M90" s="6">
        <f t="shared" si="6"/>
        <v>7212</v>
      </c>
      <c r="N90" s="6" t="str">
        <f t="shared" si="7"/>
        <v>profit</v>
      </c>
    </row>
    <row r="91" spans="1:14" ht="15.6" thickTop="1" thickBot="1" x14ac:dyDescent="0.35">
      <c r="A91" s="4">
        <v>45544</v>
      </c>
      <c r="B91" s="4" t="s">
        <v>69</v>
      </c>
      <c r="C91" s="5" t="s">
        <v>72</v>
      </c>
      <c r="D91" s="5" t="s">
        <v>16</v>
      </c>
      <c r="E91" s="5" t="s">
        <v>37</v>
      </c>
      <c r="F91" s="5" t="s">
        <v>44</v>
      </c>
      <c r="G91" s="5" t="s">
        <v>28</v>
      </c>
      <c r="H91" s="5">
        <v>12</v>
      </c>
      <c r="I91" s="5">
        <v>879</v>
      </c>
      <c r="J91" s="5">
        <v>1428</v>
      </c>
      <c r="K91" s="6">
        <f t="shared" si="4"/>
        <v>10548</v>
      </c>
      <c r="L91" s="6">
        <f t="shared" si="5"/>
        <v>17136</v>
      </c>
      <c r="M91" s="6">
        <f t="shared" si="6"/>
        <v>6588</v>
      </c>
      <c r="N91" s="6" t="str">
        <f t="shared" si="7"/>
        <v>profit</v>
      </c>
    </row>
    <row r="92" spans="1:14" ht="15.6" thickTop="1" thickBot="1" x14ac:dyDescent="0.35">
      <c r="A92" s="4">
        <v>45545</v>
      </c>
      <c r="B92" s="4" t="s">
        <v>69</v>
      </c>
      <c r="C92" s="5" t="s">
        <v>73</v>
      </c>
      <c r="D92" s="5" t="s">
        <v>16</v>
      </c>
      <c r="E92" s="5" t="s">
        <v>37</v>
      </c>
      <c r="F92" s="5" t="s">
        <v>25</v>
      </c>
      <c r="G92" s="5" t="s">
        <v>28</v>
      </c>
      <c r="H92" s="5">
        <v>13</v>
      </c>
      <c r="I92" s="5">
        <v>523</v>
      </c>
      <c r="J92" s="5">
        <v>1326</v>
      </c>
      <c r="K92" s="6">
        <f t="shared" si="4"/>
        <v>6799</v>
      </c>
      <c r="L92" s="6">
        <f t="shared" si="5"/>
        <v>17238</v>
      </c>
      <c r="M92" s="6">
        <f t="shared" si="6"/>
        <v>10439</v>
      </c>
      <c r="N92" s="6" t="str">
        <f t="shared" si="7"/>
        <v>profit</v>
      </c>
    </row>
    <row r="93" spans="1:14" ht="15.6" thickTop="1" thickBot="1" x14ac:dyDescent="0.35">
      <c r="A93" s="4">
        <v>45546</v>
      </c>
      <c r="B93" s="4" t="s">
        <v>69</v>
      </c>
      <c r="C93" s="5" t="s">
        <v>74</v>
      </c>
      <c r="D93" s="5" t="s">
        <v>16</v>
      </c>
      <c r="E93" s="5" t="s">
        <v>37</v>
      </c>
      <c r="F93" s="5" t="s">
        <v>64</v>
      </c>
      <c r="G93" s="5" t="s">
        <v>28</v>
      </c>
      <c r="H93" s="5">
        <v>10</v>
      </c>
      <c r="I93" s="5">
        <v>990</v>
      </c>
      <c r="J93" s="5">
        <v>1030</v>
      </c>
      <c r="K93" s="6">
        <f t="shared" si="4"/>
        <v>9900</v>
      </c>
      <c r="L93" s="6">
        <f t="shared" si="5"/>
        <v>10300</v>
      </c>
      <c r="M93" s="6">
        <f t="shared" si="6"/>
        <v>400</v>
      </c>
      <c r="N93" s="6" t="str">
        <f t="shared" si="7"/>
        <v>profit</v>
      </c>
    </row>
    <row r="94" spans="1:14" ht="15.6" thickTop="1" thickBot="1" x14ac:dyDescent="0.35">
      <c r="A94" s="4">
        <v>45475</v>
      </c>
      <c r="B94" s="4" t="s">
        <v>40</v>
      </c>
      <c r="C94" s="5" t="s">
        <v>116</v>
      </c>
      <c r="D94" s="5" t="s">
        <v>16</v>
      </c>
      <c r="E94" s="5" t="s">
        <v>37</v>
      </c>
      <c r="F94" s="5" t="s">
        <v>44</v>
      </c>
      <c r="G94" s="5" t="s">
        <v>19</v>
      </c>
      <c r="H94" s="5">
        <v>15</v>
      </c>
      <c r="I94" s="5">
        <v>910</v>
      </c>
      <c r="J94" s="5">
        <v>916</v>
      </c>
      <c r="K94" s="6">
        <f t="shared" si="4"/>
        <v>13650</v>
      </c>
      <c r="L94" s="6">
        <f t="shared" si="5"/>
        <v>13740</v>
      </c>
      <c r="M94" s="6">
        <f t="shared" si="6"/>
        <v>90</v>
      </c>
      <c r="N94" s="6" t="str">
        <f t="shared" si="7"/>
        <v>profit</v>
      </c>
    </row>
    <row r="95" spans="1:14" ht="15.6" thickTop="1" thickBot="1" x14ac:dyDescent="0.35">
      <c r="A95" s="4">
        <v>45547</v>
      </c>
      <c r="B95" s="4" t="s">
        <v>69</v>
      </c>
      <c r="C95" s="5" t="s">
        <v>75</v>
      </c>
      <c r="D95" s="5" t="s">
        <v>16</v>
      </c>
      <c r="E95" s="5" t="s">
        <v>37</v>
      </c>
      <c r="F95" s="5" t="s">
        <v>76</v>
      </c>
      <c r="G95" s="5" t="s">
        <v>19</v>
      </c>
      <c r="H95" s="5">
        <v>12</v>
      </c>
      <c r="I95" s="5">
        <v>707</v>
      </c>
      <c r="J95" s="5">
        <v>1203</v>
      </c>
      <c r="K95" s="6">
        <f t="shared" si="4"/>
        <v>8484</v>
      </c>
      <c r="L95" s="6">
        <f t="shared" si="5"/>
        <v>14436</v>
      </c>
      <c r="M95" s="6">
        <f t="shared" si="6"/>
        <v>5952</v>
      </c>
      <c r="N95" s="6" t="str">
        <f t="shared" si="7"/>
        <v>profit</v>
      </c>
    </row>
    <row r="96" spans="1:14" ht="15.6" thickTop="1" thickBot="1" x14ac:dyDescent="0.35">
      <c r="A96" s="4">
        <v>45548</v>
      </c>
      <c r="B96" s="4" t="s">
        <v>69</v>
      </c>
      <c r="C96" s="5" t="s">
        <v>77</v>
      </c>
      <c r="D96" s="5" t="s">
        <v>16</v>
      </c>
      <c r="E96" s="5" t="s">
        <v>37</v>
      </c>
      <c r="F96" s="5" t="s">
        <v>78</v>
      </c>
      <c r="G96" s="5" t="s">
        <v>19</v>
      </c>
      <c r="H96" s="5">
        <v>13</v>
      </c>
      <c r="I96" s="5">
        <v>515</v>
      </c>
      <c r="J96" s="5">
        <v>1095</v>
      </c>
      <c r="K96" s="6">
        <f t="shared" si="4"/>
        <v>6695</v>
      </c>
      <c r="L96" s="6">
        <f t="shared" si="5"/>
        <v>14235</v>
      </c>
      <c r="M96" s="6">
        <f t="shared" si="6"/>
        <v>7540</v>
      </c>
      <c r="N96" s="6" t="str">
        <f t="shared" si="7"/>
        <v>profit</v>
      </c>
    </row>
    <row r="97" spans="1:14" ht="15.6" thickTop="1" thickBot="1" x14ac:dyDescent="0.35">
      <c r="A97" s="4">
        <v>45550</v>
      </c>
      <c r="B97" s="4" t="s">
        <v>69</v>
      </c>
      <c r="C97" s="5" t="s">
        <v>79</v>
      </c>
      <c r="D97" s="5" t="s">
        <v>16</v>
      </c>
      <c r="E97" s="5" t="s">
        <v>37</v>
      </c>
      <c r="F97" s="5" t="s">
        <v>44</v>
      </c>
      <c r="G97" s="5" t="s">
        <v>19</v>
      </c>
      <c r="H97" s="5">
        <v>12</v>
      </c>
      <c r="I97" s="5">
        <v>671</v>
      </c>
      <c r="J97" s="5">
        <v>850</v>
      </c>
      <c r="K97" s="6">
        <f t="shared" si="4"/>
        <v>8052</v>
      </c>
      <c r="L97" s="6">
        <f t="shared" si="5"/>
        <v>10200</v>
      </c>
      <c r="M97" s="6">
        <f t="shared" si="6"/>
        <v>2148</v>
      </c>
      <c r="N97" s="6" t="str">
        <f t="shared" si="7"/>
        <v>profit</v>
      </c>
    </row>
    <row r="98" spans="1:14" ht="15.6" thickTop="1" thickBot="1" x14ac:dyDescent="0.35">
      <c r="A98" s="4">
        <v>45551</v>
      </c>
      <c r="B98" s="4" t="s">
        <v>69</v>
      </c>
      <c r="C98" s="5" t="s">
        <v>80</v>
      </c>
      <c r="D98" s="5" t="s">
        <v>16</v>
      </c>
      <c r="E98" s="5" t="s">
        <v>37</v>
      </c>
      <c r="F98" s="5" t="s">
        <v>60</v>
      </c>
      <c r="G98" s="5" t="s">
        <v>19</v>
      </c>
      <c r="H98" s="5">
        <v>12</v>
      </c>
      <c r="I98" s="5">
        <v>500</v>
      </c>
      <c r="J98" s="5">
        <v>1276</v>
      </c>
      <c r="K98" s="6">
        <f t="shared" si="4"/>
        <v>6000</v>
      </c>
      <c r="L98" s="6">
        <f t="shared" si="5"/>
        <v>15312</v>
      </c>
      <c r="M98" s="6">
        <f t="shared" si="6"/>
        <v>9312</v>
      </c>
      <c r="N98" s="6" t="str">
        <f t="shared" si="7"/>
        <v>profit</v>
      </c>
    </row>
    <row r="99" spans="1:14" ht="15.6" thickTop="1" thickBot="1" x14ac:dyDescent="0.35">
      <c r="A99" s="4">
        <v>45552</v>
      </c>
      <c r="B99" s="4" t="s">
        <v>69</v>
      </c>
      <c r="C99" s="5" t="s">
        <v>81</v>
      </c>
      <c r="D99" s="5" t="s">
        <v>16</v>
      </c>
      <c r="E99" s="5" t="s">
        <v>37</v>
      </c>
      <c r="F99" s="5" t="s">
        <v>35</v>
      </c>
      <c r="G99" s="5" t="s">
        <v>19</v>
      </c>
      <c r="H99" s="5">
        <v>18</v>
      </c>
      <c r="I99" s="5">
        <v>602</v>
      </c>
      <c r="J99" s="5">
        <v>1401</v>
      </c>
      <c r="K99" s="6">
        <f t="shared" si="4"/>
        <v>10836</v>
      </c>
      <c r="L99" s="6">
        <f t="shared" si="5"/>
        <v>25218</v>
      </c>
      <c r="M99" s="6">
        <f t="shared" si="6"/>
        <v>14382</v>
      </c>
      <c r="N99" s="6" t="str">
        <f t="shared" si="7"/>
        <v>profit</v>
      </c>
    </row>
    <row r="100" spans="1:14" ht="15.6" thickTop="1" thickBot="1" x14ac:dyDescent="0.35">
      <c r="A100" s="4">
        <v>45553</v>
      </c>
      <c r="B100" s="4" t="s">
        <v>69</v>
      </c>
      <c r="C100" s="5" t="s">
        <v>82</v>
      </c>
      <c r="D100" s="5" t="s">
        <v>16</v>
      </c>
      <c r="E100" s="5" t="s">
        <v>37</v>
      </c>
      <c r="F100" s="5" t="s">
        <v>39</v>
      </c>
      <c r="G100" s="5" t="s">
        <v>19</v>
      </c>
      <c r="H100" s="5">
        <v>18</v>
      </c>
      <c r="I100" s="5">
        <v>629</v>
      </c>
      <c r="J100" s="5">
        <v>945</v>
      </c>
      <c r="K100" s="6">
        <f t="shared" si="4"/>
        <v>11322</v>
      </c>
      <c r="L100" s="6">
        <f t="shared" si="5"/>
        <v>17010</v>
      </c>
      <c r="M100" s="6">
        <f t="shared" si="6"/>
        <v>5688</v>
      </c>
      <c r="N100" s="6" t="str">
        <f t="shared" si="7"/>
        <v>profit</v>
      </c>
    </row>
    <row r="101" spans="1:14" ht="15.6" thickTop="1" thickBot="1" x14ac:dyDescent="0.35">
      <c r="A101" s="4">
        <v>45562</v>
      </c>
      <c r="B101" s="4" t="s">
        <v>69</v>
      </c>
      <c r="C101" s="5" t="s">
        <v>83</v>
      </c>
      <c r="D101" s="5" t="s">
        <v>16</v>
      </c>
      <c r="E101" s="5" t="s">
        <v>17</v>
      </c>
      <c r="F101" s="5" t="s">
        <v>35</v>
      </c>
      <c r="G101" s="5" t="s">
        <v>28</v>
      </c>
      <c r="H101" s="5">
        <v>17</v>
      </c>
      <c r="I101" s="5">
        <v>565</v>
      </c>
      <c r="J101" s="5">
        <v>1281</v>
      </c>
      <c r="K101" s="6">
        <f t="shared" si="4"/>
        <v>9605</v>
      </c>
      <c r="L101" s="6">
        <f t="shared" si="5"/>
        <v>21777</v>
      </c>
      <c r="M101" s="6">
        <f t="shared" si="6"/>
        <v>12172</v>
      </c>
      <c r="N101" s="6" t="str">
        <f t="shared" si="7"/>
        <v>profit</v>
      </c>
    </row>
    <row r="102" spans="1:14" ht="15.6" thickTop="1" thickBot="1" x14ac:dyDescent="0.35">
      <c r="A102" s="4">
        <v>45564</v>
      </c>
      <c r="B102" s="4" t="s">
        <v>69</v>
      </c>
      <c r="C102" s="5" t="s">
        <v>84</v>
      </c>
      <c r="D102" s="5" t="s">
        <v>16</v>
      </c>
      <c r="E102" s="5" t="s">
        <v>17</v>
      </c>
      <c r="F102" s="5" t="s">
        <v>39</v>
      </c>
      <c r="G102" s="5" t="s">
        <v>19</v>
      </c>
      <c r="H102" s="5">
        <v>10</v>
      </c>
      <c r="I102" s="5">
        <v>917</v>
      </c>
      <c r="J102" s="5">
        <v>1107</v>
      </c>
      <c r="K102" s="6">
        <f t="shared" si="4"/>
        <v>9170</v>
      </c>
      <c r="L102" s="6">
        <f t="shared" si="5"/>
        <v>11070</v>
      </c>
      <c r="M102" s="6">
        <f t="shared" si="6"/>
        <v>1900</v>
      </c>
      <c r="N102" s="6" t="str">
        <f t="shared" si="7"/>
        <v>profit</v>
      </c>
    </row>
    <row r="103" spans="1:14" ht="15.6" thickTop="1" thickBot="1" x14ac:dyDescent="0.35">
      <c r="A103" s="4">
        <v>45566</v>
      </c>
      <c r="B103" s="4" t="s">
        <v>85</v>
      </c>
      <c r="C103" s="5" t="s">
        <v>86</v>
      </c>
      <c r="D103" s="5" t="s">
        <v>16</v>
      </c>
      <c r="E103" s="5" t="s">
        <v>17</v>
      </c>
      <c r="F103" s="5" t="s">
        <v>64</v>
      </c>
      <c r="G103" s="5" t="s">
        <v>19</v>
      </c>
      <c r="H103" s="5">
        <v>18</v>
      </c>
      <c r="I103" s="5">
        <v>867</v>
      </c>
      <c r="J103" s="5">
        <v>875</v>
      </c>
      <c r="K103" s="6">
        <f t="shared" si="4"/>
        <v>15606</v>
      </c>
      <c r="L103" s="6">
        <f t="shared" si="5"/>
        <v>15750</v>
      </c>
      <c r="M103" s="6">
        <f t="shared" si="6"/>
        <v>144</v>
      </c>
      <c r="N103" s="6" t="str">
        <f t="shared" si="7"/>
        <v>profit</v>
      </c>
    </row>
    <row r="104" spans="1:14" ht="15.6" thickTop="1" thickBot="1" x14ac:dyDescent="0.35">
      <c r="A104" s="4">
        <v>45567</v>
      </c>
      <c r="B104" s="4" t="s">
        <v>85</v>
      </c>
      <c r="C104" s="5" t="s">
        <v>87</v>
      </c>
      <c r="D104" s="5" t="s">
        <v>16</v>
      </c>
      <c r="E104" s="5" t="s">
        <v>17</v>
      </c>
      <c r="F104" s="5" t="s">
        <v>60</v>
      </c>
      <c r="G104" s="5" t="s">
        <v>19</v>
      </c>
      <c r="H104" s="5">
        <v>10</v>
      </c>
      <c r="I104" s="5">
        <v>757</v>
      </c>
      <c r="J104" s="5">
        <v>885</v>
      </c>
      <c r="K104" s="6">
        <f t="shared" si="4"/>
        <v>7570</v>
      </c>
      <c r="L104" s="6">
        <f t="shared" si="5"/>
        <v>8850</v>
      </c>
      <c r="M104" s="6">
        <f t="shared" si="6"/>
        <v>1280</v>
      </c>
      <c r="N104" s="6" t="str">
        <f t="shared" si="7"/>
        <v>profit</v>
      </c>
    </row>
    <row r="105" spans="1:14" ht="15.6" thickTop="1" thickBot="1" x14ac:dyDescent="0.35">
      <c r="A105" s="4">
        <v>45568</v>
      </c>
      <c r="B105" s="4" t="s">
        <v>85</v>
      </c>
      <c r="C105" s="5" t="s">
        <v>88</v>
      </c>
      <c r="D105" s="5" t="s">
        <v>16</v>
      </c>
      <c r="E105" s="5" t="s">
        <v>17</v>
      </c>
      <c r="F105" s="5" t="s">
        <v>39</v>
      </c>
      <c r="G105" s="5" t="s">
        <v>19</v>
      </c>
      <c r="H105" s="5">
        <v>18</v>
      </c>
      <c r="I105" s="5">
        <v>668</v>
      </c>
      <c r="J105" s="5">
        <v>1366</v>
      </c>
      <c r="K105" s="6">
        <f t="shared" si="4"/>
        <v>12024</v>
      </c>
      <c r="L105" s="6">
        <f t="shared" si="5"/>
        <v>24588</v>
      </c>
      <c r="M105" s="6">
        <f t="shared" si="6"/>
        <v>12564</v>
      </c>
      <c r="N105" s="6" t="str">
        <f t="shared" si="7"/>
        <v>profit</v>
      </c>
    </row>
    <row r="106" spans="1:14" ht="15.6" thickTop="1" thickBot="1" x14ac:dyDescent="0.35">
      <c r="A106" s="4">
        <v>45580</v>
      </c>
      <c r="B106" s="4" t="s">
        <v>85</v>
      </c>
      <c r="C106" s="5" t="s">
        <v>89</v>
      </c>
      <c r="D106" s="5" t="s">
        <v>16</v>
      </c>
      <c r="E106" s="5" t="s">
        <v>37</v>
      </c>
      <c r="F106" s="5" t="s">
        <v>30</v>
      </c>
      <c r="G106" s="5" t="s">
        <v>28</v>
      </c>
      <c r="H106" s="5">
        <v>20</v>
      </c>
      <c r="I106" s="5">
        <v>882</v>
      </c>
      <c r="J106" s="5">
        <v>1193</v>
      </c>
      <c r="K106" s="6">
        <f t="shared" si="4"/>
        <v>17640</v>
      </c>
      <c r="L106" s="6">
        <f t="shared" si="5"/>
        <v>23860</v>
      </c>
      <c r="M106" s="6">
        <f t="shared" si="6"/>
        <v>6220</v>
      </c>
      <c r="N106" s="6" t="str">
        <f t="shared" si="7"/>
        <v>profit</v>
      </c>
    </row>
    <row r="107" spans="1:14" ht="15.6" thickTop="1" thickBot="1" x14ac:dyDescent="0.35">
      <c r="A107" s="4">
        <v>45488</v>
      </c>
      <c r="B107" s="4" t="s">
        <v>40</v>
      </c>
      <c r="C107" s="5" t="s">
        <v>117</v>
      </c>
      <c r="D107" s="5" t="s">
        <v>46</v>
      </c>
      <c r="E107" s="5" t="s">
        <v>118</v>
      </c>
      <c r="F107" s="5" t="s">
        <v>39</v>
      </c>
      <c r="G107" s="5" t="s">
        <v>19</v>
      </c>
      <c r="H107" s="5">
        <v>26</v>
      </c>
      <c r="I107" s="5">
        <v>627</v>
      </c>
      <c r="J107" s="5">
        <v>1416</v>
      </c>
      <c r="K107" s="6">
        <f t="shared" si="4"/>
        <v>16302</v>
      </c>
      <c r="L107" s="6">
        <f t="shared" si="5"/>
        <v>36816</v>
      </c>
      <c r="M107" s="6">
        <f t="shared" si="6"/>
        <v>20514</v>
      </c>
      <c r="N107" s="6" t="str">
        <f t="shared" si="7"/>
        <v>profit</v>
      </c>
    </row>
    <row r="108" spans="1:14" ht="15.6" thickTop="1" thickBot="1" x14ac:dyDescent="0.35">
      <c r="A108" s="4">
        <v>45581</v>
      </c>
      <c r="B108" s="4" t="s">
        <v>85</v>
      </c>
      <c r="C108" s="5" t="s">
        <v>90</v>
      </c>
      <c r="D108" s="5" t="s">
        <v>16</v>
      </c>
      <c r="E108" s="5" t="s">
        <v>37</v>
      </c>
      <c r="F108" s="5" t="s">
        <v>25</v>
      </c>
      <c r="G108" s="5" t="s">
        <v>28</v>
      </c>
      <c r="H108" s="5">
        <v>17</v>
      </c>
      <c r="I108" s="5">
        <v>739</v>
      </c>
      <c r="J108" s="5">
        <v>826</v>
      </c>
      <c r="K108" s="6">
        <f t="shared" si="4"/>
        <v>12563</v>
      </c>
      <c r="L108" s="6">
        <f t="shared" si="5"/>
        <v>14042</v>
      </c>
      <c r="M108" s="6">
        <f t="shared" si="6"/>
        <v>1479</v>
      </c>
      <c r="N108" s="6" t="str">
        <f t="shared" si="7"/>
        <v>profit</v>
      </c>
    </row>
    <row r="109" spans="1:14" ht="15.6" thickTop="1" thickBot="1" x14ac:dyDescent="0.35">
      <c r="A109" s="4">
        <v>45582</v>
      </c>
      <c r="B109" s="4" t="s">
        <v>85</v>
      </c>
      <c r="C109" s="5" t="s">
        <v>91</v>
      </c>
      <c r="D109" s="5" t="s">
        <v>16</v>
      </c>
      <c r="E109" s="5" t="s">
        <v>37</v>
      </c>
      <c r="F109" s="5" t="s">
        <v>76</v>
      </c>
      <c r="G109" s="5" t="s">
        <v>28</v>
      </c>
      <c r="H109" s="5">
        <v>15</v>
      </c>
      <c r="I109" s="5">
        <v>563</v>
      </c>
      <c r="J109" s="5">
        <v>1069</v>
      </c>
      <c r="K109" s="6">
        <f t="shared" si="4"/>
        <v>8445</v>
      </c>
      <c r="L109" s="6">
        <f t="shared" si="5"/>
        <v>16035</v>
      </c>
      <c r="M109" s="6">
        <f t="shared" si="6"/>
        <v>7590</v>
      </c>
      <c r="N109" s="6" t="str">
        <f t="shared" si="7"/>
        <v>profit</v>
      </c>
    </row>
    <row r="110" spans="1:14" ht="15.6" thickTop="1" thickBot="1" x14ac:dyDescent="0.35">
      <c r="A110" s="4">
        <v>45584</v>
      </c>
      <c r="B110" s="4" t="s">
        <v>85</v>
      </c>
      <c r="C110" s="5" t="s">
        <v>92</v>
      </c>
      <c r="D110" s="5" t="s">
        <v>16</v>
      </c>
      <c r="E110" s="5" t="s">
        <v>37</v>
      </c>
      <c r="F110" s="5" t="s">
        <v>35</v>
      </c>
      <c r="G110" s="5" t="s">
        <v>19</v>
      </c>
      <c r="H110" s="5">
        <v>15</v>
      </c>
      <c r="I110" s="5">
        <v>662</v>
      </c>
      <c r="J110" s="5">
        <v>1183</v>
      </c>
      <c r="K110" s="6">
        <f t="shared" si="4"/>
        <v>9930</v>
      </c>
      <c r="L110" s="6">
        <f t="shared" si="5"/>
        <v>17745</v>
      </c>
      <c r="M110" s="6">
        <f t="shared" si="6"/>
        <v>7815</v>
      </c>
      <c r="N110" s="6" t="str">
        <f t="shared" si="7"/>
        <v>profit</v>
      </c>
    </row>
    <row r="111" spans="1:14" ht="15.6" thickTop="1" thickBot="1" x14ac:dyDescent="0.35">
      <c r="A111" s="4">
        <v>45585</v>
      </c>
      <c r="B111" s="4" t="s">
        <v>85</v>
      </c>
      <c r="C111" s="5" t="s">
        <v>93</v>
      </c>
      <c r="D111" s="5" t="s">
        <v>16</v>
      </c>
      <c r="E111" s="5" t="s">
        <v>37</v>
      </c>
      <c r="F111" s="5" t="s">
        <v>39</v>
      </c>
      <c r="G111" s="5" t="s">
        <v>19</v>
      </c>
      <c r="H111" s="5">
        <v>16</v>
      </c>
      <c r="I111" s="5">
        <v>846</v>
      </c>
      <c r="J111" s="5">
        <v>1375</v>
      </c>
      <c r="K111" s="6">
        <f t="shared" si="4"/>
        <v>13536</v>
      </c>
      <c r="L111" s="6">
        <f t="shared" si="5"/>
        <v>22000</v>
      </c>
      <c r="M111" s="6">
        <f t="shared" si="6"/>
        <v>8464</v>
      </c>
      <c r="N111" s="6" t="str">
        <f t="shared" si="7"/>
        <v>profit</v>
      </c>
    </row>
    <row r="112" spans="1:14" ht="15.6" thickTop="1" thickBot="1" x14ac:dyDescent="0.35">
      <c r="A112" s="4">
        <v>45587</v>
      </c>
      <c r="B112" s="4" t="s">
        <v>85</v>
      </c>
      <c r="C112" s="5" t="s">
        <v>94</v>
      </c>
      <c r="D112" s="5" t="s">
        <v>16</v>
      </c>
      <c r="E112" s="5" t="s">
        <v>37</v>
      </c>
      <c r="F112" s="5" t="s">
        <v>64</v>
      </c>
      <c r="G112" s="5" t="s">
        <v>19</v>
      </c>
      <c r="H112" s="5">
        <v>14</v>
      </c>
      <c r="I112" s="5">
        <v>777</v>
      </c>
      <c r="J112" s="5">
        <v>1192</v>
      </c>
      <c r="K112" s="6">
        <f t="shared" si="4"/>
        <v>10878</v>
      </c>
      <c r="L112" s="6">
        <f t="shared" si="5"/>
        <v>16688</v>
      </c>
      <c r="M112" s="6">
        <f t="shared" si="6"/>
        <v>5810</v>
      </c>
      <c r="N112" s="6" t="str">
        <f t="shared" si="7"/>
        <v>profit</v>
      </c>
    </row>
    <row r="113" spans="1:14" ht="15.6" thickTop="1" thickBot="1" x14ac:dyDescent="0.35">
      <c r="A113" s="4">
        <v>45659</v>
      </c>
      <c r="B113" s="4" t="s">
        <v>95</v>
      </c>
      <c r="C113" s="5" t="s">
        <v>96</v>
      </c>
      <c r="D113" s="5" t="s">
        <v>16</v>
      </c>
      <c r="E113" s="5" t="s">
        <v>17</v>
      </c>
      <c r="F113" s="5" t="s">
        <v>25</v>
      </c>
      <c r="G113" s="5" t="s">
        <v>19</v>
      </c>
      <c r="H113" s="5">
        <v>16</v>
      </c>
      <c r="I113" s="5">
        <v>632</v>
      </c>
      <c r="J113" s="5">
        <v>835</v>
      </c>
      <c r="K113" s="6">
        <f t="shared" si="4"/>
        <v>10112</v>
      </c>
      <c r="L113" s="6">
        <f t="shared" si="5"/>
        <v>13360</v>
      </c>
      <c r="M113" s="6">
        <f t="shared" si="6"/>
        <v>3248</v>
      </c>
      <c r="N113" s="6" t="str">
        <f t="shared" si="7"/>
        <v>profit</v>
      </c>
    </row>
    <row r="114" spans="1:14" ht="15.6" thickTop="1" thickBot="1" x14ac:dyDescent="0.35">
      <c r="A114" s="4">
        <v>45661</v>
      </c>
      <c r="B114" s="4" t="s">
        <v>95</v>
      </c>
      <c r="C114" s="5" t="s">
        <v>100</v>
      </c>
      <c r="D114" s="5" t="s">
        <v>16</v>
      </c>
      <c r="E114" s="5" t="s">
        <v>17</v>
      </c>
      <c r="F114" s="5" t="s">
        <v>71</v>
      </c>
      <c r="G114" s="5" t="s">
        <v>19</v>
      </c>
      <c r="H114" s="5">
        <v>11</v>
      </c>
      <c r="I114" s="5">
        <v>731</v>
      </c>
      <c r="J114" s="5">
        <v>1311</v>
      </c>
      <c r="K114" s="6">
        <f t="shared" si="4"/>
        <v>8041</v>
      </c>
      <c r="L114" s="6">
        <f t="shared" si="5"/>
        <v>14421</v>
      </c>
      <c r="M114" s="6">
        <f t="shared" si="6"/>
        <v>6380</v>
      </c>
      <c r="N114" s="6" t="str">
        <f t="shared" si="7"/>
        <v>profit</v>
      </c>
    </row>
    <row r="115" spans="1:14" ht="15.6" thickTop="1" thickBot="1" x14ac:dyDescent="0.35">
      <c r="A115" s="4">
        <v>45663</v>
      </c>
      <c r="B115" s="4" t="s">
        <v>95</v>
      </c>
      <c r="C115" s="5" t="s">
        <v>101</v>
      </c>
      <c r="D115" s="5" t="s">
        <v>16</v>
      </c>
      <c r="E115" s="5" t="s">
        <v>17</v>
      </c>
      <c r="F115" s="5" t="s">
        <v>21</v>
      </c>
      <c r="G115" s="5" t="s">
        <v>19</v>
      </c>
      <c r="H115" s="5">
        <v>10</v>
      </c>
      <c r="I115" s="5">
        <v>774</v>
      </c>
      <c r="J115" s="5">
        <v>1472</v>
      </c>
      <c r="K115" s="6">
        <f t="shared" si="4"/>
        <v>7740</v>
      </c>
      <c r="L115" s="6">
        <f t="shared" si="5"/>
        <v>14720</v>
      </c>
      <c r="M115" s="6">
        <f t="shared" si="6"/>
        <v>6980</v>
      </c>
      <c r="N115" s="6" t="str">
        <f t="shared" si="7"/>
        <v>profit</v>
      </c>
    </row>
    <row r="116" spans="1:14" ht="15.6" thickTop="1" thickBot="1" x14ac:dyDescent="0.35">
      <c r="A116" s="4">
        <v>45665</v>
      </c>
      <c r="B116" s="4" t="s">
        <v>95</v>
      </c>
      <c r="C116" s="5" t="s">
        <v>102</v>
      </c>
      <c r="D116" s="5" t="s">
        <v>16</v>
      </c>
      <c r="E116" s="5" t="s">
        <v>17</v>
      </c>
      <c r="F116" s="5" t="s">
        <v>25</v>
      </c>
      <c r="G116" s="5" t="s">
        <v>28</v>
      </c>
      <c r="H116" s="5">
        <v>11</v>
      </c>
      <c r="I116" s="5">
        <v>986</v>
      </c>
      <c r="J116" s="5">
        <v>1228</v>
      </c>
      <c r="K116" s="6">
        <f t="shared" si="4"/>
        <v>10846</v>
      </c>
      <c r="L116" s="6">
        <f t="shared" si="5"/>
        <v>13508</v>
      </c>
      <c r="M116" s="6">
        <f t="shared" si="6"/>
        <v>2662</v>
      </c>
      <c r="N116" s="6" t="str">
        <f t="shared" si="7"/>
        <v>profit</v>
      </c>
    </row>
    <row r="117" spans="1:14" ht="15.6" thickTop="1" thickBot="1" x14ac:dyDescent="0.35">
      <c r="A117" s="4">
        <v>45678</v>
      </c>
      <c r="B117" s="4" t="s">
        <v>95</v>
      </c>
      <c r="C117" s="5" t="s">
        <v>103</v>
      </c>
      <c r="D117" s="5" t="s">
        <v>16</v>
      </c>
      <c r="E117" s="5" t="s">
        <v>37</v>
      </c>
      <c r="F117" s="5" t="s">
        <v>18</v>
      </c>
      <c r="G117" s="5" t="s">
        <v>19</v>
      </c>
      <c r="H117" s="5">
        <v>11</v>
      </c>
      <c r="I117" s="5">
        <v>519</v>
      </c>
      <c r="J117" s="5">
        <v>1143</v>
      </c>
      <c r="K117" s="6">
        <f t="shared" si="4"/>
        <v>5709</v>
      </c>
      <c r="L117" s="6">
        <f t="shared" si="5"/>
        <v>12573</v>
      </c>
      <c r="M117" s="6">
        <f t="shared" si="6"/>
        <v>6864</v>
      </c>
      <c r="N117" s="6" t="str">
        <f t="shared" si="7"/>
        <v>profit</v>
      </c>
    </row>
    <row r="118" spans="1:14" ht="15.6" thickTop="1" thickBot="1" x14ac:dyDescent="0.35">
      <c r="A118" s="4">
        <v>45679</v>
      </c>
      <c r="B118" s="4" t="s">
        <v>95</v>
      </c>
      <c r="C118" s="5" t="s">
        <v>104</v>
      </c>
      <c r="D118" s="5" t="s">
        <v>16</v>
      </c>
      <c r="E118" s="5" t="s">
        <v>37</v>
      </c>
      <c r="F118" s="5" t="s">
        <v>21</v>
      </c>
      <c r="G118" s="5" t="s">
        <v>19</v>
      </c>
      <c r="H118" s="5">
        <v>20</v>
      </c>
      <c r="I118" s="5">
        <v>597</v>
      </c>
      <c r="J118" s="5">
        <v>1175</v>
      </c>
      <c r="K118" s="6">
        <f t="shared" si="4"/>
        <v>11940</v>
      </c>
      <c r="L118" s="6">
        <f t="shared" si="5"/>
        <v>23500</v>
      </c>
      <c r="M118" s="6">
        <f t="shared" si="6"/>
        <v>11560</v>
      </c>
      <c r="N118" s="6" t="str">
        <f t="shared" si="7"/>
        <v>profit</v>
      </c>
    </row>
    <row r="119" spans="1:14" ht="15.6" thickTop="1" thickBot="1" x14ac:dyDescent="0.35">
      <c r="A119" s="4">
        <v>45680</v>
      </c>
      <c r="B119" s="4" t="s">
        <v>95</v>
      </c>
      <c r="C119" s="5" t="s">
        <v>105</v>
      </c>
      <c r="D119" s="5" t="s">
        <v>16</v>
      </c>
      <c r="E119" s="5" t="s">
        <v>37</v>
      </c>
      <c r="F119" s="5" t="s">
        <v>23</v>
      </c>
      <c r="G119" s="5" t="s">
        <v>19</v>
      </c>
      <c r="H119" s="5">
        <v>18</v>
      </c>
      <c r="I119" s="5">
        <v>632</v>
      </c>
      <c r="J119" s="5">
        <v>1384</v>
      </c>
      <c r="K119" s="6">
        <f t="shared" si="4"/>
        <v>11376</v>
      </c>
      <c r="L119" s="6">
        <f t="shared" si="5"/>
        <v>24912</v>
      </c>
      <c r="M119" s="6">
        <f t="shared" si="6"/>
        <v>13536</v>
      </c>
      <c r="N119" s="6" t="str">
        <f t="shared" si="7"/>
        <v>profit</v>
      </c>
    </row>
    <row r="120" spans="1:14" ht="15.6" thickTop="1" thickBot="1" x14ac:dyDescent="0.35">
      <c r="A120" s="4">
        <v>45681</v>
      </c>
      <c r="B120" s="4" t="s">
        <v>95</v>
      </c>
      <c r="C120" s="5" t="s">
        <v>106</v>
      </c>
      <c r="D120" s="5" t="s">
        <v>16</v>
      </c>
      <c r="E120" s="5" t="s">
        <v>37</v>
      </c>
      <c r="F120" s="5" t="s">
        <v>25</v>
      </c>
      <c r="G120" s="5" t="s">
        <v>19</v>
      </c>
      <c r="H120" s="5">
        <v>17</v>
      </c>
      <c r="I120" s="5">
        <v>649</v>
      </c>
      <c r="J120" s="5">
        <v>1392</v>
      </c>
      <c r="K120" s="6">
        <f t="shared" si="4"/>
        <v>11033</v>
      </c>
      <c r="L120" s="6">
        <f t="shared" si="5"/>
        <v>23664</v>
      </c>
      <c r="M120" s="6">
        <f t="shared" si="6"/>
        <v>12631</v>
      </c>
      <c r="N120" s="6" t="str">
        <f t="shared" si="7"/>
        <v>profit</v>
      </c>
    </row>
    <row r="121" spans="1:14" ht="15.6" thickTop="1" thickBot="1" x14ac:dyDescent="0.35">
      <c r="A121" s="4">
        <v>45682</v>
      </c>
      <c r="B121" s="4" t="s">
        <v>95</v>
      </c>
      <c r="C121" s="5" t="s">
        <v>107</v>
      </c>
      <c r="D121" s="5" t="s">
        <v>16</v>
      </c>
      <c r="E121" s="5" t="s">
        <v>37</v>
      </c>
      <c r="F121" s="5" t="s">
        <v>25</v>
      </c>
      <c r="G121" s="5" t="s">
        <v>19</v>
      </c>
      <c r="H121" s="5">
        <v>18</v>
      </c>
      <c r="I121" s="5">
        <v>587</v>
      </c>
      <c r="J121" s="5">
        <v>905</v>
      </c>
      <c r="K121" s="6">
        <f t="shared" si="4"/>
        <v>10566</v>
      </c>
      <c r="L121" s="6">
        <f t="shared" si="5"/>
        <v>16290</v>
      </c>
      <c r="M121" s="6">
        <f t="shared" si="6"/>
        <v>5724</v>
      </c>
      <c r="N121" s="6" t="str">
        <f t="shared" si="7"/>
        <v>profit</v>
      </c>
    </row>
    <row r="122" spans="1:14" ht="15.6" thickTop="1" thickBot="1" x14ac:dyDescent="0.35">
      <c r="A122" s="4">
        <v>45684</v>
      </c>
      <c r="B122" s="4" t="s">
        <v>95</v>
      </c>
      <c r="C122" s="5" t="s">
        <v>109</v>
      </c>
      <c r="D122" s="5" t="s">
        <v>16</v>
      </c>
      <c r="E122" s="5" t="s">
        <v>37</v>
      </c>
      <c r="F122" s="5" t="s">
        <v>30</v>
      </c>
      <c r="G122" s="5" t="s">
        <v>28</v>
      </c>
      <c r="H122" s="5">
        <v>19</v>
      </c>
      <c r="I122" s="5">
        <v>701</v>
      </c>
      <c r="J122" s="5">
        <v>1136</v>
      </c>
      <c r="K122" s="6">
        <f t="shared" si="4"/>
        <v>13319</v>
      </c>
      <c r="L122" s="6">
        <f t="shared" si="5"/>
        <v>21584</v>
      </c>
      <c r="M122" s="6">
        <f t="shared" si="6"/>
        <v>8265</v>
      </c>
      <c r="N122" s="6" t="str">
        <f t="shared" si="7"/>
        <v>profit</v>
      </c>
    </row>
    <row r="123" spans="1:14" ht="15.6" thickTop="1" thickBot="1" x14ac:dyDescent="0.35">
      <c r="A123" s="4">
        <v>45685</v>
      </c>
      <c r="B123" s="4" t="s">
        <v>95</v>
      </c>
      <c r="C123" s="5" t="s">
        <v>110</v>
      </c>
      <c r="D123" s="5" t="s">
        <v>16</v>
      </c>
      <c r="E123" s="5" t="s">
        <v>37</v>
      </c>
      <c r="F123" s="5" t="s">
        <v>25</v>
      </c>
      <c r="G123" s="5" t="s">
        <v>28</v>
      </c>
      <c r="H123" s="5">
        <v>19</v>
      </c>
      <c r="I123" s="5">
        <v>972</v>
      </c>
      <c r="J123" s="5">
        <v>1314</v>
      </c>
      <c r="K123" s="6">
        <f t="shared" si="4"/>
        <v>18468</v>
      </c>
      <c r="L123" s="6">
        <f t="shared" si="5"/>
        <v>24966</v>
      </c>
      <c r="M123" s="6">
        <f t="shared" si="6"/>
        <v>6498</v>
      </c>
      <c r="N123" s="6" t="str">
        <f t="shared" si="7"/>
        <v>profit</v>
      </c>
    </row>
    <row r="124" spans="1:14" ht="15.6" thickTop="1" thickBot="1" x14ac:dyDescent="0.35">
      <c r="A124" s="4">
        <v>45686</v>
      </c>
      <c r="B124" s="4" t="s">
        <v>95</v>
      </c>
      <c r="C124" s="5" t="s">
        <v>111</v>
      </c>
      <c r="D124" s="5" t="s">
        <v>16</v>
      </c>
      <c r="E124" s="5" t="s">
        <v>37</v>
      </c>
      <c r="F124" s="5" t="s">
        <v>39</v>
      </c>
      <c r="G124" s="5" t="s">
        <v>28</v>
      </c>
      <c r="H124" s="5">
        <v>13</v>
      </c>
      <c r="I124" s="5">
        <v>615</v>
      </c>
      <c r="J124" s="5">
        <v>1010</v>
      </c>
      <c r="K124" s="6">
        <f t="shared" si="4"/>
        <v>7995</v>
      </c>
      <c r="L124" s="6">
        <f t="shared" si="5"/>
        <v>13130</v>
      </c>
      <c r="M124" s="6">
        <f t="shared" si="6"/>
        <v>5135</v>
      </c>
      <c r="N124" s="6" t="str">
        <f t="shared" si="7"/>
        <v>profit</v>
      </c>
    </row>
    <row r="125" spans="1:14" ht="15.6" thickTop="1" thickBot="1" x14ac:dyDescent="0.35">
      <c r="A125" s="4">
        <v>45688</v>
      </c>
      <c r="B125" s="4" t="s">
        <v>95</v>
      </c>
      <c r="C125" s="5" t="s">
        <v>112</v>
      </c>
      <c r="D125" s="5" t="s">
        <v>16</v>
      </c>
      <c r="E125" s="5" t="s">
        <v>37</v>
      </c>
      <c r="F125" s="5" t="s">
        <v>113</v>
      </c>
      <c r="G125" s="5" t="s">
        <v>28</v>
      </c>
      <c r="H125" s="5">
        <v>19</v>
      </c>
      <c r="I125" s="5">
        <v>864</v>
      </c>
      <c r="J125" s="5">
        <v>1147</v>
      </c>
      <c r="K125" s="6">
        <f t="shared" si="4"/>
        <v>16416</v>
      </c>
      <c r="L125" s="6">
        <f t="shared" si="5"/>
        <v>21793</v>
      </c>
      <c r="M125" s="6">
        <f t="shared" si="6"/>
        <v>5377</v>
      </c>
      <c r="N125" s="6" t="str">
        <f t="shared" si="7"/>
        <v>profit</v>
      </c>
    </row>
    <row r="126" spans="1:14" ht="15.6" thickTop="1" thickBot="1" x14ac:dyDescent="0.35">
      <c r="A126" s="4">
        <v>45507</v>
      </c>
      <c r="B126" s="4" t="s">
        <v>57</v>
      </c>
      <c r="C126" s="5" t="s">
        <v>119</v>
      </c>
      <c r="D126" s="5" t="s">
        <v>33</v>
      </c>
      <c r="E126" s="5" t="s">
        <v>120</v>
      </c>
      <c r="F126" s="5" t="s">
        <v>76</v>
      </c>
      <c r="G126" s="5" t="s">
        <v>28</v>
      </c>
      <c r="H126" s="5">
        <v>86</v>
      </c>
      <c r="I126" s="5">
        <v>540</v>
      </c>
      <c r="J126" s="5">
        <v>1460</v>
      </c>
      <c r="K126" s="6">
        <f t="shared" si="4"/>
        <v>46440</v>
      </c>
      <c r="L126" s="6">
        <f t="shared" si="5"/>
        <v>125560</v>
      </c>
      <c r="M126" s="6">
        <f t="shared" si="6"/>
        <v>79120</v>
      </c>
      <c r="N126" s="6" t="str">
        <f t="shared" si="7"/>
        <v>profit</v>
      </c>
    </row>
    <row r="127" spans="1:14" ht="15.6" thickTop="1" thickBot="1" x14ac:dyDescent="0.35">
      <c r="A127" s="4">
        <v>45454</v>
      </c>
      <c r="B127" s="4" t="s">
        <v>14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19</v>
      </c>
      <c r="H127" s="5">
        <v>13</v>
      </c>
      <c r="I127" s="5">
        <v>643</v>
      </c>
      <c r="J127" s="5">
        <v>1432</v>
      </c>
      <c r="K127" s="6">
        <f t="shared" si="4"/>
        <v>8359</v>
      </c>
      <c r="L127" s="6">
        <f t="shared" si="5"/>
        <v>18616</v>
      </c>
      <c r="M127" s="6">
        <f t="shared" si="6"/>
        <v>10257</v>
      </c>
      <c r="N127" s="6" t="str">
        <f t="shared" si="7"/>
        <v>profit</v>
      </c>
    </row>
    <row r="128" spans="1:14" ht="15.6" thickTop="1" thickBot="1" x14ac:dyDescent="0.35">
      <c r="A128" s="4">
        <v>45455</v>
      </c>
      <c r="B128" s="4" t="s">
        <v>14</v>
      </c>
      <c r="C128" s="5" t="s">
        <v>20</v>
      </c>
      <c r="D128" s="5" t="s">
        <v>16</v>
      </c>
      <c r="E128" s="5" t="s">
        <v>17</v>
      </c>
      <c r="F128" s="5" t="s">
        <v>21</v>
      </c>
      <c r="G128" s="5" t="s">
        <v>19</v>
      </c>
      <c r="H128" s="5">
        <v>16</v>
      </c>
      <c r="I128" s="5">
        <v>848</v>
      </c>
      <c r="J128" s="5">
        <v>1211</v>
      </c>
      <c r="K128" s="6">
        <f t="shared" si="4"/>
        <v>13568</v>
      </c>
      <c r="L128" s="6">
        <f t="shared" si="5"/>
        <v>19376</v>
      </c>
      <c r="M128" s="6">
        <f t="shared" si="6"/>
        <v>5808</v>
      </c>
      <c r="N128" s="6" t="str">
        <f t="shared" si="7"/>
        <v>profit</v>
      </c>
    </row>
    <row r="129" spans="1:14" ht="15.6" thickTop="1" thickBot="1" x14ac:dyDescent="0.35">
      <c r="A129" s="4">
        <v>45456</v>
      </c>
      <c r="B129" s="4" t="s">
        <v>14</v>
      </c>
      <c r="C129" s="5" t="s">
        <v>22</v>
      </c>
      <c r="D129" s="5" t="s">
        <v>16</v>
      </c>
      <c r="E129" s="5" t="s">
        <v>17</v>
      </c>
      <c r="F129" s="5" t="s">
        <v>23</v>
      </c>
      <c r="G129" s="5" t="s">
        <v>19</v>
      </c>
      <c r="H129" s="5">
        <v>19</v>
      </c>
      <c r="I129" s="5">
        <v>982</v>
      </c>
      <c r="J129" s="5">
        <v>1457</v>
      </c>
      <c r="K129" s="6">
        <f t="shared" si="4"/>
        <v>18658</v>
      </c>
      <c r="L129" s="6">
        <f t="shared" si="5"/>
        <v>27683</v>
      </c>
      <c r="M129" s="6">
        <f t="shared" si="6"/>
        <v>9025</v>
      </c>
      <c r="N129" s="6" t="str">
        <f t="shared" si="7"/>
        <v>profit</v>
      </c>
    </row>
    <row r="130" spans="1:14" ht="15.6" thickTop="1" thickBot="1" x14ac:dyDescent="0.35">
      <c r="A130" s="4">
        <v>45457</v>
      </c>
      <c r="B130" s="4" t="s">
        <v>14</v>
      </c>
      <c r="C130" s="5" t="s">
        <v>24</v>
      </c>
      <c r="D130" s="5" t="s">
        <v>16</v>
      </c>
      <c r="E130" s="5" t="s">
        <v>17</v>
      </c>
      <c r="F130" s="5" t="s">
        <v>25</v>
      </c>
      <c r="G130" s="5" t="s">
        <v>19</v>
      </c>
      <c r="H130" s="5">
        <v>19</v>
      </c>
      <c r="I130" s="5">
        <v>918</v>
      </c>
      <c r="J130" s="5">
        <v>864</v>
      </c>
      <c r="K130" s="6">
        <f t="shared" ref="K130:K193" si="8">H130*I130</f>
        <v>17442</v>
      </c>
      <c r="L130" s="6">
        <f t="shared" ref="L130:L193" si="9">H130*J130</f>
        <v>16416</v>
      </c>
      <c r="M130" s="6">
        <f t="shared" ref="M130:M193" si="10">L130-K130</f>
        <v>-1026</v>
      </c>
      <c r="N130" s="6" t="str">
        <f t="shared" ref="N130:N193" si="11">IF(M130&gt;0,"profit","loss")</f>
        <v>loss</v>
      </c>
    </row>
    <row r="131" spans="1:14" ht="15.6" thickTop="1" thickBot="1" x14ac:dyDescent="0.35">
      <c r="A131" s="4">
        <v>45512</v>
      </c>
      <c r="B131" s="4" t="s">
        <v>57</v>
      </c>
      <c r="C131" s="5" t="s">
        <v>121</v>
      </c>
      <c r="D131" s="5" t="s">
        <v>16</v>
      </c>
      <c r="E131" s="5" t="s">
        <v>37</v>
      </c>
      <c r="F131" s="5" t="s">
        <v>35</v>
      </c>
      <c r="G131" s="5" t="s">
        <v>19</v>
      </c>
      <c r="H131" s="5">
        <v>10</v>
      </c>
      <c r="I131" s="5">
        <v>863</v>
      </c>
      <c r="J131" s="5">
        <v>1386</v>
      </c>
      <c r="K131" s="6">
        <f t="shared" si="8"/>
        <v>8630</v>
      </c>
      <c r="L131" s="6">
        <f t="shared" si="9"/>
        <v>13860</v>
      </c>
      <c r="M131" s="6">
        <f t="shared" si="10"/>
        <v>5230</v>
      </c>
      <c r="N131" s="6" t="str">
        <f t="shared" si="11"/>
        <v>profit</v>
      </c>
    </row>
    <row r="132" spans="1:14" ht="15.6" thickTop="1" thickBot="1" x14ac:dyDescent="0.35">
      <c r="A132" s="4">
        <v>45459</v>
      </c>
      <c r="B132" s="4" t="s">
        <v>14</v>
      </c>
      <c r="C132" s="5" t="s">
        <v>26</v>
      </c>
      <c r="D132" s="5" t="s">
        <v>16</v>
      </c>
      <c r="E132" s="5" t="s">
        <v>17</v>
      </c>
      <c r="F132" s="5" t="s">
        <v>27</v>
      </c>
      <c r="G132" s="5" t="s">
        <v>28</v>
      </c>
      <c r="H132" s="5">
        <v>17</v>
      </c>
      <c r="I132" s="5">
        <v>787</v>
      </c>
      <c r="J132" s="5">
        <v>1108</v>
      </c>
      <c r="K132" s="6">
        <f t="shared" si="8"/>
        <v>13379</v>
      </c>
      <c r="L132" s="6">
        <f t="shared" si="9"/>
        <v>18836</v>
      </c>
      <c r="M132" s="6">
        <f t="shared" si="10"/>
        <v>5457</v>
      </c>
      <c r="N132" s="6" t="str">
        <f t="shared" si="11"/>
        <v>profit</v>
      </c>
    </row>
    <row r="133" spans="1:14" ht="15.6" thickTop="1" thickBot="1" x14ac:dyDescent="0.35">
      <c r="A133" s="4">
        <v>45460</v>
      </c>
      <c r="B133" s="4" t="s">
        <v>14</v>
      </c>
      <c r="C133" s="5" t="s">
        <v>29</v>
      </c>
      <c r="D133" s="5" t="s">
        <v>16</v>
      </c>
      <c r="E133" s="5" t="s">
        <v>17</v>
      </c>
      <c r="F133" s="5" t="s">
        <v>30</v>
      </c>
      <c r="G133" s="5" t="s">
        <v>28</v>
      </c>
      <c r="H133" s="5">
        <v>15</v>
      </c>
      <c r="I133" s="5">
        <v>545</v>
      </c>
      <c r="J133" s="5">
        <v>1182</v>
      </c>
      <c r="K133" s="6">
        <f t="shared" si="8"/>
        <v>8175</v>
      </c>
      <c r="L133" s="6">
        <f t="shared" si="9"/>
        <v>17730</v>
      </c>
      <c r="M133" s="6">
        <f t="shared" si="10"/>
        <v>9555</v>
      </c>
      <c r="N133" s="6" t="str">
        <f t="shared" si="11"/>
        <v>profit</v>
      </c>
    </row>
    <row r="134" spans="1:14" ht="15.6" thickTop="1" thickBot="1" x14ac:dyDescent="0.35">
      <c r="A134" s="4">
        <v>45472</v>
      </c>
      <c r="B134" s="4" t="s">
        <v>14</v>
      </c>
      <c r="C134" s="5" t="s">
        <v>36</v>
      </c>
      <c r="D134" s="5" t="s">
        <v>16</v>
      </c>
      <c r="E134" s="5" t="s">
        <v>37</v>
      </c>
      <c r="F134" s="5" t="s">
        <v>35</v>
      </c>
      <c r="G134" s="5" t="s">
        <v>19</v>
      </c>
      <c r="H134" s="5">
        <v>11</v>
      </c>
      <c r="I134" s="5">
        <v>616</v>
      </c>
      <c r="J134" s="5">
        <v>1015</v>
      </c>
      <c r="K134" s="6">
        <f t="shared" si="8"/>
        <v>6776</v>
      </c>
      <c r="L134" s="6">
        <f t="shared" si="9"/>
        <v>11165</v>
      </c>
      <c r="M134" s="6">
        <f t="shared" si="10"/>
        <v>4389</v>
      </c>
      <c r="N134" s="6" t="str">
        <f t="shared" si="11"/>
        <v>profit</v>
      </c>
    </row>
    <row r="135" spans="1:14" ht="15.6" thickTop="1" thickBot="1" x14ac:dyDescent="0.35">
      <c r="A135" s="4">
        <v>45473</v>
      </c>
      <c r="B135" s="4" t="s">
        <v>14</v>
      </c>
      <c r="C135" s="5" t="s">
        <v>38</v>
      </c>
      <c r="D135" s="5" t="s">
        <v>16</v>
      </c>
      <c r="E135" s="5" t="s">
        <v>37</v>
      </c>
      <c r="F135" s="5" t="s">
        <v>39</v>
      </c>
      <c r="G135" s="5" t="s">
        <v>19</v>
      </c>
      <c r="H135" s="5">
        <v>16</v>
      </c>
      <c r="I135" s="5">
        <v>911</v>
      </c>
      <c r="J135" s="5">
        <v>1299</v>
      </c>
      <c r="K135" s="6">
        <f t="shared" si="8"/>
        <v>14576</v>
      </c>
      <c r="L135" s="6">
        <f t="shared" si="9"/>
        <v>20784</v>
      </c>
      <c r="M135" s="6">
        <f t="shared" si="10"/>
        <v>6208</v>
      </c>
      <c r="N135" s="6" t="str">
        <f t="shared" si="11"/>
        <v>profit</v>
      </c>
    </row>
    <row r="136" spans="1:14" ht="15.6" thickTop="1" thickBot="1" x14ac:dyDescent="0.35">
      <c r="A136" s="4">
        <v>45474</v>
      </c>
      <c r="B136" s="4" t="s">
        <v>40</v>
      </c>
      <c r="C136" s="5" t="s">
        <v>41</v>
      </c>
      <c r="D136" s="5" t="s">
        <v>16</v>
      </c>
      <c r="E136" s="5" t="s">
        <v>37</v>
      </c>
      <c r="F136" s="5" t="s">
        <v>39</v>
      </c>
      <c r="G136" s="5" t="s">
        <v>19</v>
      </c>
      <c r="H136" s="5">
        <v>19</v>
      </c>
      <c r="I136" s="5">
        <v>816</v>
      </c>
      <c r="J136" s="5">
        <v>1285</v>
      </c>
      <c r="K136" s="6">
        <f t="shared" si="8"/>
        <v>15504</v>
      </c>
      <c r="L136" s="6">
        <f t="shared" si="9"/>
        <v>24415</v>
      </c>
      <c r="M136" s="6">
        <f t="shared" si="10"/>
        <v>8911</v>
      </c>
      <c r="N136" s="6" t="str">
        <f t="shared" si="11"/>
        <v>profit</v>
      </c>
    </row>
    <row r="137" spans="1:14" ht="15.6" thickTop="1" thickBot="1" x14ac:dyDescent="0.35">
      <c r="A137" s="4">
        <v>45476</v>
      </c>
      <c r="B137" s="4" t="s">
        <v>40</v>
      </c>
      <c r="C137" s="5" t="s">
        <v>42</v>
      </c>
      <c r="D137" s="5" t="s">
        <v>16</v>
      </c>
      <c r="E137" s="5" t="s">
        <v>37</v>
      </c>
      <c r="F137" s="5" t="s">
        <v>27</v>
      </c>
      <c r="G137" s="5" t="s">
        <v>19</v>
      </c>
      <c r="H137" s="5">
        <v>16</v>
      </c>
      <c r="I137" s="5">
        <v>693</v>
      </c>
      <c r="J137" s="5">
        <v>1042</v>
      </c>
      <c r="K137" s="6">
        <f t="shared" si="8"/>
        <v>11088</v>
      </c>
      <c r="L137" s="6">
        <f t="shared" si="9"/>
        <v>16672</v>
      </c>
      <c r="M137" s="6">
        <f t="shared" si="10"/>
        <v>5584</v>
      </c>
      <c r="N137" s="6" t="str">
        <f t="shared" si="11"/>
        <v>profit</v>
      </c>
    </row>
    <row r="138" spans="1:14" ht="15.6" thickTop="1" thickBot="1" x14ac:dyDescent="0.35">
      <c r="A138" s="4">
        <v>45477</v>
      </c>
      <c r="B138" s="4" t="s">
        <v>40</v>
      </c>
      <c r="C138" s="5" t="s">
        <v>43</v>
      </c>
      <c r="D138" s="5" t="s">
        <v>16</v>
      </c>
      <c r="E138" s="5" t="s">
        <v>37</v>
      </c>
      <c r="F138" s="5" t="s">
        <v>44</v>
      </c>
      <c r="G138" s="5" t="s">
        <v>19</v>
      </c>
      <c r="H138" s="5">
        <v>14</v>
      </c>
      <c r="I138" s="5">
        <v>965</v>
      </c>
      <c r="J138" s="5">
        <v>1212</v>
      </c>
      <c r="K138" s="6">
        <f t="shared" si="8"/>
        <v>13510</v>
      </c>
      <c r="L138" s="6">
        <f t="shared" si="9"/>
        <v>16968</v>
      </c>
      <c r="M138" s="6">
        <f t="shared" si="10"/>
        <v>3458</v>
      </c>
      <c r="N138" s="6" t="str">
        <f t="shared" si="11"/>
        <v>profit</v>
      </c>
    </row>
    <row r="139" spans="1:14" ht="15.6" thickTop="1" thickBot="1" x14ac:dyDescent="0.35">
      <c r="A139" s="4">
        <v>45520</v>
      </c>
      <c r="B139" s="4" t="s">
        <v>57</v>
      </c>
      <c r="C139" s="5" t="s">
        <v>122</v>
      </c>
      <c r="D139" s="5" t="s">
        <v>46</v>
      </c>
      <c r="E139" s="5" t="s">
        <v>118</v>
      </c>
      <c r="F139" s="5" t="s">
        <v>52</v>
      </c>
      <c r="G139" s="5" t="s">
        <v>28</v>
      </c>
      <c r="H139" s="5">
        <v>26</v>
      </c>
      <c r="I139" s="5">
        <v>715</v>
      </c>
      <c r="J139" s="5">
        <v>840</v>
      </c>
      <c r="K139" s="6">
        <f t="shared" si="8"/>
        <v>18590</v>
      </c>
      <c r="L139" s="6">
        <f t="shared" si="9"/>
        <v>21840</v>
      </c>
      <c r="M139" s="6">
        <f t="shared" si="10"/>
        <v>3250</v>
      </c>
      <c r="N139" s="6" t="str">
        <f t="shared" si="11"/>
        <v>profit</v>
      </c>
    </row>
    <row r="140" spans="1:14" ht="15.6" thickTop="1" thickBot="1" x14ac:dyDescent="0.35">
      <c r="A140" s="4">
        <v>45478</v>
      </c>
      <c r="B140" s="4" t="s">
        <v>40</v>
      </c>
      <c r="C140" s="5" t="s">
        <v>48</v>
      </c>
      <c r="D140" s="5" t="s">
        <v>16</v>
      </c>
      <c r="E140" s="5" t="s">
        <v>37</v>
      </c>
      <c r="F140" s="5" t="s">
        <v>49</v>
      </c>
      <c r="G140" s="5" t="s">
        <v>19</v>
      </c>
      <c r="H140" s="5">
        <v>20</v>
      </c>
      <c r="I140" s="5">
        <v>960</v>
      </c>
      <c r="J140" s="5">
        <v>1170</v>
      </c>
      <c r="K140" s="6">
        <f t="shared" si="8"/>
        <v>19200</v>
      </c>
      <c r="L140" s="6">
        <f t="shared" si="9"/>
        <v>23400</v>
      </c>
      <c r="M140" s="6">
        <f t="shared" si="10"/>
        <v>4200</v>
      </c>
      <c r="N140" s="6" t="str">
        <f t="shared" si="11"/>
        <v>profit</v>
      </c>
    </row>
    <row r="141" spans="1:14" ht="15.6" thickTop="1" thickBot="1" x14ac:dyDescent="0.35">
      <c r="A141" s="4">
        <v>45479</v>
      </c>
      <c r="B141" s="4" t="s">
        <v>40</v>
      </c>
      <c r="C141" s="5" t="s">
        <v>50</v>
      </c>
      <c r="D141" s="5" t="s">
        <v>16</v>
      </c>
      <c r="E141" s="5" t="s">
        <v>37</v>
      </c>
      <c r="F141" s="5" t="s">
        <v>27</v>
      </c>
      <c r="G141" s="5" t="s">
        <v>28</v>
      </c>
      <c r="H141" s="5">
        <v>16</v>
      </c>
      <c r="I141" s="5">
        <v>734</v>
      </c>
      <c r="J141" s="5">
        <v>1330</v>
      </c>
      <c r="K141" s="6">
        <f t="shared" si="8"/>
        <v>11744</v>
      </c>
      <c r="L141" s="6">
        <f t="shared" si="9"/>
        <v>21280</v>
      </c>
      <c r="M141" s="6">
        <f t="shared" si="10"/>
        <v>9536</v>
      </c>
      <c r="N141" s="6" t="str">
        <f t="shared" si="11"/>
        <v>profit</v>
      </c>
    </row>
    <row r="142" spans="1:14" ht="15.6" thickTop="1" thickBot="1" x14ac:dyDescent="0.35">
      <c r="A142" s="4">
        <v>45480</v>
      </c>
      <c r="B142" s="4" t="s">
        <v>40</v>
      </c>
      <c r="C142" s="5" t="s">
        <v>51</v>
      </c>
      <c r="D142" s="5" t="s">
        <v>16</v>
      </c>
      <c r="E142" s="5" t="s">
        <v>37</v>
      </c>
      <c r="F142" s="5" t="s">
        <v>52</v>
      </c>
      <c r="G142" s="5" t="s">
        <v>28</v>
      </c>
      <c r="H142" s="5">
        <v>16</v>
      </c>
      <c r="I142" s="5">
        <v>673</v>
      </c>
      <c r="J142" s="5">
        <v>1233</v>
      </c>
      <c r="K142" s="6">
        <f t="shared" si="8"/>
        <v>10768</v>
      </c>
      <c r="L142" s="6">
        <f t="shared" si="9"/>
        <v>19728</v>
      </c>
      <c r="M142" s="6">
        <f t="shared" si="10"/>
        <v>8960</v>
      </c>
      <c r="N142" s="6" t="str">
        <f t="shared" si="11"/>
        <v>profit</v>
      </c>
    </row>
    <row r="143" spans="1:14" ht="15.6" thickTop="1" thickBot="1" x14ac:dyDescent="0.35">
      <c r="A143" s="4">
        <v>45481</v>
      </c>
      <c r="B143" s="4" t="s">
        <v>40</v>
      </c>
      <c r="C143" s="5" t="s">
        <v>53</v>
      </c>
      <c r="D143" s="5" t="s">
        <v>16</v>
      </c>
      <c r="E143" s="5" t="s">
        <v>37</v>
      </c>
      <c r="F143" s="5" t="s">
        <v>54</v>
      </c>
      <c r="G143" s="5" t="s">
        <v>28</v>
      </c>
      <c r="H143" s="5">
        <v>14</v>
      </c>
      <c r="I143" s="5">
        <v>782</v>
      </c>
      <c r="J143" s="5">
        <v>835</v>
      </c>
      <c r="K143" s="6">
        <f t="shared" si="8"/>
        <v>10948</v>
      </c>
      <c r="L143" s="6">
        <f t="shared" si="9"/>
        <v>11690</v>
      </c>
      <c r="M143" s="6">
        <f t="shared" si="10"/>
        <v>742</v>
      </c>
      <c r="N143" s="6" t="str">
        <f t="shared" si="11"/>
        <v>profit</v>
      </c>
    </row>
    <row r="144" spans="1:14" ht="15.6" thickTop="1" thickBot="1" x14ac:dyDescent="0.35">
      <c r="A144" s="4">
        <v>45482</v>
      </c>
      <c r="B144" s="4" t="s">
        <v>40</v>
      </c>
      <c r="C144" s="5" t="s">
        <v>55</v>
      </c>
      <c r="D144" s="5" t="s">
        <v>16</v>
      </c>
      <c r="E144" s="5" t="s">
        <v>37</v>
      </c>
      <c r="F144" s="5" t="s">
        <v>35</v>
      </c>
      <c r="G144" s="5" t="s">
        <v>28</v>
      </c>
      <c r="H144" s="5">
        <v>19</v>
      </c>
      <c r="I144" s="5">
        <v>536</v>
      </c>
      <c r="J144" s="5">
        <v>927</v>
      </c>
      <c r="K144" s="6">
        <f t="shared" si="8"/>
        <v>10184</v>
      </c>
      <c r="L144" s="6">
        <f t="shared" si="9"/>
        <v>17613</v>
      </c>
      <c r="M144" s="6">
        <f t="shared" si="10"/>
        <v>7429</v>
      </c>
      <c r="N144" s="6" t="str">
        <f t="shared" si="11"/>
        <v>profit</v>
      </c>
    </row>
    <row r="145" spans="1:14" ht="15.6" thickTop="1" thickBot="1" x14ac:dyDescent="0.35">
      <c r="A145" s="4">
        <v>45526</v>
      </c>
      <c r="B145" s="4" t="s">
        <v>57</v>
      </c>
      <c r="C145" s="5" t="s">
        <v>123</v>
      </c>
      <c r="D145" s="5" t="s">
        <v>46</v>
      </c>
      <c r="E145" s="5" t="s">
        <v>118</v>
      </c>
      <c r="F145" s="5" t="s">
        <v>64</v>
      </c>
      <c r="G145" s="5" t="s">
        <v>19</v>
      </c>
      <c r="H145" s="5">
        <v>23</v>
      </c>
      <c r="I145" s="5">
        <v>923</v>
      </c>
      <c r="J145" s="5">
        <v>897</v>
      </c>
      <c r="K145" s="6">
        <f t="shared" si="8"/>
        <v>21229</v>
      </c>
      <c r="L145" s="6">
        <f t="shared" si="9"/>
        <v>20631</v>
      </c>
      <c r="M145" s="6">
        <f t="shared" si="10"/>
        <v>-598</v>
      </c>
      <c r="N145" s="6" t="str">
        <f t="shared" si="11"/>
        <v>loss</v>
      </c>
    </row>
    <row r="146" spans="1:14" ht="15.6" thickTop="1" thickBot="1" x14ac:dyDescent="0.35">
      <c r="A146" s="4">
        <v>45483</v>
      </c>
      <c r="B146" s="4" t="s">
        <v>40</v>
      </c>
      <c r="C146" s="5" t="s">
        <v>56</v>
      </c>
      <c r="D146" s="5" t="s">
        <v>16</v>
      </c>
      <c r="E146" s="5" t="s">
        <v>37</v>
      </c>
      <c r="F146" s="5" t="s">
        <v>39</v>
      </c>
      <c r="G146" s="5" t="s">
        <v>19</v>
      </c>
      <c r="H146" s="5">
        <v>11</v>
      </c>
      <c r="I146" s="5">
        <v>991</v>
      </c>
      <c r="J146" s="5">
        <v>803</v>
      </c>
      <c r="K146" s="6">
        <f t="shared" si="8"/>
        <v>10901</v>
      </c>
      <c r="L146" s="6">
        <f t="shared" si="9"/>
        <v>8833</v>
      </c>
      <c r="M146" s="6">
        <f t="shared" si="10"/>
        <v>-2068</v>
      </c>
      <c r="N146" s="6" t="str">
        <f t="shared" si="11"/>
        <v>loss</v>
      </c>
    </row>
    <row r="147" spans="1:14" ht="15.6" thickTop="1" thickBot="1" x14ac:dyDescent="0.35">
      <c r="A147" s="4">
        <v>45510</v>
      </c>
      <c r="B147" s="4" t="s">
        <v>57</v>
      </c>
      <c r="C147" s="5" t="s">
        <v>58</v>
      </c>
      <c r="D147" s="5" t="s">
        <v>16</v>
      </c>
      <c r="E147" s="5" t="s">
        <v>37</v>
      </c>
      <c r="F147" s="5" t="s">
        <v>44</v>
      </c>
      <c r="G147" s="5" t="s">
        <v>19</v>
      </c>
      <c r="H147" s="5">
        <v>10</v>
      </c>
      <c r="I147" s="5">
        <v>844</v>
      </c>
      <c r="J147" s="5">
        <v>865</v>
      </c>
      <c r="K147" s="6">
        <f t="shared" si="8"/>
        <v>8440</v>
      </c>
      <c r="L147" s="6">
        <f t="shared" si="9"/>
        <v>8650</v>
      </c>
      <c r="M147" s="6">
        <f t="shared" si="10"/>
        <v>210</v>
      </c>
      <c r="N147" s="6" t="str">
        <f t="shared" si="11"/>
        <v>profit</v>
      </c>
    </row>
    <row r="148" spans="1:14" ht="15.6" thickTop="1" thickBot="1" x14ac:dyDescent="0.35">
      <c r="A148" s="4">
        <v>45511</v>
      </c>
      <c r="B148" s="4" t="s">
        <v>57</v>
      </c>
      <c r="C148" s="5" t="s">
        <v>59</v>
      </c>
      <c r="D148" s="5" t="s">
        <v>16</v>
      </c>
      <c r="E148" s="5" t="s">
        <v>37</v>
      </c>
      <c r="F148" s="5" t="s">
        <v>60</v>
      </c>
      <c r="G148" s="5" t="s">
        <v>19</v>
      </c>
      <c r="H148" s="5">
        <v>20</v>
      </c>
      <c r="I148" s="5">
        <v>803</v>
      </c>
      <c r="J148" s="5">
        <v>1377</v>
      </c>
      <c r="K148" s="6">
        <f t="shared" si="8"/>
        <v>16060</v>
      </c>
      <c r="L148" s="6">
        <f t="shared" si="9"/>
        <v>27540</v>
      </c>
      <c r="M148" s="6">
        <f t="shared" si="10"/>
        <v>11480</v>
      </c>
      <c r="N148" s="6" t="str">
        <f t="shared" si="11"/>
        <v>profit</v>
      </c>
    </row>
    <row r="149" spans="1:14" ht="15.6" thickTop="1" thickBot="1" x14ac:dyDescent="0.35">
      <c r="A149" s="4">
        <v>45513</v>
      </c>
      <c r="B149" s="4" t="s">
        <v>57</v>
      </c>
      <c r="C149" s="5" t="s">
        <v>61</v>
      </c>
      <c r="D149" s="5" t="s">
        <v>16</v>
      </c>
      <c r="E149" s="5" t="s">
        <v>37</v>
      </c>
      <c r="F149" s="5" t="s">
        <v>39</v>
      </c>
      <c r="G149" s="5" t="s">
        <v>19</v>
      </c>
      <c r="H149" s="5">
        <v>12</v>
      </c>
      <c r="I149" s="5">
        <v>606</v>
      </c>
      <c r="J149" s="5">
        <v>1154</v>
      </c>
      <c r="K149" s="6">
        <f t="shared" si="8"/>
        <v>7272</v>
      </c>
      <c r="L149" s="6">
        <f t="shared" si="9"/>
        <v>13848</v>
      </c>
      <c r="M149" s="6">
        <f t="shared" si="10"/>
        <v>6576</v>
      </c>
      <c r="N149" s="6" t="str">
        <f t="shared" si="11"/>
        <v>profit</v>
      </c>
    </row>
    <row r="150" spans="1:14" ht="15.6" thickTop="1" thickBot="1" x14ac:dyDescent="0.35">
      <c r="A150" s="4">
        <v>45514</v>
      </c>
      <c r="B150" s="4" t="s">
        <v>57</v>
      </c>
      <c r="C150" s="5" t="s">
        <v>65</v>
      </c>
      <c r="D150" s="5" t="s">
        <v>16</v>
      </c>
      <c r="E150" s="5" t="s">
        <v>37</v>
      </c>
      <c r="F150" s="5" t="s">
        <v>39</v>
      </c>
      <c r="G150" s="5" t="s">
        <v>19</v>
      </c>
      <c r="H150" s="5">
        <v>11</v>
      </c>
      <c r="I150" s="5">
        <v>622</v>
      </c>
      <c r="J150" s="5">
        <v>767</v>
      </c>
      <c r="K150" s="6">
        <f t="shared" si="8"/>
        <v>6842</v>
      </c>
      <c r="L150" s="6">
        <f t="shared" si="9"/>
        <v>8437</v>
      </c>
      <c r="M150" s="6">
        <f t="shared" si="10"/>
        <v>1595</v>
      </c>
      <c r="N150" s="6" t="str">
        <f t="shared" si="11"/>
        <v>profit</v>
      </c>
    </row>
    <row r="151" spans="1:14" ht="15.6" thickTop="1" thickBot="1" x14ac:dyDescent="0.35">
      <c r="A151" s="4">
        <v>45515</v>
      </c>
      <c r="B151" s="4" t="s">
        <v>57</v>
      </c>
      <c r="C151" s="5" t="s">
        <v>67</v>
      </c>
      <c r="D151" s="5" t="s">
        <v>16</v>
      </c>
      <c r="E151" s="5" t="s">
        <v>37</v>
      </c>
      <c r="F151" s="5" t="s">
        <v>44</v>
      </c>
      <c r="G151" s="5" t="s">
        <v>28</v>
      </c>
      <c r="H151" s="5">
        <v>17</v>
      </c>
      <c r="I151" s="5">
        <v>671</v>
      </c>
      <c r="J151" s="5">
        <v>906</v>
      </c>
      <c r="K151" s="6">
        <f t="shared" si="8"/>
        <v>11407</v>
      </c>
      <c r="L151" s="6">
        <f t="shared" si="9"/>
        <v>15402</v>
      </c>
      <c r="M151" s="6">
        <f t="shared" si="10"/>
        <v>3995</v>
      </c>
      <c r="N151" s="6" t="str">
        <f t="shared" si="11"/>
        <v>profit</v>
      </c>
    </row>
    <row r="152" spans="1:14" ht="15.6" thickTop="1" thickBot="1" x14ac:dyDescent="0.35">
      <c r="A152" s="4">
        <v>45516</v>
      </c>
      <c r="B152" s="4" t="s">
        <v>57</v>
      </c>
      <c r="C152" s="5" t="s">
        <v>68</v>
      </c>
      <c r="D152" s="5" t="s">
        <v>16</v>
      </c>
      <c r="E152" s="5" t="s">
        <v>37</v>
      </c>
      <c r="F152" s="5" t="s">
        <v>27</v>
      </c>
      <c r="G152" s="5" t="s">
        <v>28</v>
      </c>
      <c r="H152" s="5">
        <v>12</v>
      </c>
      <c r="I152" s="5">
        <v>814</v>
      </c>
      <c r="J152" s="5">
        <v>1392</v>
      </c>
      <c r="K152" s="6">
        <f t="shared" si="8"/>
        <v>9768</v>
      </c>
      <c r="L152" s="6">
        <f t="shared" si="9"/>
        <v>16704</v>
      </c>
      <c r="M152" s="6">
        <f t="shared" si="10"/>
        <v>6936</v>
      </c>
      <c r="N152" s="6" t="str">
        <f t="shared" si="11"/>
        <v>profit</v>
      </c>
    </row>
    <row r="153" spans="1:14" ht="15.6" thickTop="1" thickBot="1" x14ac:dyDescent="0.35">
      <c r="A153" s="4">
        <v>45543</v>
      </c>
      <c r="B153" s="4" t="s">
        <v>69</v>
      </c>
      <c r="C153" s="5" t="s">
        <v>70</v>
      </c>
      <c r="D153" s="5" t="s">
        <v>16</v>
      </c>
      <c r="E153" s="5" t="s">
        <v>37</v>
      </c>
      <c r="F153" s="5" t="s">
        <v>71</v>
      </c>
      <c r="G153" s="5" t="s">
        <v>28</v>
      </c>
      <c r="H153" s="5">
        <v>11</v>
      </c>
      <c r="I153" s="5">
        <v>960</v>
      </c>
      <c r="J153" s="5">
        <v>939</v>
      </c>
      <c r="K153" s="6">
        <f t="shared" si="8"/>
        <v>10560</v>
      </c>
      <c r="L153" s="6">
        <f t="shared" si="9"/>
        <v>10329</v>
      </c>
      <c r="M153" s="6">
        <f t="shared" si="10"/>
        <v>-231</v>
      </c>
      <c r="N153" s="6" t="str">
        <f t="shared" si="11"/>
        <v>loss</v>
      </c>
    </row>
    <row r="154" spans="1:14" ht="15.6" thickTop="1" thickBot="1" x14ac:dyDescent="0.35">
      <c r="A154" s="4">
        <v>45535</v>
      </c>
      <c r="B154" s="4" t="s">
        <v>57</v>
      </c>
      <c r="C154" s="5" t="s">
        <v>124</v>
      </c>
      <c r="D154" s="5" t="s">
        <v>33</v>
      </c>
      <c r="E154" s="5" t="s">
        <v>99</v>
      </c>
      <c r="F154" s="5" t="s">
        <v>21</v>
      </c>
      <c r="G154" s="5" t="s">
        <v>28</v>
      </c>
      <c r="H154" s="5">
        <v>89</v>
      </c>
      <c r="I154" s="5">
        <v>910</v>
      </c>
      <c r="J154" s="5">
        <v>1261</v>
      </c>
      <c r="K154" s="6">
        <f t="shared" si="8"/>
        <v>80990</v>
      </c>
      <c r="L154" s="6">
        <f t="shared" si="9"/>
        <v>112229</v>
      </c>
      <c r="M154" s="6">
        <f t="shared" si="10"/>
        <v>31239</v>
      </c>
      <c r="N154" s="6" t="str">
        <f t="shared" si="11"/>
        <v>profit</v>
      </c>
    </row>
    <row r="155" spans="1:14" ht="15.6" thickTop="1" thickBot="1" x14ac:dyDescent="0.35">
      <c r="A155" s="4">
        <v>45544</v>
      </c>
      <c r="B155" s="4" t="s">
        <v>69</v>
      </c>
      <c r="C155" s="5" t="s">
        <v>72</v>
      </c>
      <c r="D155" s="5" t="s">
        <v>16</v>
      </c>
      <c r="E155" s="5" t="s">
        <v>37</v>
      </c>
      <c r="F155" s="5" t="s">
        <v>44</v>
      </c>
      <c r="G155" s="5" t="s">
        <v>28</v>
      </c>
      <c r="H155" s="5">
        <v>10</v>
      </c>
      <c r="I155" s="5">
        <v>654</v>
      </c>
      <c r="J155" s="5">
        <v>1029</v>
      </c>
      <c r="K155" s="6">
        <f t="shared" si="8"/>
        <v>6540</v>
      </c>
      <c r="L155" s="6">
        <f t="shared" si="9"/>
        <v>10290</v>
      </c>
      <c r="M155" s="6">
        <f t="shared" si="10"/>
        <v>3750</v>
      </c>
      <c r="N155" s="6" t="str">
        <f t="shared" si="11"/>
        <v>profit</v>
      </c>
    </row>
    <row r="156" spans="1:14" ht="15.6" thickTop="1" thickBot="1" x14ac:dyDescent="0.35">
      <c r="A156" s="4">
        <v>45545</v>
      </c>
      <c r="B156" s="4" t="s">
        <v>69</v>
      </c>
      <c r="C156" s="5" t="s">
        <v>73</v>
      </c>
      <c r="D156" s="5" t="s">
        <v>16</v>
      </c>
      <c r="E156" s="5" t="s">
        <v>37</v>
      </c>
      <c r="F156" s="5" t="s">
        <v>25</v>
      </c>
      <c r="G156" s="5" t="s">
        <v>28</v>
      </c>
      <c r="H156" s="5">
        <v>14</v>
      </c>
      <c r="I156" s="5">
        <v>504</v>
      </c>
      <c r="J156" s="5">
        <v>1130</v>
      </c>
      <c r="K156" s="6">
        <f t="shared" si="8"/>
        <v>7056</v>
      </c>
      <c r="L156" s="6">
        <f t="shared" si="9"/>
        <v>15820</v>
      </c>
      <c r="M156" s="6">
        <f t="shared" si="10"/>
        <v>8764</v>
      </c>
      <c r="N156" s="6" t="str">
        <f t="shared" si="11"/>
        <v>profit</v>
      </c>
    </row>
    <row r="157" spans="1:14" ht="15.6" thickTop="1" thickBot="1" x14ac:dyDescent="0.35">
      <c r="A157" s="4">
        <v>45546</v>
      </c>
      <c r="B157" s="4" t="s">
        <v>69</v>
      </c>
      <c r="C157" s="5" t="s">
        <v>74</v>
      </c>
      <c r="D157" s="5" t="s">
        <v>16</v>
      </c>
      <c r="E157" s="5" t="s">
        <v>37</v>
      </c>
      <c r="F157" s="5" t="s">
        <v>64</v>
      </c>
      <c r="G157" s="5" t="s">
        <v>28</v>
      </c>
      <c r="H157" s="5">
        <v>12</v>
      </c>
      <c r="I157" s="5">
        <v>886</v>
      </c>
      <c r="J157" s="5">
        <v>1233</v>
      </c>
      <c r="K157" s="6">
        <f t="shared" si="8"/>
        <v>10632</v>
      </c>
      <c r="L157" s="6">
        <f t="shared" si="9"/>
        <v>14796</v>
      </c>
      <c r="M157" s="6">
        <f t="shared" si="10"/>
        <v>4164</v>
      </c>
      <c r="N157" s="6" t="str">
        <f t="shared" si="11"/>
        <v>profit</v>
      </c>
    </row>
    <row r="158" spans="1:14" ht="15.6" thickTop="1" thickBot="1" x14ac:dyDescent="0.35">
      <c r="A158" s="4">
        <v>45547</v>
      </c>
      <c r="B158" s="4" t="s">
        <v>69</v>
      </c>
      <c r="C158" s="5" t="s">
        <v>75</v>
      </c>
      <c r="D158" s="5" t="s">
        <v>16</v>
      </c>
      <c r="E158" s="5" t="s">
        <v>37</v>
      </c>
      <c r="F158" s="5" t="s">
        <v>76</v>
      </c>
      <c r="G158" s="5" t="s">
        <v>19</v>
      </c>
      <c r="H158" s="5">
        <v>10</v>
      </c>
      <c r="I158" s="5">
        <v>554</v>
      </c>
      <c r="J158" s="5">
        <v>1210</v>
      </c>
      <c r="K158" s="6">
        <f t="shared" si="8"/>
        <v>5540</v>
      </c>
      <c r="L158" s="6">
        <f t="shared" si="9"/>
        <v>12100</v>
      </c>
      <c r="M158" s="6">
        <f t="shared" si="10"/>
        <v>6560</v>
      </c>
      <c r="N158" s="6" t="str">
        <f t="shared" si="11"/>
        <v>profit</v>
      </c>
    </row>
    <row r="159" spans="1:14" ht="15.6" thickTop="1" thickBot="1" x14ac:dyDescent="0.35">
      <c r="A159" s="4">
        <v>45540</v>
      </c>
      <c r="B159" s="4" t="s">
        <v>69</v>
      </c>
      <c r="C159" s="5" t="s">
        <v>125</v>
      </c>
      <c r="D159" s="5" t="s">
        <v>33</v>
      </c>
      <c r="E159" s="5" t="s">
        <v>120</v>
      </c>
      <c r="F159" s="5" t="s">
        <v>30</v>
      </c>
      <c r="G159" s="5" t="s">
        <v>19</v>
      </c>
      <c r="H159" s="5">
        <v>59</v>
      </c>
      <c r="I159" s="5">
        <v>764</v>
      </c>
      <c r="J159" s="5">
        <v>1365</v>
      </c>
      <c r="K159" s="6">
        <f t="shared" si="8"/>
        <v>45076</v>
      </c>
      <c r="L159" s="6">
        <f t="shared" si="9"/>
        <v>80535</v>
      </c>
      <c r="M159" s="6">
        <f t="shared" si="10"/>
        <v>35459</v>
      </c>
      <c r="N159" s="6" t="str">
        <f t="shared" si="11"/>
        <v>profit</v>
      </c>
    </row>
    <row r="160" spans="1:14" ht="15.6" thickTop="1" thickBot="1" x14ac:dyDescent="0.35">
      <c r="A160" s="4">
        <v>45548</v>
      </c>
      <c r="B160" s="4" t="s">
        <v>69</v>
      </c>
      <c r="C160" s="5" t="s">
        <v>77</v>
      </c>
      <c r="D160" s="5" t="s">
        <v>16</v>
      </c>
      <c r="E160" s="5" t="s">
        <v>37</v>
      </c>
      <c r="F160" s="5" t="s">
        <v>78</v>
      </c>
      <c r="G160" s="5" t="s">
        <v>19</v>
      </c>
      <c r="H160" s="5">
        <v>14</v>
      </c>
      <c r="I160" s="5">
        <v>933</v>
      </c>
      <c r="J160" s="5">
        <v>1064</v>
      </c>
      <c r="K160" s="6">
        <f t="shared" si="8"/>
        <v>13062</v>
      </c>
      <c r="L160" s="6">
        <f t="shared" si="9"/>
        <v>14896</v>
      </c>
      <c r="M160" s="6">
        <f t="shared" si="10"/>
        <v>1834</v>
      </c>
      <c r="N160" s="6" t="str">
        <f t="shared" si="11"/>
        <v>profit</v>
      </c>
    </row>
    <row r="161" spans="1:14" ht="15.6" thickTop="1" thickBot="1" x14ac:dyDescent="0.35">
      <c r="A161" s="4">
        <v>45550</v>
      </c>
      <c r="B161" s="4" t="s">
        <v>69</v>
      </c>
      <c r="C161" s="5" t="s">
        <v>79</v>
      </c>
      <c r="D161" s="5" t="s">
        <v>16</v>
      </c>
      <c r="E161" s="5" t="s">
        <v>37</v>
      </c>
      <c r="F161" s="5" t="s">
        <v>44</v>
      </c>
      <c r="G161" s="5" t="s">
        <v>19</v>
      </c>
      <c r="H161" s="5">
        <v>15</v>
      </c>
      <c r="I161" s="5">
        <v>674</v>
      </c>
      <c r="J161" s="5">
        <v>1125</v>
      </c>
      <c r="K161" s="6">
        <f t="shared" si="8"/>
        <v>10110</v>
      </c>
      <c r="L161" s="6">
        <f t="shared" si="9"/>
        <v>16875</v>
      </c>
      <c r="M161" s="6">
        <f t="shared" si="10"/>
        <v>6765</v>
      </c>
      <c r="N161" s="6" t="str">
        <f t="shared" si="11"/>
        <v>profit</v>
      </c>
    </row>
    <row r="162" spans="1:14" ht="15.6" thickTop="1" thickBot="1" x14ac:dyDescent="0.35">
      <c r="A162" s="4">
        <v>45551</v>
      </c>
      <c r="B162" s="4" t="s">
        <v>69</v>
      </c>
      <c r="C162" s="5" t="s">
        <v>80</v>
      </c>
      <c r="D162" s="5" t="s">
        <v>16</v>
      </c>
      <c r="E162" s="5" t="s">
        <v>37</v>
      </c>
      <c r="F162" s="5" t="s">
        <v>60</v>
      </c>
      <c r="G162" s="5" t="s">
        <v>19</v>
      </c>
      <c r="H162" s="5">
        <v>20</v>
      </c>
      <c r="I162" s="5">
        <v>529</v>
      </c>
      <c r="J162" s="5">
        <v>1455</v>
      </c>
      <c r="K162" s="6">
        <f t="shared" si="8"/>
        <v>10580</v>
      </c>
      <c r="L162" s="6">
        <f t="shared" si="9"/>
        <v>29100</v>
      </c>
      <c r="M162" s="6">
        <f t="shared" si="10"/>
        <v>18520</v>
      </c>
      <c r="N162" s="6" t="str">
        <f t="shared" si="11"/>
        <v>profit</v>
      </c>
    </row>
    <row r="163" spans="1:14" ht="15.6" thickTop="1" thickBot="1" x14ac:dyDescent="0.35">
      <c r="A163" s="4">
        <v>45552</v>
      </c>
      <c r="B163" s="4" t="s">
        <v>69</v>
      </c>
      <c r="C163" s="5" t="s">
        <v>81</v>
      </c>
      <c r="D163" s="5" t="s">
        <v>16</v>
      </c>
      <c r="E163" s="5" t="s">
        <v>37</v>
      </c>
      <c r="F163" s="5" t="s">
        <v>35</v>
      </c>
      <c r="G163" s="5" t="s">
        <v>19</v>
      </c>
      <c r="H163" s="5">
        <v>18</v>
      </c>
      <c r="I163" s="5">
        <v>717</v>
      </c>
      <c r="J163" s="5">
        <v>833</v>
      </c>
      <c r="K163" s="6">
        <f t="shared" si="8"/>
        <v>12906</v>
      </c>
      <c r="L163" s="6">
        <f t="shared" si="9"/>
        <v>14994</v>
      </c>
      <c r="M163" s="6">
        <f t="shared" si="10"/>
        <v>2088</v>
      </c>
      <c r="N163" s="6" t="str">
        <f t="shared" si="11"/>
        <v>profit</v>
      </c>
    </row>
    <row r="164" spans="1:14" ht="15.6" thickTop="1" thickBot="1" x14ac:dyDescent="0.35">
      <c r="A164" s="4">
        <v>45553</v>
      </c>
      <c r="B164" s="4" t="s">
        <v>69</v>
      </c>
      <c r="C164" s="5" t="s">
        <v>82</v>
      </c>
      <c r="D164" s="5" t="s">
        <v>16</v>
      </c>
      <c r="E164" s="5" t="s">
        <v>37</v>
      </c>
      <c r="F164" s="5" t="s">
        <v>39</v>
      </c>
      <c r="G164" s="5" t="s">
        <v>19</v>
      </c>
      <c r="H164" s="5">
        <v>17</v>
      </c>
      <c r="I164" s="5">
        <v>966</v>
      </c>
      <c r="J164" s="5">
        <v>1044</v>
      </c>
      <c r="K164" s="6">
        <f t="shared" si="8"/>
        <v>16422</v>
      </c>
      <c r="L164" s="6">
        <f t="shared" si="9"/>
        <v>17748</v>
      </c>
      <c r="M164" s="6">
        <f t="shared" si="10"/>
        <v>1326</v>
      </c>
      <c r="N164" s="6" t="str">
        <f t="shared" si="11"/>
        <v>profit</v>
      </c>
    </row>
    <row r="165" spans="1:14" ht="15.6" thickTop="1" thickBot="1" x14ac:dyDescent="0.35">
      <c r="A165" s="4">
        <v>45562</v>
      </c>
      <c r="B165" s="4" t="s">
        <v>69</v>
      </c>
      <c r="C165" s="5" t="s">
        <v>83</v>
      </c>
      <c r="D165" s="5" t="s">
        <v>16</v>
      </c>
      <c r="E165" s="5" t="s">
        <v>17</v>
      </c>
      <c r="F165" s="5" t="s">
        <v>35</v>
      </c>
      <c r="G165" s="5" t="s">
        <v>28</v>
      </c>
      <c r="H165" s="5">
        <v>16</v>
      </c>
      <c r="I165" s="5">
        <v>599</v>
      </c>
      <c r="J165" s="5">
        <v>1490</v>
      </c>
      <c r="K165" s="6">
        <f t="shared" si="8"/>
        <v>9584</v>
      </c>
      <c r="L165" s="6">
        <f t="shared" si="9"/>
        <v>23840</v>
      </c>
      <c r="M165" s="6">
        <f t="shared" si="10"/>
        <v>14256</v>
      </c>
      <c r="N165" s="6" t="str">
        <f t="shared" si="11"/>
        <v>profit</v>
      </c>
    </row>
    <row r="166" spans="1:14" ht="15.6" thickTop="1" thickBot="1" x14ac:dyDescent="0.35">
      <c r="A166" s="4">
        <v>45564</v>
      </c>
      <c r="B166" s="4" t="s">
        <v>69</v>
      </c>
      <c r="C166" s="5" t="s">
        <v>84</v>
      </c>
      <c r="D166" s="5" t="s">
        <v>16</v>
      </c>
      <c r="E166" s="5" t="s">
        <v>17</v>
      </c>
      <c r="F166" s="5" t="s">
        <v>39</v>
      </c>
      <c r="G166" s="5" t="s">
        <v>19</v>
      </c>
      <c r="H166" s="5">
        <v>12</v>
      </c>
      <c r="I166" s="5">
        <v>827</v>
      </c>
      <c r="J166" s="5">
        <v>955</v>
      </c>
      <c r="K166" s="6">
        <f t="shared" si="8"/>
        <v>9924</v>
      </c>
      <c r="L166" s="6">
        <f t="shared" si="9"/>
        <v>11460</v>
      </c>
      <c r="M166" s="6">
        <f t="shared" si="10"/>
        <v>1536</v>
      </c>
      <c r="N166" s="6" t="str">
        <f t="shared" si="11"/>
        <v>profit</v>
      </c>
    </row>
    <row r="167" spans="1:14" ht="15.6" thickTop="1" thickBot="1" x14ac:dyDescent="0.35">
      <c r="A167" s="4">
        <v>45566</v>
      </c>
      <c r="B167" s="4" t="s">
        <v>85</v>
      </c>
      <c r="C167" s="5" t="s">
        <v>86</v>
      </c>
      <c r="D167" s="5" t="s">
        <v>16</v>
      </c>
      <c r="E167" s="5" t="s">
        <v>17</v>
      </c>
      <c r="F167" s="5" t="s">
        <v>64</v>
      </c>
      <c r="G167" s="5" t="s">
        <v>19</v>
      </c>
      <c r="H167" s="5">
        <v>17</v>
      </c>
      <c r="I167" s="5">
        <v>932</v>
      </c>
      <c r="J167" s="5">
        <v>808</v>
      </c>
      <c r="K167" s="6">
        <f t="shared" si="8"/>
        <v>15844</v>
      </c>
      <c r="L167" s="6">
        <f t="shared" si="9"/>
        <v>13736</v>
      </c>
      <c r="M167" s="6">
        <f t="shared" si="10"/>
        <v>-2108</v>
      </c>
      <c r="N167" s="6" t="str">
        <f t="shared" si="11"/>
        <v>loss</v>
      </c>
    </row>
    <row r="168" spans="1:14" ht="15.6" thickTop="1" thickBot="1" x14ac:dyDescent="0.35">
      <c r="A168" s="4">
        <v>45549</v>
      </c>
      <c r="B168" s="4" t="s">
        <v>69</v>
      </c>
      <c r="C168" s="5" t="s">
        <v>126</v>
      </c>
      <c r="D168" s="5" t="s">
        <v>16</v>
      </c>
      <c r="E168" s="5" t="s">
        <v>37</v>
      </c>
      <c r="F168" s="5" t="s">
        <v>35</v>
      </c>
      <c r="G168" s="5" t="s">
        <v>19</v>
      </c>
      <c r="H168" s="5">
        <v>14</v>
      </c>
      <c r="I168" s="5">
        <v>857</v>
      </c>
      <c r="J168" s="5">
        <v>767</v>
      </c>
      <c r="K168" s="6">
        <f t="shared" si="8"/>
        <v>11998</v>
      </c>
      <c r="L168" s="6">
        <f t="shared" si="9"/>
        <v>10738</v>
      </c>
      <c r="M168" s="6">
        <f t="shared" si="10"/>
        <v>-1260</v>
      </c>
      <c r="N168" s="6" t="str">
        <f t="shared" si="11"/>
        <v>loss</v>
      </c>
    </row>
    <row r="169" spans="1:14" ht="15.6" thickTop="1" thickBot="1" x14ac:dyDescent="0.35">
      <c r="A169" s="4">
        <v>45567</v>
      </c>
      <c r="B169" s="4" t="s">
        <v>85</v>
      </c>
      <c r="C169" s="5" t="s">
        <v>87</v>
      </c>
      <c r="D169" s="5" t="s">
        <v>16</v>
      </c>
      <c r="E169" s="5" t="s">
        <v>17</v>
      </c>
      <c r="F169" s="5" t="s">
        <v>60</v>
      </c>
      <c r="G169" s="5" t="s">
        <v>19</v>
      </c>
      <c r="H169" s="5">
        <v>11</v>
      </c>
      <c r="I169" s="5">
        <v>654</v>
      </c>
      <c r="J169" s="5">
        <v>767</v>
      </c>
      <c r="K169" s="6">
        <f t="shared" si="8"/>
        <v>7194</v>
      </c>
      <c r="L169" s="6">
        <f t="shared" si="9"/>
        <v>8437</v>
      </c>
      <c r="M169" s="6">
        <f t="shared" si="10"/>
        <v>1243</v>
      </c>
      <c r="N169" s="6" t="str">
        <f t="shared" si="11"/>
        <v>profit</v>
      </c>
    </row>
    <row r="170" spans="1:14" ht="15.6" thickTop="1" thickBot="1" x14ac:dyDescent="0.35">
      <c r="A170" s="4">
        <v>45568</v>
      </c>
      <c r="B170" s="4" t="s">
        <v>85</v>
      </c>
      <c r="C170" s="5" t="s">
        <v>88</v>
      </c>
      <c r="D170" s="5" t="s">
        <v>16</v>
      </c>
      <c r="E170" s="5" t="s">
        <v>17</v>
      </c>
      <c r="F170" s="5" t="s">
        <v>39</v>
      </c>
      <c r="G170" s="5" t="s">
        <v>19</v>
      </c>
      <c r="H170" s="5">
        <v>19</v>
      </c>
      <c r="I170" s="5">
        <v>764</v>
      </c>
      <c r="J170" s="5">
        <v>1069</v>
      </c>
      <c r="K170" s="6">
        <f t="shared" si="8"/>
        <v>14516</v>
      </c>
      <c r="L170" s="6">
        <f t="shared" si="9"/>
        <v>20311</v>
      </c>
      <c r="M170" s="6">
        <f t="shared" si="10"/>
        <v>5795</v>
      </c>
      <c r="N170" s="6" t="str">
        <f t="shared" si="11"/>
        <v>profit</v>
      </c>
    </row>
    <row r="171" spans="1:14" ht="15.6" thickTop="1" thickBot="1" x14ac:dyDescent="0.35">
      <c r="A171" s="4">
        <v>45580</v>
      </c>
      <c r="B171" s="4" t="s">
        <v>85</v>
      </c>
      <c r="C171" s="5" t="s">
        <v>89</v>
      </c>
      <c r="D171" s="5" t="s">
        <v>16</v>
      </c>
      <c r="E171" s="5" t="s">
        <v>37</v>
      </c>
      <c r="F171" s="5" t="s">
        <v>30</v>
      </c>
      <c r="G171" s="5" t="s">
        <v>28</v>
      </c>
      <c r="H171" s="5">
        <v>15</v>
      </c>
      <c r="I171" s="5">
        <v>906</v>
      </c>
      <c r="J171" s="5">
        <v>1485</v>
      </c>
      <c r="K171" s="6">
        <f t="shared" si="8"/>
        <v>13590</v>
      </c>
      <c r="L171" s="6">
        <f t="shared" si="9"/>
        <v>22275</v>
      </c>
      <c r="M171" s="6">
        <f t="shared" si="10"/>
        <v>8685</v>
      </c>
      <c r="N171" s="6" t="str">
        <f t="shared" si="11"/>
        <v>profit</v>
      </c>
    </row>
    <row r="172" spans="1:14" ht="15.6" thickTop="1" thickBot="1" x14ac:dyDescent="0.35">
      <c r="A172" s="4">
        <v>45581</v>
      </c>
      <c r="B172" s="4" t="s">
        <v>85</v>
      </c>
      <c r="C172" s="5" t="s">
        <v>90</v>
      </c>
      <c r="D172" s="5" t="s">
        <v>16</v>
      </c>
      <c r="E172" s="5" t="s">
        <v>37</v>
      </c>
      <c r="F172" s="5" t="s">
        <v>25</v>
      </c>
      <c r="G172" s="5" t="s">
        <v>28</v>
      </c>
      <c r="H172" s="5">
        <v>20</v>
      </c>
      <c r="I172" s="5">
        <v>780</v>
      </c>
      <c r="J172" s="5">
        <v>783</v>
      </c>
      <c r="K172" s="6">
        <f t="shared" si="8"/>
        <v>15600</v>
      </c>
      <c r="L172" s="6">
        <f t="shared" si="9"/>
        <v>15660</v>
      </c>
      <c r="M172" s="6">
        <f t="shared" si="10"/>
        <v>60</v>
      </c>
      <c r="N172" s="6" t="str">
        <f t="shared" si="11"/>
        <v>profit</v>
      </c>
    </row>
    <row r="173" spans="1:14" ht="15.6" thickTop="1" thickBot="1" x14ac:dyDescent="0.35">
      <c r="A173" s="4">
        <v>45554</v>
      </c>
      <c r="B173" s="4" t="s">
        <v>69</v>
      </c>
      <c r="C173" s="5" t="s">
        <v>127</v>
      </c>
      <c r="D173" s="5" t="s">
        <v>16</v>
      </c>
      <c r="E173" s="5" t="s">
        <v>37</v>
      </c>
      <c r="F173" s="5" t="s">
        <v>39</v>
      </c>
      <c r="G173" s="5" t="s">
        <v>28</v>
      </c>
      <c r="H173" s="5">
        <v>14</v>
      </c>
      <c r="I173" s="5">
        <v>515</v>
      </c>
      <c r="J173" s="5">
        <v>1230</v>
      </c>
      <c r="K173" s="6">
        <f t="shared" si="8"/>
        <v>7210</v>
      </c>
      <c r="L173" s="6">
        <f t="shared" si="9"/>
        <v>17220</v>
      </c>
      <c r="M173" s="6">
        <f t="shared" si="10"/>
        <v>10010</v>
      </c>
      <c r="N173" s="6" t="str">
        <f t="shared" si="11"/>
        <v>profit</v>
      </c>
    </row>
    <row r="174" spans="1:14" ht="15.6" thickTop="1" thickBot="1" x14ac:dyDescent="0.35">
      <c r="A174" s="4">
        <v>45582</v>
      </c>
      <c r="B174" s="4" t="s">
        <v>85</v>
      </c>
      <c r="C174" s="5" t="s">
        <v>91</v>
      </c>
      <c r="D174" s="5" t="s">
        <v>16</v>
      </c>
      <c r="E174" s="5" t="s">
        <v>37</v>
      </c>
      <c r="F174" s="5" t="s">
        <v>76</v>
      </c>
      <c r="G174" s="5" t="s">
        <v>28</v>
      </c>
      <c r="H174" s="5">
        <v>17</v>
      </c>
      <c r="I174" s="5">
        <v>747</v>
      </c>
      <c r="J174" s="5">
        <v>1190</v>
      </c>
      <c r="K174" s="6">
        <f t="shared" si="8"/>
        <v>12699</v>
      </c>
      <c r="L174" s="6">
        <f t="shared" si="9"/>
        <v>20230</v>
      </c>
      <c r="M174" s="6">
        <f t="shared" si="10"/>
        <v>7531</v>
      </c>
      <c r="N174" s="6" t="str">
        <f t="shared" si="11"/>
        <v>profit</v>
      </c>
    </row>
    <row r="175" spans="1:14" ht="15.6" thickTop="1" thickBot="1" x14ac:dyDescent="0.35">
      <c r="A175" s="4">
        <v>45584</v>
      </c>
      <c r="B175" s="4" t="s">
        <v>85</v>
      </c>
      <c r="C175" s="5" t="s">
        <v>92</v>
      </c>
      <c r="D175" s="5" t="s">
        <v>16</v>
      </c>
      <c r="E175" s="5" t="s">
        <v>37</v>
      </c>
      <c r="F175" s="5" t="s">
        <v>35</v>
      </c>
      <c r="G175" s="5" t="s">
        <v>19</v>
      </c>
      <c r="H175" s="5">
        <v>15</v>
      </c>
      <c r="I175" s="5">
        <v>747</v>
      </c>
      <c r="J175" s="5">
        <v>966</v>
      </c>
      <c r="K175" s="6">
        <f t="shared" si="8"/>
        <v>11205</v>
      </c>
      <c r="L175" s="6">
        <f t="shared" si="9"/>
        <v>14490</v>
      </c>
      <c r="M175" s="6">
        <f t="shared" si="10"/>
        <v>3285</v>
      </c>
      <c r="N175" s="6" t="str">
        <f t="shared" si="11"/>
        <v>profit</v>
      </c>
    </row>
    <row r="176" spans="1:14" ht="15.6" thickTop="1" thickBot="1" x14ac:dyDescent="0.35">
      <c r="A176" s="4">
        <v>45585</v>
      </c>
      <c r="B176" s="4" t="s">
        <v>85</v>
      </c>
      <c r="C176" s="5" t="s">
        <v>93</v>
      </c>
      <c r="D176" s="5" t="s">
        <v>16</v>
      </c>
      <c r="E176" s="5" t="s">
        <v>37</v>
      </c>
      <c r="F176" s="5" t="s">
        <v>39</v>
      </c>
      <c r="G176" s="5" t="s">
        <v>19</v>
      </c>
      <c r="H176" s="5">
        <v>20</v>
      </c>
      <c r="I176" s="5">
        <v>844</v>
      </c>
      <c r="J176" s="5">
        <v>1010</v>
      </c>
      <c r="K176" s="6">
        <f t="shared" si="8"/>
        <v>16880</v>
      </c>
      <c r="L176" s="6">
        <f t="shared" si="9"/>
        <v>20200</v>
      </c>
      <c r="M176" s="6">
        <f t="shared" si="10"/>
        <v>3320</v>
      </c>
      <c r="N176" s="6" t="str">
        <f t="shared" si="11"/>
        <v>profit</v>
      </c>
    </row>
    <row r="177" spans="1:14" ht="15.6" thickTop="1" thickBot="1" x14ac:dyDescent="0.35">
      <c r="A177" s="4">
        <v>45587</v>
      </c>
      <c r="B177" s="4" t="s">
        <v>85</v>
      </c>
      <c r="C177" s="5" t="s">
        <v>94</v>
      </c>
      <c r="D177" s="5" t="s">
        <v>16</v>
      </c>
      <c r="E177" s="5" t="s">
        <v>37</v>
      </c>
      <c r="F177" s="5" t="s">
        <v>64</v>
      </c>
      <c r="G177" s="5" t="s">
        <v>19</v>
      </c>
      <c r="H177" s="5">
        <v>14</v>
      </c>
      <c r="I177" s="5">
        <v>799</v>
      </c>
      <c r="J177" s="5">
        <v>1154</v>
      </c>
      <c r="K177" s="6">
        <f t="shared" si="8"/>
        <v>11186</v>
      </c>
      <c r="L177" s="6">
        <f t="shared" si="9"/>
        <v>16156</v>
      </c>
      <c r="M177" s="6">
        <f t="shared" si="10"/>
        <v>4970</v>
      </c>
      <c r="N177" s="6" t="str">
        <f t="shared" si="11"/>
        <v>profit</v>
      </c>
    </row>
    <row r="178" spans="1:14" ht="15.6" thickTop="1" thickBot="1" x14ac:dyDescent="0.35">
      <c r="A178" s="4">
        <v>45659</v>
      </c>
      <c r="B178" s="4" t="s">
        <v>95</v>
      </c>
      <c r="C178" s="5" t="s">
        <v>96</v>
      </c>
      <c r="D178" s="5" t="s">
        <v>16</v>
      </c>
      <c r="E178" s="5" t="s">
        <v>17</v>
      </c>
      <c r="F178" s="5" t="s">
        <v>25</v>
      </c>
      <c r="G178" s="5" t="s">
        <v>19</v>
      </c>
      <c r="H178" s="5">
        <v>19</v>
      </c>
      <c r="I178" s="5">
        <v>608</v>
      </c>
      <c r="J178" s="5">
        <v>1032</v>
      </c>
      <c r="K178" s="6">
        <f t="shared" si="8"/>
        <v>11552</v>
      </c>
      <c r="L178" s="6">
        <f t="shared" si="9"/>
        <v>19608</v>
      </c>
      <c r="M178" s="6">
        <f t="shared" si="10"/>
        <v>8056</v>
      </c>
      <c r="N178" s="6" t="str">
        <f t="shared" si="11"/>
        <v>profit</v>
      </c>
    </row>
    <row r="179" spans="1:14" ht="15.6" thickTop="1" thickBot="1" x14ac:dyDescent="0.35">
      <c r="A179" s="4">
        <v>45661</v>
      </c>
      <c r="B179" s="4" t="s">
        <v>95</v>
      </c>
      <c r="C179" s="5" t="s">
        <v>100</v>
      </c>
      <c r="D179" s="5" t="s">
        <v>16</v>
      </c>
      <c r="E179" s="5" t="s">
        <v>17</v>
      </c>
      <c r="F179" s="5" t="s">
        <v>71</v>
      </c>
      <c r="G179" s="5" t="s">
        <v>19</v>
      </c>
      <c r="H179" s="5">
        <v>14</v>
      </c>
      <c r="I179" s="5">
        <v>579</v>
      </c>
      <c r="J179" s="5">
        <v>907</v>
      </c>
      <c r="K179" s="6">
        <f t="shared" si="8"/>
        <v>8106</v>
      </c>
      <c r="L179" s="6">
        <f t="shared" si="9"/>
        <v>12698</v>
      </c>
      <c r="M179" s="6">
        <f t="shared" si="10"/>
        <v>4592</v>
      </c>
      <c r="N179" s="6" t="str">
        <f t="shared" si="11"/>
        <v>profit</v>
      </c>
    </row>
    <row r="180" spans="1:14" ht="15.6" thickTop="1" thickBot="1" x14ac:dyDescent="0.35">
      <c r="A180" s="4">
        <v>45663</v>
      </c>
      <c r="B180" s="4" t="s">
        <v>95</v>
      </c>
      <c r="C180" s="5" t="s">
        <v>101</v>
      </c>
      <c r="D180" s="5" t="s">
        <v>16</v>
      </c>
      <c r="E180" s="5" t="s">
        <v>17</v>
      </c>
      <c r="F180" s="5" t="s">
        <v>21</v>
      </c>
      <c r="G180" s="5" t="s">
        <v>19</v>
      </c>
      <c r="H180" s="5">
        <v>17</v>
      </c>
      <c r="I180" s="5">
        <v>825</v>
      </c>
      <c r="J180" s="5">
        <v>1080</v>
      </c>
      <c r="K180" s="6">
        <f t="shared" si="8"/>
        <v>14025</v>
      </c>
      <c r="L180" s="6">
        <f t="shared" si="9"/>
        <v>18360</v>
      </c>
      <c r="M180" s="6">
        <f t="shared" si="10"/>
        <v>4335</v>
      </c>
      <c r="N180" s="6" t="str">
        <f t="shared" si="11"/>
        <v>profit</v>
      </c>
    </row>
    <row r="181" spans="1:14" ht="15.6" thickTop="1" thickBot="1" x14ac:dyDescent="0.35">
      <c r="A181" s="4">
        <v>45665</v>
      </c>
      <c r="B181" s="4" t="s">
        <v>95</v>
      </c>
      <c r="C181" s="5" t="s">
        <v>102</v>
      </c>
      <c r="D181" s="5" t="s">
        <v>16</v>
      </c>
      <c r="E181" s="5" t="s">
        <v>17</v>
      </c>
      <c r="F181" s="5" t="s">
        <v>25</v>
      </c>
      <c r="G181" s="5" t="s">
        <v>28</v>
      </c>
      <c r="H181" s="5">
        <v>15</v>
      </c>
      <c r="I181" s="5">
        <v>827</v>
      </c>
      <c r="J181" s="5">
        <v>931</v>
      </c>
      <c r="K181" s="6">
        <f t="shared" si="8"/>
        <v>12405</v>
      </c>
      <c r="L181" s="6">
        <f t="shared" si="9"/>
        <v>13965</v>
      </c>
      <c r="M181" s="6">
        <f t="shared" si="10"/>
        <v>1560</v>
      </c>
      <c r="N181" s="6" t="str">
        <f t="shared" si="11"/>
        <v>profit</v>
      </c>
    </row>
    <row r="182" spans="1:14" ht="15.6" thickTop="1" thickBot="1" x14ac:dyDescent="0.35">
      <c r="A182" s="4">
        <v>45563</v>
      </c>
      <c r="B182" s="4" t="s">
        <v>69</v>
      </c>
      <c r="C182" s="5" t="s">
        <v>128</v>
      </c>
      <c r="D182" s="5" t="s">
        <v>16</v>
      </c>
      <c r="E182" s="5" t="s">
        <v>17</v>
      </c>
      <c r="F182" s="5" t="s">
        <v>39</v>
      </c>
      <c r="G182" s="5" t="s">
        <v>19</v>
      </c>
      <c r="H182" s="5">
        <v>15</v>
      </c>
      <c r="I182" s="5">
        <v>650</v>
      </c>
      <c r="J182" s="5">
        <v>1347</v>
      </c>
      <c r="K182" s="6">
        <f t="shared" si="8"/>
        <v>9750</v>
      </c>
      <c r="L182" s="6">
        <f t="shared" si="9"/>
        <v>20205</v>
      </c>
      <c r="M182" s="6">
        <f t="shared" si="10"/>
        <v>10455</v>
      </c>
      <c r="N182" s="6" t="str">
        <f t="shared" si="11"/>
        <v>profit</v>
      </c>
    </row>
    <row r="183" spans="1:14" ht="15.6" thickTop="1" thickBot="1" x14ac:dyDescent="0.35">
      <c r="A183" s="4">
        <v>45678</v>
      </c>
      <c r="B183" s="4" t="s">
        <v>95</v>
      </c>
      <c r="C183" s="5" t="s">
        <v>103</v>
      </c>
      <c r="D183" s="5" t="s">
        <v>16</v>
      </c>
      <c r="E183" s="5" t="s">
        <v>37</v>
      </c>
      <c r="F183" s="5" t="s">
        <v>18</v>
      </c>
      <c r="G183" s="5" t="s">
        <v>19</v>
      </c>
      <c r="H183" s="5">
        <v>20</v>
      </c>
      <c r="I183" s="5">
        <v>900</v>
      </c>
      <c r="J183" s="5">
        <v>1431</v>
      </c>
      <c r="K183" s="6">
        <f t="shared" si="8"/>
        <v>18000</v>
      </c>
      <c r="L183" s="6">
        <f t="shared" si="9"/>
        <v>28620</v>
      </c>
      <c r="M183" s="6">
        <f t="shared" si="10"/>
        <v>10620</v>
      </c>
      <c r="N183" s="6" t="str">
        <f t="shared" si="11"/>
        <v>profit</v>
      </c>
    </row>
    <row r="184" spans="1:14" ht="15.6" thickTop="1" thickBot="1" x14ac:dyDescent="0.35">
      <c r="A184" s="4">
        <v>45565</v>
      </c>
      <c r="B184" s="4" t="s">
        <v>69</v>
      </c>
      <c r="C184" s="5" t="s">
        <v>129</v>
      </c>
      <c r="D184" s="5" t="s">
        <v>16</v>
      </c>
      <c r="E184" s="5" t="s">
        <v>17</v>
      </c>
      <c r="F184" s="5" t="s">
        <v>64</v>
      </c>
      <c r="G184" s="5" t="s">
        <v>19</v>
      </c>
      <c r="H184" s="5">
        <v>15</v>
      </c>
      <c r="I184" s="5">
        <v>825</v>
      </c>
      <c r="J184" s="5">
        <v>947</v>
      </c>
      <c r="K184" s="6">
        <f t="shared" si="8"/>
        <v>12375</v>
      </c>
      <c r="L184" s="6">
        <f t="shared" si="9"/>
        <v>14205</v>
      </c>
      <c r="M184" s="6">
        <f t="shared" si="10"/>
        <v>1830</v>
      </c>
      <c r="N184" s="6" t="str">
        <f t="shared" si="11"/>
        <v>profit</v>
      </c>
    </row>
    <row r="185" spans="1:14" ht="15.6" thickTop="1" thickBot="1" x14ac:dyDescent="0.35">
      <c r="A185" s="4">
        <v>45679</v>
      </c>
      <c r="B185" s="4" t="s">
        <v>95</v>
      </c>
      <c r="C185" s="5" t="s">
        <v>104</v>
      </c>
      <c r="D185" s="5" t="s">
        <v>16</v>
      </c>
      <c r="E185" s="5" t="s">
        <v>37</v>
      </c>
      <c r="F185" s="5" t="s">
        <v>21</v>
      </c>
      <c r="G185" s="5" t="s">
        <v>19</v>
      </c>
      <c r="H185" s="5">
        <v>19</v>
      </c>
      <c r="I185" s="5">
        <v>791</v>
      </c>
      <c r="J185" s="5">
        <v>965</v>
      </c>
      <c r="K185" s="6">
        <f t="shared" si="8"/>
        <v>15029</v>
      </c>
      <c r="L185" s="6">
        <f t="shared" si="9"/>
        <v>18335</v>
      </c>
      <c r="M185" s="6">
        <f t="shared" si="10"/>
        <v>3306</v>
      </c>
      <c r="N185" s="6" t="str">
        <f t="shared" si="11"/>
        <v>profit</v>
      </c>
    </row>
    <row r="186" spans="1:14" ht="15.6" thickTop="1" thickBot="1" x14ac:dyDescent="0.35">
      <c r="A186" s="4">
        <v>45680</v>
      </c>
      <c r="B186" s="4" t="s">
        <v>95</v>
      </c>
      <c r="C186" s="5" t="s">
        <v>105</v>
      </c>
      <c r="D186" s="5" t="s">
        <v>16</v>
      </c>
      <c r="E186" s="5" t="s">
        <v>37</v>
      </c>
      <c r="F186" s="5" t="s">
        <v>23</v>
      </c>
      <c r="G186" s="5" t="s">
        <v>19</v>
      </c>
      <c r="H186" s="5">
        <v>18</v>
      </c>
      <c r="I186" s="5">
        <v>963</v>
      </c>
      <c r="J186" s="5">
        <v>1178</v>
      </c>
      <c r="K186" s="6">
        <f t="shared" si="8"/>
        <v>17334</v>
      </c>
      <c r="L186" s="6">
        <f t="shared" si="9"/>
        <v>21204</v>
      </c>
      <c r="M186" s="6">
        <f t="shared" si="10"/>
        <v>3870</v>
      </c>
      <c r="N186" s="6" t="str">
        <f t="shared" si="11"/>
        <v>profit</v>
      </c>
    </row>
    <row r="187" spans="1:14" ht="15.6" thickTop="1" thickBot="1" x14ac:dyDescent="0.35">
      <c r="A187" s="4">
        <v>45681</v>
      </c>
      <c r="B187" s="4" t="s">
        <v>95</v>
      </c>
      <c r="C187" s="5" t="s">
        <v>106</v>
      </c>
      <c r="D187" s="5" t="s">
        <v>16</v>
      </c>
      <c r="E187" s="5" t="s">
        <v>37</v>
      </c>
      <c r="F187" s="5" t="s">
        <v>25</v>
      </c>
      <c r="G187" s="5" t="s">
        <v>19</v>
      </c>
      <c r="H187" s="5">
        <v>19</v>
      </c>
      <c r="I187" s="5">
        <v>763</v>
      </c>
      <c r="J187" s="5">
        <v>1036</v>
      </c>
      <c r="K187" s="6">
        <f t="shared" si="8"/>
        <v>14497</v>
      </c>
      <c r="L187" s="6">
        <f t="shared" si="9"/>
        <v>19684</v>
      </c>
      <c r="M187" s="6">
        <f t="shared" si="10"/>
        <v>5187</v>
      </c>
      <c r="N187" s="6" t="str">
        <f t="shared" si="11"/>
        <v>profit</v>
      </c>
    </row>
    <row r="188" spans="1:14" ht="15.6" thickTop="1" thickBot="1" x14ac:dyDescent="0.35">
      <c r="A188" s="4">
        <v>45682</v>
      </c>
      <c r="B188" s="4" t="s">
        <v>95</v>
      </c>
      <c r="C188" s="5" t="s">
        <v>107</v>
      </c>
      <c r="D188" s="5" t="s">
        <v>16</v>
      </c>
      <c r="E188" s="5" t="s">
        <v>37</v>
      </c>
      <c r="F188" s="5" t="s">
        <v>25</v>
      </c>
      <c r="G188" s="5" t="s">
        <v>19</v>
      </c>
      <c r="H188" s="5">
        <v>19</v>
      </c>
      <c r="I188" s="5">
        <v>795</v>
      </c>
      <c r="J188" s="5">
        <v>1471</v>
      </c>
      <c r="K188" s="6">
        <f t="shared" si="8"/>
        <v>15105</v>
      </c>
      <c r="L188" s="6">
        <f t="shared" si="9"/>
        <v>27949</v>
      </c>
      <c r="M188" s="6">
        <f t="shared" si="10"/>
        <v>12844</v>
      </c>
      <c r="N188" s="6" t="str">
        <f t="shared" si="11"/>
        <v>profit</v>
      </c>
    </row>
    <row r="189" spans="1:14" ht="15.6" thickTop="1" thickBot="1" x14ac:dyDescent="0.35">
      <c r="A189" s="4">
        <v>45684</v>
      </c>
      <c r="B189" s="4" t="s">
        <v>95</v>
      </c>
      <c r="C189" s="5" t="s">
        <v>109</v>
      </c>
      <c r="D189" s="5" t="s">
        <v>16</v>
      </c>
      <c r="E189" s="5" t="s">
        <v>37</v>
      </c>
      <c r="F189" s="5" t="s">
        <v>30</v>
      </c>
      <c r="G189" s="5" t="s">
        <v>28</v>
      </c>
      <c r="H189" s="5">
        <v>16</v>
      </c>
      <c r="I189" s="5">
        <v>731</v>
      </c>
      <c r="J189" s="5">
        <v>1296</v>
      </c>
      <c r="K189" s="6">
        <f t="shared" si="8"/>
        <v>11696</v>
      </c>
      <c r="L189" s="6">
        <f t="shared" si="9"/>
        <v>20736</v>
      </c>
      <c r="M189" s="6">
        <f t="shared" si="10"/>
        <v>9040</v>
      </c>
      <c r="N189" s="6" t="str">
        <f t="shared" si="11"/>
        <v>profit</v>
      </c>
    </row>
    <row r="190" spans="1:14" ht="15.6" thickTop="1" thickBot="1" x14ac:dyDescent="0.35">
      <c r="A190" s="4">
        <v>45571</v>
      </c>
      <c r="B190" s="4" t="s">
        <v>85</v>
      </c>
      <c r="C190" s="5" t="s">
        <v>130</v>
      </c>
      <c r="D190" s="5" t="s">
        <v>33</v>
      </c>
      <c r="E190" s="5" t="s">
        <v>99</v>
      </c>
      <c r="F190" s="5" t="s">
        <v>44</v>
      </c>
      <c r="G190" s="5" t="s">
        <v>19</v>
      </c>
      <c r="H190" s="5">
        <v>92</v>
      </c>
      <c r="I190" s="5">
        <v>923</v>
      </c>
      <c r="J190" s="5">
        <v>1151</v>
      </c>
      <c r="K190" s="6">
        <f t="shared" si="8"/>
        <v>84916</v>
      </c>
      <c r="L190" s="6">
        <f t="shared" si="9"/>
        <v>105892</v>
      </c>
      <c r="M190" s="6">
        <f t="shared" si="10"/>
        <v>20976</v>
      </c>
      <c r="N190" s="6" t="str">
        <f t="shared" si="11"/>
        <v>profit</v>
      </c>
    </row>
    <row r="191" spans="1:14" ht="15.6" thickTop="1" thickBot="1" x14ac:dyDescent="0.35">
      <c r="A191" s="4">
        <v>45685</v>
      </c>
      <c r="B191" s="4" t="s">
        <v>95</v>
      </c>
      <c r="C191" s="5" t="s">
        <v>110</v>
      </c>
      <c r="D191" s="5" t="s">
        <v>16</v>
      </c>
      <c r="E191" s="5" t="s">
        <v>37</v>
      </c>
      <c r="F191" s="5" t="s">
        <v>25</v>
      </c>
      <c r="G191" s="5" t="s">
        <v>28</v>
      </c>
      <c r="H191" s="5">
        <v>12</v>
      </c>
      <c r="I191" s="5">
        <v>927</v>
      </c>
      <c r="J191" s="5">
        <v>1162</v>
      </c>
      <c r="K191" s="6">
        <f t="shared" si="8"/>
        <v>11124</v>
      </c>
      <c r="L191" s="6">
        <f t="shared" si="9"/>
        <v>13944</v>
      </c>
      <c r="M191" s="6">
        <f t="shared" si="10"/>
        <v>2820</v>
      </c>
      <c r="N191" s="6" t="str">
        <f t="shared" si="11"/>
        <v>profit</v>
      </c>
    </row>
    <row r="192" spans="1:14" ht="15.6" thickTop="1" thickBot="1" x14ac:dyDescent="0.35">
      <c r="A192" s="4">
        <v>45686</v>
      </c>
      <c r="B192" s="4" t="s">
        <v>95</v>
      </c>
      <c r="C192" s="5" t="s">
        <v>111</v>
      </c>
      <c r="D192" s="5" t="s">
        <v>16</v>
      </c>
      <c r="E192" s="5" t="s">
        <v>37</v>
      </c>
      <c r="F192" s="5" t="s">
        <v>39</v>
      </c>
      <c r="G192" s="5" t="s">
        <v>28</v>
      </c>
      <c r="H192" s="5">
        <v>13</v>
      </c>
      <c r="I192" s="5">
        <v>528</v>
      </c>
      <c r="J192" s="5">
        <v>1175</v>
      </c>
      <c r="K192" s="6">
        <f t="shared" si="8"/>
        <v>6864</v>
      </c>
      <c r="L192" s="6">
        <f t="shared" si="9"/>
        <v>15275</v>
      </c>
      <c r="M192" s="6">
        <f t="shared" si="10"/>
        <v>8411</v>
      </c>
      <c r="N192" s="6" t="str">
        <f t="shared" si="11"/>
        <v>profit</v>
      </c>
    </row>
    <row r="193" spans="1:14" ht="15.6" thickTop="1" thickBot="1" x14ac:dyDescent="0.35">
      <c r="A193" s="4">
        <v>45688</v>
      </c>
      <c r="B193" s="4" t="s">
        <v>95</v>
      </c>
      <c r="C193" s="5" t="s">
        <v>112</v>
      </c>
      <c r="D193" s="5" t="s">
        <v>16</v>
      </c>
      <c r="E193" s="5" t="s">
        <v>37</v>
      </c>
      <c r="F193" s="5" t="s">
        <v>113</v>
      </c>
      <c r="G193" s="5" t="s">
        <v>28</v>
      </c>
      <c r="H193" s="5">
        <v>16</v>
      </c>
      <c r="I193" s="5">
        <v>998</v>
      </c>
      <c r="J193" s="5">
        <v>835</v>
      </c>
      <c r="K193" s="6">
        <f t="shared" si="8"/>
        <v>15968</v>
      </c>
      <c r="L193" s="6">
        <f t="shared" si="9"/>
        <v>13360</v>
      </c>
      <c r="M193" s="6">
        <f t="shared" si="10"/>
        <v>-2608</v>
      </c>
      <c r="N193" s="6" t="str">
        <f t="shared" si="11"/>
        <v>loss</v>
      </c>
    </row>
    <row r="194" spans="1:14" ht="15.6" thickTop="1" thickBot="1" x14ac:dyDescent="0.35">
      <c r="A194" s="4">
        <v>45383</v>
      </c>
      <c r="B194" s="4" t="s">
        <v>31</v>
      </c>
      <c r="C194" s="5" t="s">
        <v>131</v>
      </c>
      <c r="D194" s="5" t="s">
        <v>46</v>
      </c>
      <c r="E194" s="5" t="s">
        <v>47</v>
      </c>
      <c r="F194" s="5" t="s">
        <v>71</v>
      </c>
      <c r="G194" s="5" t="s">
        <v>28</v>
      </c>
      <c r="H194" s="5">
        <v>29</v>
      </c>
      <c r="I194" s="5">
        <v>924</v>
      </c>
      <c r="J194" s="5">
        <v>1101</v>
      </c>
      <c r="K194" s="6">
        <f t="shared" ref="K194:K257" si="12">H194*I194</f>
        <v>26796</v>
      </c>
      <c r="L194" s="6">
        <f t="shared" ref="L194:L257" si="13">H194*J194</f>
        <v>31929</v>
      </c>
      <c r="M194" s="6">
        <f t="shared" ref="M194:M257" si="14">L194-K194</f>
        <v>5133</v>
      </c>
      <c r="N194" s="6" t="str">
        <f t="shared" ref="N194:N257" si="15">IF(M194&gt;0,"profit","loss")</f>
        <v>profit</v>
      </c>
    </row>
    <row r="195" spans="1:14" ht="15.6" thickTop="1" thickBot="1" x14ac:dyDescent="0.35">
      <c r="A195" s="4">
        <v>45384</v>
      </c>
      <c r="B195" s="4" t="s">
        <v>31</v>
      </c>
      <c r="C195" s="5" t="s">
        <v>132</v>
      </c>
      <c r="D195" s="5" t="s">
        <v>46</v>
      </c>
      <c r="E195" s="5" t="s">
        <v>133</v>
      </c>
      <c r="F195" s="5" t="s">
        <v>44</v>
      </c>
      <c r="G195" s="5" t="s">
        <v>28</v>
      </c>
      <c r="H195" s="5">
        <v>30</v>
      </c>
      <c r="I195" s="5">
        <v>817</v>
      </c>
      <c r="J195" s="5">
        <v>1334</v>
      </c>
      <c r="K195" s="6">
        <f t="shared" si="12"/>
        <v>24510</v>
      </c>
      <c r="L195" s="6">
        <f t="shared" si="13"/>
        <v>40020</v>
      </c>
      <c r="M195" s="6">
        <f t="shared" si="14"/>
        <v>15510</v>
      </c>
      <c r="N195" s="6" t="str">
        <f t="shared" si="15"/>
        <v>profit</v>
      </c>
    </row>
    <row r="196" spans="1:14" ht="15.6" thickTop="1" thickBot="1" x14ac:dyDescent="0.35">
      <c r="A196" s="4">
        <v>45385</v>
      </c>
      <c r="B196" s="4" t="s">
        <v>31</v>
      </c>
      <c r="C196" s="5" t="s">
        <v>134</v>
      </c>
      <c r="D196" s="5" t="s">
        <v>46</v>
      </c>
      <c r="E196" s="5" t="s">
        <v>133</v>
      </c>
      <c r="F196" s="5" t="s">
        <v>25</v>
      </c>
      <c r="G196" s="5" t="s">
        <v>28</v>
      </c>
      <c r="H196" s="5">
        <v>23</v>
      </c>
      <c r="I196" s="5">
        <v>753</v>
      </c>
      <c r="J196" s="5">
        <v>987</v>
      </c>
      <c r="K196" s="6">
        <f t="shared" si="12"/>
        <v>17319</v>
      </c>
      <c r="L196" s="6">
        <f t="shared" si="13"/>
        <v>22701</v>
      </c>
      <c r="M196" s="6">
        <f t="shared" si="14"/>
        <v>5382</v>
      </c>
      <c r="N196" s="6" t="str">
        <f t="shared" si="15"/>
        <v>profit</v>
      </c>
    </row>
    <row r="197" spans="1:14" ht="15.6" thickTop="1" thickBot="1" x14ac:dyDescent="0.35">
      <c r="A197" s="4">
        <v>45578</v>
      </c>
      <c r="B197" s="4" t="s">
        <v>85</v>
      </c>
      <c r="C197" s="5" t="s">
        <v>135</v>
      </c>
      <c r="D197" s="5" t="s">
        <v>33</v>
      </c>
      <c r="E197" s="5" t="s">
        <v>120</v>
      </c>
      <c r="F197" s="5" t="s">
        <v>25</v>
      </c>
      <c r="G197" s="5" t="s">
        <v>28</v>
      </c>
      <c r="H197" s="5">
        <v>57</v>
      </c>
      <c r="I197" s="5">
        <v>927</v>
      </c>
      <c r="J197" s="5">
        <v>1477</v>
      </c>
      <c r="K197" s="6">
        <f t="shared" si="12"/>
        <v>52839</v>
      </c>
      <c r="L197" s="6">
        <f t="shared" si="13"/>
        <v>84189</v>
      </c>
      <c r="M197" s="6">
        <f t="shared" si="14"/>
        <v>31350</v>
      </c>
      <c r="N197" s="6" t="str">
        <f t="shared" si="15"/>
        <v>profit</v>
      </c>
    </row>
    <row r="198" spans="1:14" ht="15.6" thickTop="1" thickBot="1" x14ac:dyDescent="0.35">
      <c r="A198" s="4">
        <v>45386</v>
      </c>
      <c r="B198" s="4" t="s">
        <v>31</v>
      </c>
      <c r="C198" s="5" t="s">
        <v>136</v>
      </c>
      <c r="D198" s="5" t="s">
        <v>46</v>
      </c>
      <c r="E198" s="5" t="s">
        <v>133</v>
      </c>
      <c r="F198" s="5" t="s">
        <v>64</v>
      </c>
      <c r="G198" s="5" t="s">
        <v>28</v>
      </c>
      <c r="H198" s="5">
        <v>26</v>
      </c>
      <c r="I198" s="5">
        <v>809</v>
      </c>
      <c r="J198" s="5">
        <v>800</v>
      </c>
      <c r="K198" s="6">
        <f t="shared" si="12"/>
        <v>21034</v>
      </c>
      <c r="L198" s="6">
        <f t="shared" si="13"/>
        <v>20800</v>
      </c>
      <c r="M198" s="6">
        <f t="shared" si="14"/>
        <v>-234</v>
      </c>
      <c r="N198" s="6" t="str">
        <f t="shared" si="15"/>
        <v>loss</v>
      </c>
    </row>
    <row r="199" spans="1:14" ht="15.6" thickTop="1" thickBot="1" x14ac:dyDescent="0.35">
      <c r="A199" s="4">
        <v>45391</v>
      </c>
      <c r="B199" s="4" t="s">
        <v>31</v>
      </c>
      <c r="C199" s="5" t="s">
        <v>137</v>
      </c>
      <c r="D199" s="5" t="s">
        <v>46</v>
      </c>
      <c r="E199" s="5" t="s">
        <v>47</v>
      </c>
      <c r="F199" s="5" t="s">
        <v>60</v>
      </c>
      <c r="G199" s="5" t="s">
        <v>19</v>
      </c>
      <c r="H199" s="5">
        <v>23</v>
      </c>
      <c r="I199" s="5">
        <v>852</v>
      </c>
      <c r="J199" s="5">
        <v>1480</v>
      </c>
      <c r="K199" s="6">
        <f t="shared" si="12"/>
        <v>19596</v>
      </c>
      <c r="L199" s="6">
        <f t="shared" si="13"/>
        <v>34040</v>
      </c>
      <c r="M199" s="6">
        <f t="shared" si="14"/>
        <v>14444</v>
      </c>
      <c r="N199" s="6" t="str">
        <f t="shared" si="15"/>
        <v>profit</v>
      </c>
    </row>
    <row r="200" spans="1:14" ht="15.6" thickTop="1" thickBot="1" x14ac:dyDescent="0.35">
      <c r="A200" s="4">
        <v>45392</v>
      </c>
      <c r="B200" s="4" t="s">
        <v>31</v>
      </c>
      <c r="C200" s="5" t="s">
        <v>138</v>
      </c>
      <c r="D200" s="5" t="s">
        <v>46</v>
      </c>
      <c r="E200" s="5" t="s">
        <v>47</v>
      </c>
      <c r="F200" s="5" t="s">
        <v>35</v>
      </c>
      <c r="G200" s="5" t="s">
        <v>19</v>
      </c>
      <c r="H200" s="5">
        <v>24</v>
      </c>
      <c r="I200" s="5">
        <v>903</v>
      </c>
      <c r="J200" s="5">
        <v>1338</v>
      </c>
      <c r="K200" s="6">
        <f t="shared" si="12"/>
        <v>21672</v>
      </c>
      <c r="L200" s="6">
        <f t="shared" si="13"/>
        <v>32112</v>
      </c>
      <c r="M200" s="6">
        <f t="shared" si="14"/>
        <v>10440</v>
      </c>
      <c r="N200" s="6" t="str">
        <f t="shared" si="15"/>
        <v>profit</v>
      </c>
    </row>
    <row r="201" spans="1:14" ht="15.6" thickTop="1" thickBot="1" x14ac:dyDescent="0.35">
      <c r="A201" s="4">
        <v>45393</v>
      </c>
      <c r="B201" s="4" t="s">
        <v>31</v>
      </c>
      <c r="C201" s="5" t="s">
        <v>139</v>
      </c>
      <c r="D201" s="5" t="s">
        <v>46</v>
      </c>
      <c r="E201" s="5" t="s">
        <v>47</v>
      </c>
      <c r="F201" s="5" t="s">
        <v>39</v>
      </c>
      <c r="G201" s="5" t="s">
        <v>19</v>
      </c>
      <c r="H201" s="5">
        <v>21</v>
      </c>
      <c r="I201" s="5">
        <v>829</v>
      </c>
      <c r="J201" s="5">
        <v>950</v>
      </c>
      <c r="K201" s="6">
        <f t="shared" si="12"/>
        <v>17409</v>
      </c>
      <c r="L201" s="6">
        <f t="shared" si="13"/>
        <v>19950</v>
      </c>
      <c r="M201" s="6">
        <f t="shared" si="14"/>
        <v>2541</v>
      </c>
      <c r="N201" s="6" t="str">
        <f t="shared" si="15"/>
        <v>profit</v>
      </c>
    </row>
    <row r="202" spans="1:14" ht="15.6" thickTop="1" thickBot="1" x14ac:dyDescent="0.35">
      <c r="A202" s="4">
        <v>45583</v>
      </c>
      <c r="B202" s="4" t="s">
        <v>85</v>
      </c>
      <c r="C202" s="5" t="s">
        <v>140</v>
      </c>
      <c r="D202" s="5" t="s">
        <v>16</v>
      </c>
      <c r="E202" s="5" t="s">
        <v>37</v>
      </c>
      <c r="F202" s="5" t="s">
        <v>54</v>
      </c>
      <c r="G202" s="5" t="s">
        <v>19</v>
      </c>
      <c r="H202" s="5">
        <v>16</v>
      </c>
      <c r="I202" s="5">
        <v>584</v>
      </c>
      <c r="J202" s="5">
        <v>1278</v>
      </c>
      <c r="K202" s="6">
        <f t="shared" si="12"/>
        <v>9344</v>
      </c>
      <c r="L202" s="6">
        <f t="shared" si="13"/>
        <v>20448</v>
      </c>
      <c r="M202" s="6">
        <f t="shared" si="14"/>
        <v>11104</v>
      </c>
      <c r="N202" s="6" t="str">
        <f t="shared" si="15"/>
        <v>profit</v>
      </c>
    </row>
    <row r="203" spans="1:14" ht="15.6" thickTop="1" thickBot="1" x14ac:dyDescent="0.35">
      <c r="A203" s="4">
        <v>45394</v>
      </c>
      <c r="B203" s="4" t="s">
        <v>31</v>
      </c>
      <c r="C203" s="5" t="s">
        <v>141</v>
      </c>
      <c r="D203" s="5" t="s">
        <v>46</v>
      </c>
      <c r="E203" s="5" t="s">
        <v>47</v>
      </c>
      <c r="F203" s="5" t="s">
        <v>39</v>
      </c>
      <c r="G203" s="5" t="s">
        <v>19</v>
      </c>
      <c r="H203" s="5">
        <v>20</v>
      </c>
      <c r="I203" s="5">
        <v>557</v>
      </c>
      <c r="J203" s="5">
        <v>1002</v>
      </c>
      <c r="K203" s="6">
        <f t="shared" si="12"/>
        <v>11140</v>
      </c>
      <c r="L203" s="6">
        <f t="shared" si="13"/>
        <v>20040</v>
      </c>
      <c r="M203" s="6">
        <f t="shared" si="14"/>
        <v>8900</v>
      </c>
      <c r="N203" s="6" t="str">
        <f t="shared" si="15"/>
        <v>profit</v>
      </c>
    </row>
    <row r="204" spans="1:14" ht="15.6" thickTop="1" thickBot="1" x14ac:dyDescent="0.35">
      <c r="A204" s="4">
        <v>45396</v>
      </c>
      <c r="B204" s="4" t="s">
        <v>31</v>
      </c>
      <c r="C204" s="5" t="s">
        <v>142</v>
      </c>
      <c r="D204" s="5" t="s">
        <v>46</v>
      </c>
      <c r="E204" s="5" t="s">
        <v>47</v>
      </c>
      <c r="F204" s="5" t="s">
        <v>27</v>
      </c>
      <c r="G204" s="5" t="s">
        <v>19</v>
      </c>
      <c r="H204" s="5">
        <v>20</v>
      </c>
      <c r="I204" s="5">
        <v>648</v>
      </c>
      <c r="J204" s="5">
        <v>1106</v>
      </c>
      <c r="K204" s="6">
        <f t="shared" si="12"/>
        <v>12960</v>
      </c>
      <c r="L204" s="6">
        <f t="shared" si="13"/>
        <v>22120</v>
      </c>
      <c r="M204" s="6">
        <f t="shared" si="14"/>
        <v>9160</v>
      </c>
      <c r="N204" s="6" t="str">
        <f t="shared" si="15"/>
        <v>profit</v>
      </c>
    </row>
    <row r="205" spans="1:14" ht="15.6" thickTop="1" thickBot="1" x14ac:dyDescent="0.35">
      <c r="A205" s="4">
        <v>45586</v>
      </c>
      <c r="B205" s="4" t="s">
        <v>85</v>
      </c>
      <c r="C205" s="5" t="s">
        <v>143</v>
      </c>
      <c r="D205" s="5" t="s">
        <v>16</v>
      </c>
      <c r="E205" s="5" t="s">
        <v>37</v>
      </c>
      <c r="F205" s="5" t="s">
        <v>39</v>
      </c>
      <c r="G205" s="5" t="s">
        <v>19</v>
      </c>
      <c r="H205" s="5">
        <v>19</v>
      </c>
      <c r="I205" s="5">
        <v>589</v>
      </c>
      <c r="J205" s="5">
        <v>1100</v>
      </c>
      <c r="K205" s="6">
        <f t="shared" si="12"/>
        <v>11191</v>
      </c>
      <c r="L205" s="6">
        <f t="shared" si="13"/>
        <v>20900</v>
      </c>
      <c r="M205" s="6">
        <f t="shared" si="14"/>
        <v>9709</v>
      </c>
      <c r="N205" s="6" t="str">
        <f t="shared" si="15"/>
        <v>profit</v>
      </c>
    </row>
    <row r="206" spans="1:14" ht="15.6" thickTop="1" thickBot="1" x14ac:dyDescent="0.35">
      <c r="A206" s="4">
        <v>45404</v>
      </c>
      <c r="B206" s="4" t="s">
        <v>31</v>
      </c>
      <c r="C206" s="5" t="s">
        <v>144</v>
      </c>
      <c r="D206" s="5" t="s">
        <v>46</v>
      </c>
      <c r="E206" s="5" t="s">
        <v>63</v>
      </c>
      <c r="F206" s="5" t="s">
        <v>39</v>
      </c>
      <c r="G206" s="5" t="s">
        <v>28</v>
      </c>
      <c r="H206" s="5">
        <v>26</v>
      </c>
      <c r="I206" s="5">
        <v>942</v>
      </c>
      <c r="J206" s="5">
        <v>1143</v>
      </c>
      <c r="K206" s="6">
        <f t="shared" si="12"/>
        <v>24492</v>
      </c>
      <c r="L206" s="6">
        <f t="shared" si="13"/>
        <v>29718</v>
      </c>
      <c r="M206" s="6">
        <f t="shared" si="14"/>
        <v>5226</v>
      </c>
      <c r="N206" s="6" t="str">
        <f t="shared" si="15"/>
        <v>profit</v>
      </c>
    </row>
    <row r="207" spans="1:14" ht="15.6" thickTop="1" thickBot="1" x14ac:dyDescent="0.35">
      <c r="A207" s="4">
        <v>45588</v>
      </c>
      <c r="B207" s="4" t="s">
        <v>85</v>
      </c>
      <c r="C207" s="5" t="s">
        <v>145</v>
      </c>
      <c r="D207" s="5" t="s">
        <v>46</v>
      </c>
      <c r="E207" s="5" t="s">
        <v>47</v>
      </c>
      <c r="F207" s="5" t="s">
        <v>64</v>
      </c>
      <c r="G207" s="5" t="s">
        <v>19</v>
      </c>
      <c r="H207" s="5">
        <v>30</v>
      </c>
      <c r="I207" s="5">
        <v>869</v>
      </c>
      <c r="J207" s="5">
        <v>1033</v>
      </c>
      <c r="K207" s="6">
        <f t="shared" si="12"/>
        <v>26070</v>
      </c>
      <c r="L207" s="6">
        <f t="shared" si="13"/>
        <v>30990</v>
      </c>
      <c r="M207" s="6">
        <f t="shared" si="14"/>
        <v>4920</v>
      </c>
      <c r="N207" s="6" t="str">
        <f t="shared" si="15"/>
        <v>profit</v>
      </c>
    </row>
    <row r="208" spans="1:14" ht="15.6" thickTop="1" thickBot="1" x14ac:dyDescent="0.35">
      <c r="A208" s="4">
        <v>45406</v>
      </c>
      <c r="B208" s="4" t="s">
        <v>31</v>
      </c>
      <c r="C208" s="5" t="s">
        <v>146</v>
      </c>
      <c r="D208" s="5" t="s">
        <v>46</v>
      </c>
      <c r="E208" s="5" t="s">
        <v>63</v>
      </c>
      <c r="F208" s="5" t="s">
        <v>64</v>
      </c>
      <c r="G208" s="5" t="s">
        <v>28</v>
      </c>
      <c r="H208" s="5">
        <v>20</v>
      </c>
      <c r="I208" s="5">
        <v>606</v>
      </c>
      <c r="J208" s="5">
        <v>806</v>
      </c>
      <c r="K208" s="6">
        <f t="shared" si="12"/>
        <v>12120</v>
      </c>
      <c r="L208" s="6">
        <f t="shared" si="13"/>
        <v>16120</v>
      </c>
      <c r="M208" s="6">
        <f t="shared" si="14"/>
        <v>4000</v>
      </c>
      <c r="N208" s="6" t="str">
        <f t="shared" si="15"/>
        <v>profit</v>
      </c>
    </row>
    <row r="209" spans="1:14" ht="15.6" thickTop="1" thickBot="1" x14ac:dyDescent="0.35">
      <c r="A209" s="4">
        <v>45590</v>
      </c>
      <c r="B209" s="4" t="s">
        <v>85</v>
      </c>
      <c r="C209" s="5" t="s">
        <v>147</v>
      </c>
      <c r="D209" s="5" t="s">
        <v>46</v>
      </c>
      <c r="E209" s="5" t="s">
        <v>133</v>
      </c>
      <c r="F209" s="5" t="s">
        <v>39</v>
      </c>
      <c r="G209" s="5" t="s">
        <v>28</v>
      </c>
      <c r="H209" s="5">
        <v>20</v>
      </c>
      <c r="I209" s="5">
        <v>979</v>
      </c>
      <c r="J209" s="5">
        <v>1471</v>
      </c>
      <c r="K209" s="6">
        <f t="shared" si="12"/>
        <v>19580</v>
      </c>
      <c r="L209" s="6">
        <f t="shared" si="13"/>
        <v>29420</v>
      </c>
      <c r="M209" s="6">
        <f t="shared" si="14"/>
        <v>9840</v>
      </c>
      <c r="N209" s="6" t="str">
        <f t="shared" si="15"/>
        <v>profit</v>
      </c>
    </row>
    <row r="210" spans="1:14" ht="15.6" thickTop="1" thickBot="1" x14ac:dyDescent="0.35">
      <c r="A210" s="4">
        <v>45408</v>
      </c>
      <c r="B210" s="4" t="s">
        <v>31</v>
      </c>
      <c r="C210" s="5" t="s">
        <v>148</v>
      </c>
      <c r="D210" s="5" t="s">
        <v>46</v>
      </c>
      <c r="E210" s="5" t="s">
        <v>63</v>
      </c>
      <c r="F210" s="5" t="s">
        <v>39</v>
      </c>
      <c r="G210" s="5" t="s">
        <v>19</v>
      </c>
      <c r="H210" s="5">
        <v>22</v>
      </c>
      <c r="I210" s="5">
        <v>822</v>
      </c>
      <c r="J210" s="5">
        <v>1153</v>
      </c>
      <c r="K210" s="6">
        <f t="shared" si="12"/>
        <v>18084</v>
      </c>
      <c r="L210" s="6">
        <f t="shared" si="13"/>
        <v>25366</v>
      </c>
      <c r="M210" s="6">
        <f t="shared" si="14"/>
        <v>7282</v>
      </c>
      <c r="N210" s="6" t="str">
        <f t="shared" si="15"/>
        <v>profit</v>
      </c>
    </row>
    <row r="211" spans="1:14" ht="15.6" thickTop="1" thickBot="1" x14ac:dyDescent="0.35">
      <c r="A211" s="4">
        <v>45409</v>
      </c>
      <c r="B211" s="4" t="s">
        <v>31</v>
      </c>
      <c r="C211" s="5" t="s">
        <v>149</v>
      </c>
      <c r="D211" s="5" t="s">
        <v>46</v>
      </c>
      <c r="E211" s="5" t="s">
        <v>63</v>
      </c>
      <c r="F211" s="5" t="s">
        <v>30</v>
      </c>
      <c r="G211" s="5" t="s">
        <v>19</v>
      </c>
      <c r="H211" s="5">
        <v>26</v>
      </c>
      <c r="I211" s="5">
        <v>505</v>
      </c>
      <c r="J211" s="5">
        <v>1337</v>
      </c>
      <c r="K211" s="6">
        <f t="shared" si="12"/>
        <v>13130</v>
      </c>
      <c r="L211" s="6">
        <f t="shared" si="13"/>
        <v>34762</v>
      </c>
      <c r="M211" s="6">
        <f t="shared" si="14"/>
        <v>21632</v>
      </c>
      <c r="N211" s="6" t="str">
        <f t="shared" si="15"/>
        <v>profit</v>
      </c>
    </row>
    <row r="212" spans="1:14" ht="15.6" thickTop="1" thickBot="1" x14ac:dyDescent="0.35">
      <c r="A212" s="4">
        <v>45410</v>
      </c>
      <c r="B212" s="4" t="s">
        <v>31</v>
      </c>
      <c r="C212" s="5" t="s">
        <v>150</v>
      </c>
      <c r="D212" s="5" t="s">
        <v>46</v>
      </c>
      <c r="E212" s="5" t="s">
        <v>63</v>
      </c>
      <c r="F212" s="5" t="s">
        <v>113</v>
      </c>
      <c r="G212" s="5" t="s">
        <v>19</v>
      </c>
      <c r="H212" s="5">
        <v>23</v>
      </c>
      <c r="I212" s="5">
        <v>649</v>
      </c>
      <c r="J212" s="5">
        <v>1210</v>
      </c>
      <c r="K212" s="6">
        <f t="shared" si="12"/>
        <v>14927</v>
      </c>
      <c r="L212" s="6">
        <f t="shared" si="13"/>
        <v>27830</v>
      </c>
      <c r="M212" s="6">
        <f t="shared" si="14"/>
        <v>12903</v>
      </c>
      <c r="N212" s="6" t="str">
        <f t="shared" si="15"/>
        <v>profit</v>
      </c>
    </row>
    <row r="213" spans="1:14" ht="15.6" thickTop="1" thickBot="1" x14ac:dyDescent="0.35">
      <c r="A213" s="4">
        <v>45411</v>
      </c>
      <c r="B213" s="4" t="s">
        <v>31</v>
      </c>
      <c r="C213" s="5" t="s">
        <v>151</v>
      </c>
      <c r="D213" s="5" t="s">
        <v>46</v>
      </c>
      <c r="E213" s="5" t="s">
        <v>63</v>
      </c>
      <c r="F213" s="5" t="s">
        <v>44</v>
      </c>
      <c r="G213" s="5" t="s">
        <v>19</v>
      </c>
      <c r="H213" s="5">
        <v>26</v>
      </c>
      <c r="I213" s="5">
        <v>647</v>
      </c>
      <c r="J213" s="5">
        <v>1025</v>
      </c>
      <c r="K213" s="6">
        <f t="shared" si="12"/>
        <v>16822</v>
      </c>
      <c r="L213" s="6">
        <f t="shared" si="13"/>
        <v>26650</v>
      </c>
      <c r="M213" s="6">
        <f t="shared" si="14"/>
        <v>9828</v>
      </c>
      <c r="N213" s="6" t="str">
        <f t="shared" si="15"/>
        <v>profit</v>
      </c>
    </row>
    <row r="214" spans="1:14" ht="15.6" thickTop="1" thickBot="1" x14ac:dyDescent="0.35">
      <c r="A214" s="4">
        <v>45412</v>
      </c>
      <c r="B214" s="4" t="s">
        <v>31</v>
      </c>
      <c r="C214" s="5" t="s">
        <v>152</v>
      </c>
      <c r="D214" s="5" t="s">
        <v>46</v>
      </c>
      <c r="E214" s="5" t="s">
        <v>63</v>
      </c>
      <c r="F214" s="5" t="s">
        <v>153</v>
      </c>
      <c r="G214" s="5" t="s">
        <v>19</v>
      </c>
      <c r="H214" s="5">
        <v>30</v>
      </c>
      <c r="I214" s="5">
        <v>843</v>
      </c>
      <c r="J214" s="5">
        <v>953</v>
      </c>
      <c r="K214" s="6">
        <f t="shared" si="12"/>
        <v>25290</v>
      </c>
      <c r="L214" s="6">
        <f t="shared" si="13"/>
        <v>28590</v>
      </c>
      <c r="M214" s="6">
        <f t="shared" si="14"/>
        <v>3300</v>
      </c>
      <c r="N214" s="6" t="str">
        <f t="shared" si="15"/>
        <v>profit</v>
      </c>
    </row>
    <row r="215" spans="1:14" ht="15.6" thickTop="1" thickBot="1" x14ac:dyDescent="0.35">
      <c r="A215" s="4">
        <v>45413</v>
      </c>
      <c r="B215" s="4" t="s">
        <v>97</v>
      </c>
      <c r="C215" s="5" t="s">
        <v>154</v>
      </c>
      <c r="D215" s="5" t="s">
        <v>46</v>
      </c>
      <c r="E215" s="5" t="s">
        <v>63</v>
      </c>
      <c r="F215" s="5" t="s">
        <v>155</v>
      </c>
      <c r="G215" s="5" t="s">
        <v>19</v>
      </c>
      <c r="H215" s="5">
        <v>21</v>
      </c>
      <c r="I215" s="5">
        <v>571</v>
      </c>
      <c r="J215" s="5">
        <v>900</v>
      </c>
      <c r="K215" s="6">
        <f t="shared" si="12"/>
        <v>11991</v>
      </c>
      <c r="L215" s="6">
        <f t="shared" si="13"/>
        <v>18900</v>
      </c>
      <c r="M215" s="6">
        <f t="shared" si="14"/>
        <v>6909</v>
      </c>
      <c r="N215" s="6" t="str">
        <f t="shared" si="15"/>
        <v>profit</v>
      </c>
    </row>
    <row r="216" spans="1:14" ht="15.6" thickTop="1" thickBot="1" x14ac:dyDescent="0.35">
      <c r="A216" s="4">
        <v>45414</v>
      </c>
      <c r="B216" s="4" t="s">
        <v>97</v>
      </c>
      <c r="C216" s="5" t="s">
        <v>156</v>
      </c>
      <c r="D216" s="5" t="s">
        <v>46</v>
      </c>
      <c r="E216" s="5" t="s">
        <v>63</v>
      </c>
      <c r="F216" s="5" t="s">
        <v>18</v>
      </c>
      <c r="G216" s="5" t="s">
        <v>28</v>
      </c>
      <c r="H216" s="5">
        <v>25</v>
      </c>
      <c r="I216" s="5">
        <v>909</v>
      </c>
      <c r="J216" s="5">
        <v>970</v>
      </c>
      <c r="K216" s="6">
        <f t="shared" si="12"/>
        <v>22725</v>
      </c>
      <c r="L216" s="6">
        <f t="shared" si="13"/>
        <v>24250</v>
      </c>
      <c r="M216" s="6">
        <f t="shared" si="14"/>
        <v>1525</v>
      </c>
      <c r="N216" s="6" t="str">
        <f t="shared" si="15"/>
        <v>profit</v>
      </c>
    </row>
    <row r="217" spans="1:14" ht="15.6" thickTop="1" thickBot="1" x14ac:dyDescent="0.35">
      <c r="A217" s="4">
        <v>45415</v>
      </c>
      <c r="B217" s="4" t="s">
        <v>97</v>
      </c>
      <c r="C217" s="5" t="s">
        <v>157</v>
      </c>
      <c r="D217" s="5" t="s">
        <v>46</v>
      </c>
      <c r="E217" s="5" t="s">
        <v>63</v>
      </c>
      <c r="F217" s="5" t="s">
        <v>21</v>
      </c>
      <c r="G217" s="5" t="s">
        <v>28</v>
      </c>
      <c r="H217" s="5">
        <v>24</v>
      </c>
      <c r="I217" s="5">
        <v>584</v>
      </c>
      <c r="J217" s="5">
        <v>1158</v>
      </c>
      <c r="K217" s="6">
        <f t="shared" si="12"/>
        <v>14016</v>
      </c>
      <c r="L217" s="6">
        <f t="shared" si="13"/>
        <v>27792</v>
      </c>
      <c r="M217" s="6">
        <f t="shared" si="14"/>
        <v>13776</v>
      </c>
      <c r="N217" s="6" t="str">
        <f t="shared" si="15"/>
        <v>profit</v>
      </c>
    </row>
    <row r="218" spans="1:14" ht="15.6" thickTop="1" thickBot="1" x14ac:dyDescent="0.35">
      <c r="A218" s="4">
        <v>45416</v>
      </c>
      <c r="B218" s="4" t="s">
        <v>97</v>
      </c>
      <c r="C218" s="5" t="s">
        <v>158</v>
      </c>
      <c r="D218" s="5" t="s">
        <v>46</v>
      </c>
      <c r="E218" s="5" t="s">
        <v>63</v>
      </c>
      <c r="F218" s="5" t="s">
        <v>23</v>
      </c>
      <c r="G218" s="5" t="s">
        <v>28</v>
      </c>
      <c r="H218" s="5">
        <v>28</v>
      </c>
      <c r="I218" s="5">
        <v>787</v>
      </c>
      <c r="J218" s="5">
        <v>1452</v>
      </c>
      <c r="K218" s="6">
        <f t="shared" si="12"/>
        <v>22036</v>
      </c>
      <c r="L218" s="6">
        <f t="shared" si="13"/>
        <v>40656</v>
      </c>
      <c r="M218" s="6">
        <f t="shared" si="14"/>
        <v>18620</v>
      </c>
      <c r="N218" s="6" t="str">
        <f t="shared" si="15"/>
        <v>profit</v>
      </c>
    </row>
    <row r="219" spans="1:14" ht="15.6" thickTop="1" thickBot="1" x14ac:dyDescent="0.35">
      <c r="A219" s="4">
        <v>45417</v>
      </c>
      <c r="B219" s="4" t="s">
        <v>97</v>
      </c>
      <c r="C219" s="5" t="s">
        <v>159</v>
      </c>
      <c r="D219" s="5" t="s">
        <v>46</v>
      </c>
      <c r="E219" s="5" t="s">
        <v>63</v>
      </c>
      <c r="F219" s="5" t="s">
        <v>25</v>
      </c>
      <c r="G219" s="5" t="s">
        <v>28</v>
      </c>
      <c r="H219" s="5">
        <v>23</v>
      </c>
      <c r="I219" s="5">
        <v>768</v>
      </c>
      <c r="J219" s="5">
        <v>1102</v>
      </c>
      <c r="K219" s="6">
        <f t="shared" si="12"/>
        <v>17664</v>
      </c>
      <c r="L219" s="6">
        <f t="shared" si="13"/>
        <v>25346</v>
      </c>
      <c r="M219" s="6">
        <f t="shared" si="14"/>
        <v>7682</v>
      </c>
      <c r="N219" s="6" t="str">
        <f t="shared" si="15"/>
        <v>profit</v>
      </c>
    </row>
    <row r="220" spans="1:14" ht="15.6" thickTop="1" thickBot="1" x14ac:dyDescent="0.35">
      <c r="A220" s="4">
        <v>45418</v>
      </c>
      <c r="B220" s="4" t="s">
        <v>97</v>
      </c>
      <c r="C220" s="5" t="s">
        <v>160</v>
      </c>
      <c r="D220" s="5" t="s">
        <v>46</v>
      </c>
      <c r="E220" s="5" t="s">
        <v>63</v>
      </c>
      <c r="F220" s="5" t="s">
        <v>25</v>
      </c>
      <c r="G220" s="5" t="s">
        <v>19</v>
      </c>
      <c r="H220" s="5">
        <v>23</v>
      </c>
      <c r="I220" s="5">
        <v>584</v>
      </c>
      <c r="J220" s="5">
        <v>1168</v>
      </c>
      <c r="K220" s="6">
        <f t="shared" si="12"/>
        <v>13432</v>
      </c>
      <c r="L220" s="6">
        <f t="shared" si="13"/>
        <v>26864</v>
      </c>
      <c r="M220" s="6">
        <f t="shared" si="14"/>
        <v>13432</v>
      </c>
      <c r="N220" s="6" t="str">
        <f t="shared" si="15"/>
        <v>profit</v>
      </c>
    </row>
    <row r="221" spans="1:14" ht="15.6" thickTop="1" thickBot="1" x14ac:dyDescent="0.35">
      <c r="A221" s="4">
        <v>45602</v>
      </c>
      <c r="B221" s="4" t="s">
        <v>161</v>
      </c>
      <c r="C221" s="5" t="s">
        <v>162</v>
      </c>
      <c r="D221" s="5" t="s">
        <v>33</v>
      </c>
      <c r="E221" s="5" t="s">
        <v>163</v>
      </c>
      <c r="F221" s="5" t="s">
        <v>30</v>
      </c>
      <c r="G221" s="5" t="s">
        <v>19</v>
      </c>
      <c r="H221" s="5">
        <v>57</v>
      </c>
      <c r="I221" s="5">
        <v>541</v>
      </c>
      <c r="J221" s="5">
        <v>819</v>
      </c>
      <c r="K221" s="6">
        <f t="shared" si="12"/>
        <v>30837</v>
      </c>
      <c r="L221" s="6">
        <f t="shared" si="13"/>
        <v>46683</v>
      </c>
      <c r="M221" s="6">
        <f t="shared" si="14"/>
        <v>15846</v>
      </c>
      <c r="N221" s="6" t="str">
        <f t="shared" si="15"/>
        <v>profit</v>
      </c>
    </row>
    <row r="222" spans="1:14" ht="15.6" thickTop="1" thickBot="1" x14ac:dyDescent="0.35">
      <c r="A222" s="4">
        <v>45419</v>
      </c>
      <c r="B222" s="4" t="s">
        <v>97</v>
      </c>
      <c r="C222" s="5" t="s">
        <v>164</v>
      </c>
      <c r="D222" s="5" t="s">
        <v>46</v>
      </c>
      <c r="E222" s="5" t="s">
        <v>118</v>
      </c>
      <c r="F222" s="5" t="s">
        <v>27</v>
      </c>
      <c r="G222" s="5" t="s">
        <v>19</v>
      </c>
      <c r="H222" s="5">
        <v>20</v>
      </c>
      <c r="I222" s="5">
        <v>778</v>
      </c>
      <c r="J222" s="5">
        <v>1096</v>
      </c>
      <c r="K222" s="6">
        <f t="shared" si="12"/>
        <v>15560</v>
      </c>
      <c r="L222" s="6">
        <f t="shared" si="13"/>
        <v>21920</v>
      </c>
      <c r="M222" s="6">
        <f t="shared" si="14"/>
        <v>6360</v>
      </c>
      <c r="N222" s="6" t="str">
        <f t="shared" si="15"/>
        <v>profit</v>
      </c>
    </row>
    <row r="223" spans="1:14" ht="15.6" thickTop="1" thickBot="1" x14ac:dyDescent="0.35">
      <c r="A223" s="4">
        <v>45420</v>
      </c>
      <c r="B223" s="4" t="s">
        <v>97</v>
      </c>
      <c r="C223" s="5" t="s">
        <v>165</v>
      </c>
      <c r="D223" s="5" t="s">
        <v>46</v>
      </c>
      <c r="E223" s="5" t="s">
        <v>118</v>
      </c>
      <c r="F223" s="5" t="s">
        <v>30</v>
      </c>
      <c r="G223" s="5" t="s">
        <v>19</v>
      </c>
      <c r="H223" s="5">
        <v>26</v>
      </c>
      <c r="I223" s="5">
        <v>595</v>
      </c>
      <c r="J223" s="5">
        <v>914</v>
      </c>
      <c r="K223" s="6">
        <f t="shared" si="12"/>
        <v>15470</v>
      </c>
      <c r="L223" s="6">
        <f t="shared" si="13"/>
        <v>23764</v>
      </c>
      <c r="M223" s="6">
        <f t="shared" si="14"/>
        <v>8294</v>
      </c>
      <c r="N223" s="6" t="str">
        <f t="shared" si="15"/>
        <v>profit</v>
      </c>
    </row>
    <row r="224" spans="1:14" ht="15.6" thickTop="1" thickBot="1" x14ac:dyDescent="0.35">
      <c r="A224" s="4">
        <v>45605</v>
      </c>
      <c r="B224" s="4" t="s">
        <v>161</v>
      </c>
      <c r="C224" s="5" t="s">
        <v>166</v>
      </c>
      <c r="D224" s="5" t="s">
        <v>33</v>
      </c>
      <c r="E224" s="5" t="s">
        <v>163</v>
      </c>
      <c r="F224" s="5" t="s">
        <v>71</v>
      </c>
      <c r="G224" s="5" t="s">
        <v>19</v>
      </c>
      <c r="H224" s="5">
        <v>70</v>
      </c>
      <c r="I224" s="5">
        <v>871</v>
      </c>
      <c r="J224" s="5">
        <v>862</v>
      </c>
      <c r="K224" s="6">
        <f t="shared" si="12"/>
        <v>60970</v>
      </c>
      <c r="L224" s="6">
        <f t="shared" si="13"/>
        <v>60340</v>
      </c>
      <c r="M224" s="6">
        <f t="shared" si="14"/>
        <v>-630</v>
      </c>
      <c r="N224" s="6" t="str">
        <f t="shared" si="15"/>
        <v>loss</v>
      </c>
    </row>
    <row r="225" spans="1:14" ht="15.6" thickTop="1" thickBot="1" x14ac:dyDescent="0.35">
      <c r="A225" s="4">
        <v>45421</v>
      </c>
      <c r="B225" s="4" t="s">
        <v>97</v>
      </c>
      <c r="C225" s="5" t="s">
        <v>167</v>
      </c>
      <c r="D225" s="5" t="s">
        <v>46</v>
      </c>
      <c r="E225" s="5" t="s">
        <v>118</v>
      </c>
      <c r="F225" s="5" t="s">
        <v>25</v>
      </c>
      <c r="G225" s="5" t="s">
        <v>19</v>
      </c>
      <c r="H225" s="5">
        <v>27</v>
      </c>
      <c r="I225" s="5">
        <v>722</v>
      </c>
      <c r="J225" s="5">
        <v>1497</v>
      </c>
      <c r="K225" s="6">
        <f t="shared" si="12"/>
        <v>19494</v>
      </c>
      <c r="L225" s="6">
        <f t="shared" si="13"/>
        <v>40419</v>
      </c>
      <c r="M225" s="6">
        <f t="shared" si="14"/>
        <v>20925</v>
      </c>
      <c r="N225" s="6" t="str">
        <f t="shared" si="15"/>
        <v>profit</v>
      </c>
    </row>
    <row r="226" spans="1:14" ht="15.6" thickTop="1" thickBot="1" x14ac:dyDescent="0.35">
      <c r="A226" s="4">
        <v>45422</v>
      </c>
      <c r="B226" s="4" t="s">
        <v>97</v>
      </c>
      <c r="C226" s="5" t="s">
        <v>168</v>
      </c>
      <c r="D226" s="5" t="s">
        <v>46</v>
      </c>
      <c r="E226" s="5" t="s">
        <v>118</v>
      </c>
      <c r="F226" s="5" t="s">
        <v>76</v>
      </c>
      <c r="G226" s="5" t="s">
        <v>19</v>
      </c>
      <c r="H226" s="5">
        <v>25</v>
      </c>
      <c r="I226" s="5">
        <v>982</v>
      </c>
      <c r="J226" s="5">
        <v>1395</v>
      </c>
      <c r="K226" s="6">
        <f t="shared" si="12"/>
        <v>24550</v>
      </c>
      <c r="L226" s="6">
        <f t="shared" si="13"/>
        <v>34875</v>
      </c>
      <c r="M226" s="6">
        <f t="shared" si="14"/>
        <v>10325</v>
      </c>
      <c r="N226" s="6" t="str">
        <f t="shared" si="15"/>
        <v>profit</v>
      </c>
    </row>
    <row r="227" spans="1:14" ht="15.6" thickTop="1" thickBot="1" x14ac:dyDescent="0.35">
      <c r="A227" s="4">
        <v>45423</v>
      </c>
      <c r="B227" s="4" t="s">
        <v>97</v>
      </c>
      <c r="C227" s="5" t="s">
        <v>169</v>
      </c>
      <c r="D227" s="5" t="s">
        <v>46</v>
      </c>
      <c r="E227" s="5" t="s">
        <v>118</v>
      </c>
      <c r="F227" s="5" t="s">
        <v>71</v>
      </c>
      <c r="G227" s="5" t="s">
        <v>19</v>
      </c>
      <c r="H227" s="5">
        <v>25</v>
      </c>
      <c r="I227" s="5">
        <v>982</v>
      </c>
      <c r="J227" s="5">
        <v>1389</v>
      </c>
      <c r="K227" s="6">
        <f t="shared" si="12"/>
        <v>24550</v>
      </c>
      <c r="L227" s="6">
        <f t="shared" si="13"/>
        <v>34725</v>
      </c>
      <c r="M227" s="6">
        <f t="shared" si="14"/>
        <v>10175</v>
      </c>
      <c r="N227" s="6" t="str">
        <f t="shared" si="15"/>
        <v>profit</v>
      </c>
    </row>
    <row r="228" spans="1:14" ht="15.6" thickTop="1" thickBot="1" x14ac:dyDescent="0.35">
      <c r="A228" s="4">
        <v>45424</v>
      </c>
      <c r="B228" s="4" t="s">
        <v>97</v>
      </c>
      <c r="C228" s="5" t="s">
        <v>170</v>
      </c>
      <c r="D228" s="5" t="s">
        <v>46</v>
      </c>
      <c r="E228" s="5" t="s">
        <v>118</v>
      </c>
      <c r="F228" s="5" t="s">
        <v>44</v>
      </c>
      <c r="G228" s="5" t="s">
        <v>19</v>
      </c>
      <c r="H228" s="5">
        <v>25</v>
      </c>
      <c r="I228" s="5">
        <v>810</v>
      </c>
      <c r="J228" s="5">
        <v>1086</v>
      </c>
      <c r="K228" s="6">
        <f t="shared" si="12"/>
        <v>20250</v>
      </c>
      <c r="L228" s="6">
        <f t="shared" si="13"/>
        <v>27150</v>
      </c>
      <c r="M228" s="6">
        <f t="shared" si="14"/>
        <v>6900</v>
      </c>
      <c r="N228" s="6" t="str">
        <f t="shared" si="15"/>
        <v>profit</v>
      </c>
    </row>
    <row r="229" spans="1:14" ht="15.6" thickTop="1" thickBot="1" x14ac:dyDescent="0.35">
      <c r="A229" s="4">
        <v>45610</v>
      </c>
      <c r="B229" s="4" t="s">
        <v>161</v>
      </c>
      <c r="C229" s="5" t="s">
        <v>171</v>
      </c>
      <c r="D229" s="5" t="s">
        <v>46</v>
      </c>
      <c r="E229" s="5" t="s">
        <v>63</v>
      </c>
      <c r="F229" s="5" t="s">
        <v>78</v>
      </c>
      <c r="G229" s="5" t="s">
        <v>28</v>
      </c>
      <c r="H229" s="5">
        <v>20</v>
      </c>
      <c r="I229" s="5">
        <v>773</v>
      </c>
      <c r="J229" s="5">
        <v>823</v>
      </c>
      <c r="K229" s="6">
        <f t="shared" si="12"/>
        <v>15460</v>
      </c>
      <c r="L229" s="6">
        <f t="shared" si="13"/>
        <v>16460</v>
      </c>
      <c r="M229" s="6">
        <f t="shared" si="14"/>
        <v>1000</v>
      </c>
      <c r="N229" s="6" t="str">
        <f t="shared" si="15"/>
        <v>profit</v>
      </c>
    </row>
    <row r="230" spans="1:14" ht="15.6" thickTop="1" thickBot="1" x14ac:dyDescent="0.35">
      <c r="A230" s="4">
        <v>45425</v>
      </c>
      <c r="B230" s="4" t="s">
        <v>97</v>
      </c>
      <c r="C230" s="5" t="s">
        <v>172</v>
      </c>
      <c r="D230" s="5" t="s">
        <v>46</v>
      </c>
      <c r="E230" s="5" t="s">
        <v>118</v>
      </c>
      <c r="F230" s="5" t="s">
        <v>25</v>
      </c>
      <c r="G230" s="5" t="s">
        <v>19</v>
      </c>
      <c r="H230" s="5">
        <v>26</v>
      </c>
      <c r="I230" s="5">
        <v>781</v>
      </c>
      <c r="J230" s="5">
        <v>1019</v>
      </c>
      <c r="K230" s="6">
        <f t="shared" si="12"/>
        <v>20306</v>
      </c>
      <c r="L230" s="6">
        <f t="shared" si="13"/>
        <v>26494</v>
      </c>
      <c r="M230" s="6">
        <f t="shared" si="14"/>
        <v>6188</v>
      </c>
      <c r="N230" s="6" t="str">
        <f t="shared" si="15"/>
        <v>profit</v>
      </c>
    </row>
    <row r="231" spans="1:14" ht="15.6" thickTop="1" thickBot="1" x14ac:dyDescent="0.35">
      <c r="A231" s="4">
        <v>45426</v>
      </c>
      <c r="B231" s="4" t="s">
        <v>97</v>
      </c>
      <c r="C231" s="5" t="s">
        <v>173</v>
      </c>
      <c r="D231" s="5" t="s">
        <v>46</v>
      </c>
      <c r="E231" s="5" t="s">
        <v>118</v>
      </c>
      <c r="F231" s="5" t="s">
        <v>64</v>
      </c>
      <c r="G231" s="5" t="s">
        <v>19</v>
      </c>
      <c r="H231" s="5">
        <v>26</v>
      </c>
      <c r="I231" s="5">
        <v>630</v>
      </c>
      <c r="J231" s="5">
        <v>767</v>
      </c>
      <c r="K231" s="6">
        <f t="shared" si="12"/>
        <v>16380</v>
      </c>
      <c r="L231" s="6">
        <f t="shared" si="13"/>
        <v>19942</v>
      </c>
      <c r="M231" s="6">
        <f t="shared" si="14"/>
        <v>3562</v>
      </c>
      <c r="N231" s="6" t="str">
        <f t="shared" si="15"/>
        <v>profit</v>
      </c>
    </row>
    <row r="232" spans="1:14" ht="15.6" thickTop="1" thickBot="1" x14ac:dyDescent="0.35">
      <c r="A232" s="4">
        <v>45427</v>
      </c>
      <c r="B232" s="4" t="s">
        <v>97</v>
      </c>
      <c r="C232" s="5" t="s">
        <v>174</v>
      </c>
      <c r="D232" s="5" t="s">
        <v>46</v>
      </c>
      <c r="E232" s="5" t="s">
        <v>118</v>
      </c>
      <c r="F232" s="5" t="s">
        <v>76</v>
      </c>
      <c r="G232" s="5" t="s">
        <v>19</v>
      </c>
      <c r="H232" s="5">
        <v>23</v>
      </c>
      <c r="I232" s="5">
        <v>972</v>
      </c>
      <c r="J232" s="5">
        <v>782</v>
      </c>
      <c r="K232" s="6">
        <f t="shared" si="12"/>
        <v>22356</v>
      </c>
      <c r="L232" s="6">
        <f t="shared" si="13"/>
        <v>17986</v>
      </c>
      <c r="M232" s="6">
        <f t="shared" si="14"/>
        <v>-4370</v>
      </c>
      <c r="N232" s="6" t="str">
        <f t="shared" si="15"/>
        <v>loss</v>
      </c>
    </row>
    <row r="233" spans="1:14" ht="15.6" thickTop="1" thickBot="1" x14ac:dyDescent="0.35">
      <c r="A233" s="4">
        <v>45614</v>
      </c>
      <c r="B233" s="4" t="s">
        <v>161</v>
      </c>
      <c r="C233" s="5" t="s">
        <v>175</v>
      </c>
      <c r="D233" s="5" t="s">
        <v>46</v>
      </c>
      <c r="E233" s="5" t="s">
        <v>63</v>
      </c>
      <c r="F233" s="5" t="s">
        <v>35</v>
      </c>
      <c r="G233" s="5" t="s">
        <v>19</v>
      </c>
      <c r="H233" s="5">
        <v>23</v>
      </c>
      <c r="I233" s="5">
        <v>906</v>
      </c>
      <c r="J233" s="5">
        <v>1275</v>
      </c>
      <c r="K233" s="6">
        <f t="shared" si="12"/>
        <v>20838</v>
      </c>
      <c r="L233" s="6">
        <f t="shared" si="13"/>
        <v>29325</v>
      </c>
      <c r="M233" s="6">
        <f t="shared" si="14"/>
        <v>8487</v>
      </c>
      <c r="N233" s="6" t="str">
        <f t="shared" si="15"/>
        <v>profit</v>
      </c>
    </row>
    <row r="234" spans="1:14" ht="15.6" thickTop="1" thickBot="1" x14ac:dyDescent="0.35">
      <c r="A234" s="4">
        <v>45428</v>
      </c>
      <c r="B234" s="4" t="s">
        <v>97</v>
      </c>
      <c r="C234" s="5" t="s">
        <v>176</v>
      </c>
      <c r="D234" s="5" t="s">
        <v>46</v>
      </c>
      <c r="E234" s="5" t="s">
        <v>118</v>
      </c>
      <c r="F234" s="5" t="s">
        <v>78</v>
      </c>
      <c r="G234" s="5" t="s">
        <v>28</v>
      </c>
      <c r="H234" s="5">
        <v>30</v>
      </c>
      <c r="I234" s="5">
        <v>987</v>
      </c>
      <c r="J234" s="5">
        <v>1366</v>
      </c>
      <c r="K234" s="6">
        <f t="shared" si="12"/>
        <v>29610</v>
      </c>
      <c r="L234" s="6">
        <f t="shared" si="13"/>
        <v>40980</v>
      </c>
      <c r="M234" s="6">
        <f t="shared" si="14"/>
        <v>11370</v>
      </c>
      <c r="N234" s="6" t="str">
        <f t="shared" si="15"/>
        <v>profit</v>
      </c>
    </row>
    <row r="235" spans="1:14" ht="15.6" thickTop="1" thickBot="1" x14ac:dyDescent="0.35">
      <c r="A235" s="4">
        <v>45616</v>
      </c>
      <c r="B235" s="4" t="s">
        <v>161</v>
      </c>
      <c r="C235" s="5" t="s">
        <v>177</v>
      </c>
      <c r="D235" s="5" t="s">
        <v>46</v>
      </c>
      <c r="E235" s="5" t="s">
        <v>63</v>
      </c>
      <c r="F235" s="5" t="s">
        <v>39</v>
      </c>
      <c r="G235" s="5" t="s">
        <v>19</v>
      </c>
      <c r="H235" s="5">
        <v>24</v>
      </c>
      <c r="I235" s="5">
        <v>927</v>
      </c>
      <c r="J235" s="5">
        <v>1379</v>
      </c>
      <c r="K235" s="6">
        <f t="shared" si="12"/>
        <v>22248</v>
      </c>
      <c r="L235" s="6">
        <f t="shared" si="13"/>
        <v>33096</v>
      </c>
      <c r="M235" s="6">
        <f t="shared" si="14"/>
        <v>10848</v>
      </c>
      <c r="N235" s="6" t="str">
        <f t="shared" si="15"/>
        <v>profit</v>
      </c>
    </row>
    <row r="236" spans="1:14" ht="15.6" thickTop="1" thickBot="1" x14ac:dyDescent="0.35">
      <c r="A236" s="4">
        <v>45429</v>
      </c>
      <c r="B236" s="4" t="s">
        <v>97</v>
      </c>
      <c r="C236" s="5" t="s">
        <v>178</v>
      </c>
      <c r="D236" s="5" t="s">
        <v>46</v>
      </c>
      <c r="E236" s="5" t="s">
        <v>118</v>
      </c>
      <c r="F236" s="5" t="s">
        <v>35</v>
      </c>
      <c r="G236" s="5" t="s">
        <v>28</v>
      </c>
      <c r="H236" s="5">
        <v>25</v>
      </c>
      <c r="I236" s="5">
        <v>877</v>
      </c>
      <c r="J236" s="5">
        <v>797</v>
      </c>
      <c r="K236" s="6">
        <f t="shared" si="12"/>
        <v>21925</v>
      </c>
      <c r="L236" s="6">
        <f t="shared" si="13"/>
        <v>19925</v>
      </c>
      <c r="M236" s="6">
        <f t="shared" si="14"/>
        <v>-2000</v>
      </c>
      <c r="N236" s="6" t="str">
        <f t="shared" si="15"/>
        <v>loss</v>
      </c>
    </row>
    <row r="237" spans="1:14" ht="15.6" thickTop="1" thickBot="1" x14ac:dyDescent="0.35">
      <c r="A237" s="4">
        <v>45430</v>
      </c>
      <c r="B237" s="4" t="s">
        <v>97</v>
      </c>
      <c r="C237" s="5" t="s">
        <v>179</v>
      </c>
      <c r="D237" s="5" t="s">
        <v>46</v>
      </c>
      <c r="E237" s="5" t="s">
        <v>118</v>
      </c>
      <c r="F237" s="5" t="s">
        <v>44</v>
      </c>
      <c r="G237" s="5" t="s">
        <v>28</v>
      </c>
      <c r="H237" s="5">
        <v>26</v>
      </c>
      <c r="I237" s="5">
        <v>596</v>
      </c>
      <c r="J237" s="5">
        <v>1136</v>
      </c>
      <c r="K237" s="6">
        <f t="shared" si="12"/>
        <v>15496</v>
      </c>
      <c r="L237" s="6">
        <f t="shared" si="13"/>
        <v>29536</v>
      </c>
      <c r="M237" s="6">
        <f t="shared" si="14"/>
        <v>14040</v>
      </c>
      <c r="N237" s="6" t="str">
        <f t="shared" si="15"/>
        <v>profit</v>
      </c>
    </row>
    <row r="238" spans="1:14" ht="15.6" thickTop="1" thickBot="1" x14ac:dyDescent="0.35">
      <c r="A238" s="4">
        <v>45484</v>
      </c>
      <c r="B238" s="4" t="s">
        <v>40</v>
      </c>
      <c r="C238" s="5" t="s">
        <v>180</v>
      </c>
      <c r="D238" s="5" t="s">
        <v>46</v>
      </c>
      <c r="E238" s="5" t="s">
        <v>118</v>
      </c>
      <c r="F238" s="5" t="s">
        <v>39</v>
      </c>
      <c r="G238" s="5" t="s">
        <v>28</v>
      </c>
      <c r="H238" s="5">
        <v>26</v>
      </c>
      <c r="I238" s="5">
        <v>771</v>
      </c>
      <c r="J238" s="5">
        <v>1172</v>
      </c>
      <c r="K238" s="6">
        <f t="shared" si="12"/>
        <v>20046</v>
      </c>
      <c r="L238" s="6">
        <f t="shared" si="13"/>
        <v>30472</v>
      </c>
      <c r="M238" s="6">
        <f t="shared" si="14"/>
        <v>10426</v>
      </c>
      <c r="N238" s="6" t="str">
        <f t="shared" si="15"/>
        <v>profit</v>
      </c>
    </row>
    <row r="239" spans="1:14" ht="15.6" thickTop="1" thickBot="1" x14ac:dyDescent="0.35">
      <c r="A239" s="4">
        <v>45485</v>
      </c>
      <c r="B239" s="4" t="s">
        <v>40</v>
      </c>
      <c r="C239" s="5" t="s">
        <v>181</v>
      </c>
      <c r="D239" s="5" t="s">
        <v>46</v>
      </c>
      <c r="E239" s="5" t="s">
        <v>118</v>
      </c>
      <c r="F239" s="5" t="s">
        <v>64</v>
      </c>
      <c r="G239" s="5" t="s">
        <v>28</v>
      </c>
      <c r="H239" s="5">
        <v>30</v>
      </c>
      <c r="I239" s="5">
        <v>859</v>
      </c>
      <c r="J239" s="5">
        <v>1123</v>
      </c>
      <c r="K239" s="6">
        <f t="shared" si="12"/>
        <v>25770</v>
      </c>
      <c r="L239" s="6">
        <f t="shared" si="13"/>
        <v>33690</v>
      </c>
      <c r="M239" s="6">
        <f t="shared" si="14"/>
        <v>7920</v>
      </c>
      <c r="N239" s="6" t="str">
        <f t="shared" si="15"/>
        <v>profit</v>
      </c>
    </row>
    <row r="240" spans="1:14" ht="15.6" thickTop="1" thickBot="1" x14ac:dyDescent="0.35">
      <c r="A240" s="4">
        <v>45486</v>
      </c>
      <c r="B240" s="4" t="s">
        <v>40</v>
      </c>
      <c r="C240" s="5" t="s">
        <v>182</v>
      </c>
      <c r="D240" s="5" t="s">
        <v>46</v>
      </c>
      <c r="E240" s="5" t="s">
        <v>118</v>
      </c>
      <c r="F240" s="5" t="s">
        <v>64</v>
      </c>
      <c r="G240" s="5" t="s">
        <v>28</v>
      </c>
      <c r="H240" s="5">
        <v>30</v>
      </c>
      <c r="I240" s="5">
        <v>726</v>
      </c>
      <c r="J240" s="5">
        <v>964</v>
      </c>
      <c r="K240" s="6">
        <f t="shared" si="12"/>
        <v>21780</v>
      </c>
      <c r="L240" s="6">
        <f t="shared" si="13"/>
        <v>28920</v>
      </c>
      <c r="M240" s="6">
        <f t="shared" si="14"/>
        <v>7140</v>
      </c>
      <c r="N240" s="6" t="str">
        <f t="shared" si="15"/>
        <v>profit</v>
      </c>
    </row>
    <row r="241" spans="1:14" ht="15.6" thickTop="1" thickBot="1" x14ac:dyDescent="0.35">
      <c r="A241" s="4">
        <v>45487</v>
      </c>
      <c r="B241" s="4" t="s">
        <v>40</v>
      </c>
      <c r="C241" s="5" t="s">
        <v>183</v>
      </c>
      <c r="D241" s="5" t="s">
        <v>46</v>
      </c>
      <c r="E241" s="5" t="s">
        <v>118</v>
      </c>
      <c r="F241" s="5" t="s">
        <v>60</v>
      </c>
      <c r="G241" s="5" t="s">
        <v>28</v>
      </c>
      <c r="H241" s="5">
        <v>29</v>
      </c>
      <c r="I241" s="5">
        <v>861</v>
      </c>
      <c r="J241" s="5">
        <v>820</v>
      </c>
      <c r="K241" s="6">
        <f t="shared" si="12"/>
        <v>24969</v>
      </c>
      <c r="L241" s="6">
        <f t="shared" si="13"/>
        <v>23780</v>
      </c>
      <c r="M241" s="6">
        <f t="shared" si="14"/>
        <v>-1189</v>
      </c>
      <c r="N241" s="6" t="str">
        <f t="shared" si="15"/>
        <v>loss</v>
      </c>
    </row>
    <row r="242" spans="1:14" ht="15.6" thickTop="1" thickBot="1" x14ac:dyDescent="0.35">
      <c r="A242" s="4">
        <v>45489</v>
      </c>
      <c r="B242" s="4" t="s">
        <v>40</v>
      </c>
      <c r="C242" s="5" t="s">
        <v>184</v>
      </c>
      <c r="D242" s="5" t="s">
        <v>46</v>
      </c>
      <c r="E242" s="5" t="s">
        <v>118</v>
      </c>
      <c r="F242" s="5" t="s">
        <v>30</v>
      </c>
      <c r="G242" s="5" t="s">
        <v>19</v>
      </c>
      <c r="H242" s="5">
        <v>24</v>
      </c>
      <c r="I242" s="5">
        <v>978</v>
      </c>
      <c r="J242" s="5">
        <v>773</v>
      </c>
      <c r="K242" s="6">
        <f t="shared" si="12"/>
        <v>23472</v>
      </c>
      <c r="L242" s="6">
        <f t="shared" si="13"/>
        <v>18552</v>
      </c>
      <c r="M242" s="6">
        <f t="shared" si="14"/>
        <v>-4920</v>
      </c>
      <c r="N242" s="6" t="str">
        <f t="shared" si="15"/>
        <v>loss</v>
      </c>
    </row>
    <row r="243" spans="1:14" ht="15.6" thickTop="1" thickBot="1" x14ac:dyDescent="0.35">
      <c r="A243" s="4">
        <v>45490</v>
      </c>
      <c r="B243" s="4" t="s">
        <v>40</v>
      </c>
      <c r="C243" s="5" t="s">
        <v>185</v>
      </c>
      <c r="D243" s="5" t="s">
        <v>46</v>
      </c>
      <c r="E243" s="5" t="s">
        <v>118</v>
      </c>
      <c r="F243" s="5" t="s">
        <v>113</v>
      </c>
      <c r="G243" s="5" t="s">
        <v>19</v>
      </c>
      <c r="H243" s="5">
        <v>30</v>
      </c>
      <c r="I243" s="5">
        <v>514</v>
      </c>
      <c r="J243" s="5">
        <v>1333</v>
      </c>
      <c r="K243" s="6">
        <f t="shared" si="12"/>
        <v>15420</v>
      </c>
      <c r="L243" s="6">
        <f t="shared" si="13"/>
        <v>39990</v>
      </c>
      <c r="M243" s="6">
        <f t="shared" si="14"/>
        <v>24570</v>
      </c>
      <c r="N243" s="6" t="str">
        <f t="shared" si="15"/>
        <v>profit</v>
      </c>
    </row>
    <row r="244" spans="1:14" ht="15.6" thickTop="1" thickBot="1" x14ac:dyDescent="0.35">
      <c r="A244" s="4">
        <v>45491</v>
      </c>
      <c r="B244" s="4" t="s">
        <v>40</v>
      </c>
      <c r="C244" s="5" t="s">
        <v>186</v>
      </c>
      <c r="D244" s="5" t="s">
        <v>46</v>
      </c>
      <c r="E244" s="5" t="s">
        <v>118</v>
      </c>
      <c r="F244" s="5" t="s">
        <v>44</v>
      </c>
      <c r="G244" s="5" t="s">
        <v>19</v>
      </c>
      <c r="H244" s="5">
        <v>26</v>
      </c>
      <c r="I244" s="5">
        <v>656</v>
      </c>
      <c r="J244" s="5">
        <v>908</v>
      </c>
      <c r="K244" s="6">
        <f t="shared" si="12"/>
        <v>17056</v>
      </c>
      <c r="L244" s="6">
        <f t="shared" si="13"/>
        <v>23608</v>
      </c>
      <c r="M244" s="6">
        <f t="shared" si="14"/>
        <v>6552</v>
      </c>
      <c r="N244" s="6" t="str">
        <f t="shared" si="15"/>
        <v>profit</v>
      </c>
    </row>
    <row r="245" spans="1:14" ht="15.6" thickTop="1" thickBot="1" x14ac:dyDescent="0.35">
      <c r="A245" s="4">
        <v>45626</v>
      </c>
      <c r="B245" s="4" t="s">
        <v>161</v>
      </c>
      <c r="C245" s="5" t="s">
        <v>187</v>
      </c>
      <c r="D245" s="5" t="s">
        <v>46</v>
      </c>
      <c r="E245" s="5" t="s">
        <v>118</v>
      </c>
      <c r="F245" s="5" t="s">
        <v>39</v>
      </c>
      <c r="G245" s="5" t="s">
        <v>19</v>
      </c>
      <c r="H245" s="5">
        <v>28</v>
      </c>
      <c r="I245" s="5">
        <v>866</v>
      </c>
      <c r="J245" s="5">
        <v>1102</v>
      </c>
      <c r="K245" s="6">
        <f t="shared" si="12"/>
        <v>24248</v>
      </c>
      <c r="L245" s="6">
        <f t="shared" si="13"/>
        <v>30856</v>
      </c>
      <c r="M245" s="6">
        <f t="shared" si="14"/>
        <v>6608</v>
      </c>
      <c r="N245" s="6" t="str">
        <f t="shared" si="15"/>
        <v>profit</v>
      </c>
    </row>
    <row r="246" spans="1:14" ht="15.6" thickTop="1" thickBot="1" x14ac:dyDescent="0.35">
      <c r="A246" s="4">
        <v>45492</v>
      </c>
      <c r="B246" s="4" t="s">
        <v>40</v>
      </c>
      <c r="C246" s="5" t="s">
        <v>188</v>
      </c>
      <c r="D246" s="5" t="s">
        <v>46</v>
      </c>
      <c r="E246" s="5" t="s">
        <v>118</v>
      </c>
      <c r="F246" s="5" t="s">
        <v>153</v>
      </c>
      <c r="G246" s="5" t="s">
        <v>19</v>
      </c>
      <c r="H246" s="5">
        <v>28</v>
      </c>
      <c r="I246" s="5">
        <v>866</v>
      </c>
      <c r="J246" s="5">
        <v>1080</v>
      </c>
      <c r="K246" s="6">
        <f t="shared" si="12"/>
        <v>24248</v>
      </c>
      <c r="L246" s="6">
        <f t="shared" si="13"/>
        <v>30240</v>
      </c>
      <c r="M246" s="6">
        <f t="shared" si="14"/>
        <v>5992</v>
      </c>
      <c r="N246" s="6" t="str">
        <f t="shared" si="15"/>
        <v>profit</v>
      </c>
    </row>
    <row r="247" spans="1:14" ht="15.6" thickTop="1" thickBot="1" x14ac:dyDescent="0.35">
      <c r="A247" s="4">
        <v>45493</v>
      </c>
      <c r="B247" s="4" t="s">
        <v>40</v>
      </c>
      <c r="C247" s="5" t="s">
        <v>189</v>
      </c>
      <c r="D247" s="5" t="s">
        <v>46</v>
      </c>
      <c r="E247" s="5" t="s">
        <v>118</v>
      </c>
      <c r="F247" s="5" t="s">
        <v>155</v>
      </c>
      <c r="G247" s="5" t="s">
        <v>19</v>
      </c>
      <c r="H247" s="5">
        <v>23</v>
      </c>
      <c r="I247" s="5">
        <v>969</v>
      </c>
      <c r="J247" s="5">
        <v>1075</v>
      </c>
      <c r="K247" s="6">
        <f t="shared" si="12"/>
        <v>22287</v>
      </c>
      <c r="L247" s="6">
        <f t="shared" si="13"/>
        <v>24725</v>
      </c>
      <c r="M247" s="6">
        <f t="shared" si="14"/>
        <v>2438</v>
      </c>
      <c r="N247" s="6" t="str">
        <f t="shared" si="15"/>
        <v>profit</v>
      </c>
    </row>
    <row r="248" spans="1:14" ht="15.6" thickTop="1" thickBot="1" x14ac:dyDescent="0.35">
      <c r="A248" s="4">
        <v>45629</v>
      </c>
      <c r="B248" s="4" t="s">
        <v>190</v>
      </c>
      <c r="C248" s="5" t="s">
        <v>191</v>
      </c>
      <c r="D248" s="5" t="s">
        <v>46</v>
      </c>
      <c r="E248" s="5" t="s">
        <v>118</v>
      </c>
      <c r="F248" s="5" t="s">
        <v>60</v>
      </c>
      <c r="G248" s="5" t="s">
        <v>28</v>
      </c>
      <c r="H248" s="5">
        <v>29</v>
      </c>
      <c r="I248" s="5">
        <v>639</v>
      </c>
      <c r="J248" s="5">
        <v>1257</v>
      </c>
      <c r="K248" s="6">
        <f t="shared" si="12"/>
        <v>18531</v>
      </c>
      <c r="L248" s="6">
        <f t="shared" si="13"/>
        <v>36453</v>
      </c>
      <c r="M248" s="6">
        <f t="shared" si="14"/>
        <v>17922</v>
      </c>
      <c r="N248" s="6" t="str">
        <f t="shared" si="15"/>
        <v>profit</v>
      </c>
    </row>
    <row r="249" spans="1:14" ht="15.6" thickTop="1" thickBot="1" x14ac:dyDescent="0.35">
      <c r="A249" s="4">
        <v>45494</v>
      </c>
      <c r="B249" s="4" t="s">
        <v>40</v>
      </c>
      <c r="C249" s="5" t="s">
        <v>192</v>
      </c>
      <c r="D249" s="5" t="s">
        <v>46</v>
      </c>
      <c r="E249" s="5" t="s">
        <v>118</v>
      </c>
      <c r="F249" s="5" t="s">
        <v>18</v>
      </c>
      <c r="G249" s="5" t="s">
        <v>19</v>
      </c>
      <c r="H249" s="5">
        <v>21</v>
      </c>
      <c r="I249" s="5">
        <v>626</v>
      </c>
      <c r="J249" s="5">
        <v>772</v>
      </c>
      <c r="K249" s="6">
        <f t="shared" si="12"/>
        <v>13146</v>
      </c>
      <c r="L249" s="6">
        <f t="shared" si="13"/>
        <v>16212</v>
      </c>
      <c r="M249" s="6">
        <f t="shared" si="14"/>
        <v>3066</v>
      </c>
      <c r="N249" s="6" t="str">
        <f t="shared" si="15"/>
        <v>profit</v>
      </c>
    </row>
    <row r="250" spans="1:14" ht="15.6" thickTop="1" thickBot="1" x14ac:dyDescent="0.35">
      <c r="A250" s="4">
        <v>45517</v>
      </c>
      <c r="B250" s="4" t="s">
        <v>57</v>
      </c>
      <c r="C250" s="5" t="s">
        <v>193</v>
      </c>
      <c r="D250" s="5" t="s">
        <v>46</v>
      </c>
      <c r="E250" s="5" t="s">
        <v>118</v>
      </c>
      <c r="F250" s="5" t="s">
        <v>44</v>
      </c>
      <c r="G250" s="5" t="s">
        <v>28</v>
      </c>
      <c r="H250" s="5">
        <v>26</v>
      </c>
      <c r="I250" s="5">
        <v>715</v>
      </c>
      <c r="J250" s="5">
        <v>1113</v>
      </c>
      <c r="K250" s="6">
        <f t="shared" si="12"/>
        <v>18590</v>
      </c>
      <c r="L250" s="6">
        <f t="shared" si="13"/>
        <v>28938</v>
      </c>
      <c r="M250" s="6">
        <f t="shared" si="14"/>
        <v>10348</v>
      </c>
      <c r="N250" s="6" t="str">
        <f t="shared" si="15"/>
        <v>profit</v>
      </c>
    </row>
    <row r="251" spans="1:14" ht="15.6" thickTop="1" thickBot="1" x14ac:dyDescent="0.35">
      <c r="A251" s="4">
        <v>45518</v>
      </c>
      <c r="B251" s="4" t="s">
        <v>57</v>
      </c>
      <c r="C251" s="5" t="s">
        <v>194</v>
      </c>
      <c r="D251" s="5" t="s">
        <v>46</v>
      </c>
      <c r="E251" s="5" t="s">
        <v>118</v>
      </c>
      <c r="F251" s="5" t="s">
        <v>49</v>
      </c>
      <c r="G251" s="5" t="s">
        <v>28</v>
      </c>
      <c r="H251" s="5">
        <v>27</v>
      </c>
      <c r="I251" s="5">
        <v>611</v>
      </c>
      <c r="J251" s="5">
        <v>1309</v>
      </c>
      <c r="K251" s="6">
        <f t="shared" si="12"/>
        <v>16497</v>
      </c>
      <c r="L251" s="6">
        <f t="shared" si="13"/>
        <v>35343</v>
      </c>
      <c r="M251" s="6">
        <f t="shared" si="14"/>
        <v>18846</v>
      </c>
      <c r="N251" s="6" t="str">
        <f t="shared" si="15"/>
        <v>profit</v>
      </c>
    </row>
    <row r="252" spans="1:14" ht="15.6" thickTop="1" thickBot="1" x14ac:dyDescent="0.35">
      <c r="A252" s="4">
        <v>45519</v>
      </c>
      <c r="B252" s="4" t="s">
        <v>57</v>
      </c>
      <c r="C252" s="5" t="s">
        <v>195</v>
      </c>
      <c r="D252" s="5" t="s">
        <v>46</v>
      </c>
      <c r="E252" s="5" t="s">
        <v>118</v>
      </c>
      <c r="F252" s="5" t="s">
        <v>27</v>
      </c>
      <c r="G252" s="5" t="s">
        <v>19</v>
      </c>
      <c r="H252" s="5">
        <v>29</v>
      </c>
      <c r="I252" s="5">
        <v>544</v>
      </c>
      <c r="J252" s="5">
        <v>1436</v>
      </c>
      <c r="K252" s="6">
        <f t="shared" si="12"/>
        <v>15776</v>
      </c>
      <c r="L252" s="6">
        <f t="shared" si="13"/>
        <v>41644</v>
      </c>
      <c r="M252" s="6">
        <f t="shared" si="14"/>
        <v>25868</v>
      </c>
      <c r="N252" s="6" t="str">
        <f t="shared" si="15"/>
        <v>profit</v>
      </c>
    </row>
    <row r="253" spans="1:14" ht="15.6" thickTop="1" thickBot="1" x14ac:dyDescent="0.35">
      <c r="A253" s="4">
        <v>45634</v>
      </c>
      <c r="B253" s="4" t="s">
        <v>190</v>
      </c>
      <c r="C253" s="5" t="s">
        <v>196</v>
      </c>
      <c r="D253" s="5" t="s">
        <v>46</v>
      </c>
      <c r="E253" s="5" t="s">
        <v>118</v>
      </c>
      <c r="F253" s="5" t="s">
        <v>153</v>
      </c>
      <c r="G253" s="5" t="s">
        <v>28</v>
      </c>
      <c r="H253" s="5">
        <v>23</v>
      </c>
      <c r="I253" s="5">
        <v>771</v>
      </c>
      <c r="J253" s="5">
        <v>1430</v>
      </c>
      <c r="K253" s="6">
        <f t="shared" si="12"/>
        <v>17733</v>
      </c>
      <c r="L253" s="6">
        <f t="shared" si="13"/>
        <v>32890</v>
      </c>
      <c r="M253" s="6">
        <f t="shared" si="14"/>
        <v>15157</v>
      </c>
      <c r="N253" s="6" t="str">
        <f t="shared" si="15"/>
        <v>profit</v>
      </c>
    </row>
    <row r="254" spans="1:14" ht="15.6" thickTop="1" thickBot="1" x14ac:dyDescent="0.35">
      <c r="A254" s="4">
        <v>45521</v>
      </c>
      <c r="B254" s="4" t="s">
        <v>57</v>
      </c>
      <c r="C254" s="5" t="s">
        <v>197</v>
      </c>
      <c r="D254" s="5" t="s">
        <v>46</v>
      </c>
      <c r="E254" s="5" t="s">
        <v>118</v>
      </c>
      <c r="F254" s="5" t="s">
        <v>54</v>
      </c>
      <c r="G254" s="5" t="s">
        <v>28</v>
      </c>
      <c r="H254" s="5">
        <v>30</v>
      </c>
      <c r="I254" s="5">
        <v>652</v>
      </c>
      <c r="J254" s="5">
        <v>1151</v>
      </c>
      <c r="K254" s="6">
        <f t="shared" si="12"/>
        <v>19560</v>
      </c>
      <c r="L254" s="6">
        <f t="shared" si="13"/>
        <v>34530</v>
      </c>
      <c r="M254" s="6">
        <f t="shared" si="14"/>
        <v>14970</v>
      </c>
      <c r="N254" s="6" t="str">
        <f t="shared" si="15"/>
        <v>profit</v>
      </c>
    </row>
    <row r="255" spans="1:14" ht="15.6" thickTop="1" thickBot="1" x14ac:dyDescent="0.35">
      <c r="A255" s="4">
        <v>45522</v>
      </c>
      <c r="B255" s="4" t="s">
        <v>57</v>
      </c>
      <c r="C255" s="5" t="s">
        <v>107</v>
      </c>
      <c r="D255" s="5" t="s">
        <v>46</v>
      </c>
      <c r="E255" s="5" t="s">
        <v>118</v>
      </c>
      <c r="F255" s="5" t="s">
        <v>35</v>
      </c>
      <c r="G255" s="5" t="s">
        <v>28</v>
      </c>
      <c r="H255" s="5">
        <v>22</v>
      </c>
      <c r="I255" s="5">
        <v>681</v>
      </c>
      <c r="J255" s="5">
        <v>1087</v>
      </c>
      <c r="K255" s="6">
        <f t="shared" si="12"/>
        <v>14982</v>
      </c>
      <c r="L255" s="6">
        <f t="shared" si="13"/>
        <v>23914</v>
      </c>
      <c r="M255" s="6">
        <f t="shared" si="14"/>
        <v>8932</v>
      </c>
      <c r="N255" s="6" t="str">
        <f t="shared" si="15"/>
        <v>profit</v>
      </c>
    </row>
    <row r="256" spans="1:14" ht="15.6" thickTop="1" thickBot="1" x14ac:dyDescent="0.35">
      <c r="A256" s="4">
        <v>45637</v>
      </c>
      <c r="B256" s="4" t="s">
        <v>190</v>
      </c>
      <c r="C256" s="5" t="s">
        <v>198</v>
      </c>
      <c r="D256" s="5" t="s">
        <v>33</v>
      </c>
      <c r="E256" s="5" t="s">
        <v>99</v>
      </c>
      <c r="F256" s="5" t="s">
        <v>21</v>
      </c>
      <c r="G256" s="5" t="s">
        <v>28</v>
      </c>
      <c r="H256" s="5">
        <v>66</v>
      </c>
      <c r="I256" s="5">
        <v>888</v>
      </c>
      <c r="J256" s="5">
        <v>809</v>
      </c>
      <c r="K256" s="6">
        <f t="shared" si="12"/>
        <v>58608</v>
      </c>
      <c r="L256" s="6">
        <f t="shared" si="13"/>
        <v>53394</v>
      </c>
      <c r="M256" s="6">
        <f t="shared" si="14"/>
        <v>-5214</v>
      </c>
      <c r="N256" s="6" t="str">
        <f t="shared" si="15"/>
        <v>loss</v>
      </c>
    </row>
    <row r="257" spans="1:14" ht="15.6" thickTop="1" thickBot="1" x14ac:dyDescent="0.35">
      <c r="A257" s="4">
        <v>45523</v>
      </c>
      <c r="B257" s="4" t="s">
        <v>57</v>
      </c>
      <c r="C257" s="5" t="s">
        <v>199</v>
      </c>
      <c r="D257" s="5" t="s">
        <v>46</v>
      </c>
      <c r="E257" s="5" t="s">
        <v>118</v>
      </c>
      <c r="F257" s="5" t="s">
        <v>39</v>
      </c>
      <c r="G257" s="5" t="s">
        <v>28</v>
      </c>
      <c r="H257" s="5">
        <v>28</v>
      </c>
      <c r="I257" s="5">
        <v>923</v>
      </c>
      <c r="J257" s="5">
        <v>1395</v>
      </c>
      <c r="K257" s="6">
        <f t="shared" si="12"/>
        <v>25844</v>
      </c>
      <c r="L257" s="6">
        <f t="shared" si="13"/>
        <v>39060</v>
      </c>
      <c r="M257" s="6">
        <f t="shared" si="14"/>
        <v>13216</v>
      </c>
      <c r="N257" s="6" t="str">
        <f t="shared" si="15"/>
        <v>profit</v>
      </c>
    </row>
    <row r="258" spans="1:14" ht="15.6" thickTop="1" thickBot="1" x14ac:dyDescent="0.35">
      <c r="A258" s="4">
        <v>45524</v>
      </c>
      <c r="B258" s="4" t="s">
        <v>57</v>
      </c>
      <c r="C258" s="5" t="s">
        <v>105</v>
      </c>
      <c r="D258" s="5" t="s">
        <v>46</v>
      </c>
      <c r="E258" s="5" t="s">
        <v>118</v>
      </c>
      <c r="F258" s="5" t="s">
        <v>39</v>
      </c>
      <c r="G258" s="5" t="s">
        <v>19</v>
      </c>
      <c r="H258" s="5">
        <v>26</v>
      </c>
      <c r="I258" s="5">
        <v>999</v>
      </c>
      <c r="J258" s="5">
        <v>1112</v>
      </c>
      <c r="K258" s="6">
        <f t="shared" ref="K258:K321" si="16">H258*I258</f>
        <v>25974</v>
      </c>
      <c r="L258" s="6">
        <f t="shared" ref="L258:L321" si="17">H258*J258</f>
        <v>28912</v>
      </c>
      <c r="M258" s="6">
        <f t="shared" ref="M258:M321" si="18">L258-K258</f>
        <v>2938</v>
      </c>
      <c r="N258" s="6" t="str">
        <f t="shared" ref="N258:N321" si="19">IF(M258&gt;0,"profit","loss")</f>
        <v>profit</v>
      </c>
    </row>
    <row r="259" spans="1:14" ht="15.6" thickTop="1" thickBot="1" x14ac:dyDescent="0.35">
      <c r="A259" s="4">
        <v>45525</v>
      </c>
      <c r="B259" s="4" t="s">
        <v>57</v>
      </c>
      <c r="C259" s="5" t="s">
        <v>200</v>
      </c>
      <c r="D259" s="5" t="s">
        <v>46</v>
      </c>
      <c r="E259" s="5" t="s">
        <v>118</v>
      </c>
      <c r="F259" s="5" t="s">
        <v>64</v>
      </c>
      <c r="G259" s="5" t="s">
        <v>19</v>
      </c>
      <c r="H259" s="5">
        <v>30</v>
      </c>
      <c r="I259" s="5">
        <v>792</v>
      </c>
      <c r="J259" s="5">
        <v>1010</v>
      </c>
      <c r="K259" s="6">
        <f t="shared" si="16"/>
        <v>23760</v>
      </c>
      <c r="L259" s="6">
        <f t="shared" si="17"/>
        <v>30300</v>
      </c>
      <c r="M259" s="6">
        <f t="shared" si="18"/>
        <v>6540</v>
      </c>
      <c r="N259" s="6" t="str">
        <f t="shared" si="19"/>
        <v>profit</v>
      </c>
    </row>
    <row r="260" spans="1:14" ht="15.6" thickTop="1" thickBot="1" x14ac:dyDescent="0.35">
      <c r="A260" s="4">
        <v>45527</v>
      </c>
      <c r="B260" s="4" t="s">
        <v>57</v>
      </c>
      <c r="C260" s="5" t="s">
        <v>201</v>
      </c>
      <c r="D260" s="5" t="s">
        <v>46</v>
      </c>
      <c r="E260" s="5" t="s">
        <v>118</v>
      </c>
      <c r="F260" s="5" t="s">
        <v>60</v>
      </c>
      <c r="G260" s="5" t="s">
        <v>19</v>
      </c>
      <c r="H260" s="5">
        <v>22</v>
      </c>
      <c r="I260" s="5">
        <v>774</v>
      </c>
      <c r="J260" s="5">
        <v>1387</v>
      </c>
      <c r="K260" s="6">
        <f t="shared" si="16"/>
        <v>17028</v>
      </c>
      <c r="L260" s="6">
        <f t="shared" si="17"/>
        <v>30514</v>
      </c>
      <c r="M260" s="6">
        <f t="shared" si="18"/>
        <v>13486</v>
      </c>
      <c r="N260" s="6" t="str">
        <f t="shared" si="19"/>
        <v>profit</v>
      </c>
    </row>
    <row r="261" spans="1:14" ht="15.6" thickTop="1" thickBot="1" x14ac:dyDescent="0.35">
      <c r="A261" s="4">
        <v>45642</v>
      </c>
      <c r="B261" s="4" t="s">
        <v>190</v>
      </c>
      <c r="C261" s="5" t="s">
        <v>202</v>
      </c>
      <c r="D261" s="5" t="s">
        <v>33</v>
      </c>
      <c r="E261" s="5" t="s">
        <v>99</v>
      </c>
      <c r="F261" s="5" t="s">
        <v>39</v>
      </c>
      <c r="G261" s="5" t="s">
        <v>19</v>
      </c>
      <c r="H261" s="5">
        <v>56</v>
      </c>
      <c r="I261" s="5">
        <v>516</v>
      </c>
      <c r="J261" s="5">
        <v>1316</v>
      </c>
      <c r="K261" s="6">
        <f t="shared" si="16"/>
        <v>28896</v>
      </c>
      <c r="L261" s="6">
        <f t="shared" si="17"/>
        <v>73696</v>
      </c>
      <c r="M261" s="6">
        <f t="shared" si="18"/>
        <v>44800</v>
      </c>
      <c r="N261" s="6" t="str">
        <f t="shared" si="19"/>
        <v>profit</v>
      </c>
    </row>
    <row r="262" spans="1:14" ht="15.6" thickTop="1" thickBot="1" x14ac:dyDescent="0.35">
      <c r="A262" s="4">
        <v>45589</v>
      </c>
      <c r="B262" s="4" t="s">
        <v>85</v>
      </c>
      <c r="C262" s="5" t="s">
        <v>203</v>
      </c>
      <c r="D262" s="5" t="s">
        <v>46</v>
      </c>
      <c r="E262" s="5" t="s">
        <v>133</v>
      </c>
      <c r="F262" s="5" t="s">
        <v>60</v>
      </c>
      <c r="G262" s="5" t="s">
        <v>19</v>
      </c>
      <c r="H262" s="5">
        <v>20</v>
      </c>
      <c r="I262" s="5">
        <v>999</v>
      </c>
      <c r="J262" s="5">
        <v>1191</v>
      </c>
      <c r="K262" s="6">
        <f t="shared" si="16"/>
        <v>19980</v>
      </c>
      <c r="L262" s="6">
        <f t="shared" si="17"/>
        <v>23820</v>
      </c>
      <c r="M262" s="6">
        <f t="shared" si="18"/>
        <v>3840</v>
      </c>
      <c r="N262" s="6" t="str">
        <f t="shared" si="19"/>
        <v>profit</v>
      </c>
    </row>
    <row r="263" spans="1:14" ht="15.6" thickTop="1" thickBot="1" x14ac:dyDescent="0.35">
      <c r="A263" s="4">
        <v>45591</v>
      </c>
      <c r="B263" s="4" t="s">
        <v>85</v>
      </c>
      <c r="C263" s="5" t="s">
        <v>204</v>
      </c>
      <c r="D263" s="5" t="s">
        <v>46</v>
      </c>
      <c r="E263" s="5" t="s">
        <v>133</v>
      </c>
      <c r="F263" s="5" t="s">
        <v>30</v>
      </c>
      <c r="G263" s="5" t="s">
        <v>28</v>
      </c>
      <c r="H263" s="5">
        <v>29</v>
      </c>
      <c r="I263" s="5">
        <v>661</v>
      </c>
      <c r="J263" s="5">
        <v>1400</v>
      </c>
      <c r="K263" s="6">
        <f t="shared" si="16"/>
        <v>19169</v>
      </c>
      <c r="L263" s="6">
        <f t="shared" si="17"/>
        <v>40600</v>
      </c>
      <c r="M263" s="6">
        <f t="shared" si="18"/>
        <v>21431</v>
      </c>
      <c r="N263" s="6" t="str">
        <f t="shared" si="19"/>
        <v>profit</v>
      </c>
    </row>
    <row r="264" spans="1:14" ht="15.6" thickTop="1" thickBot="1" x14ac:dyDescent="0.35">
      <c r="A264" s="4">
        <v>45596</v>
      </c>
      <c r="B264" s="4" t="s">
        <v>85</v>
      </c>
      <c r="C264" s="5" t="s">
        <v>205</v>
      </c>
      <c r="D264" s="5" t="s">
        <v>46</v>
      </c>
      <c r="E264" s="5" t="s">
        <v>47</v>
      </c>
      <c r="F264" s="5" t="s">
        <v>18</v>
      </c>
      <c r="G264" s="5" t="s">
        <v>28</v>
      </c>
      <c r="H264" s="5">
        <v>30</v>
      </c>
      <c r="I264" s="5">
        <v>539</v>
      </c>
      <c r="J264" s="5">
        <v>1364</v>
      </c>
      <c r="K264" s="6">
        <f t="shared" si="16"/>
        <v>16170</v>
      </c>
      <c r="L264" s="6">
        <f t="shared" si="17"/>
        <v>40920</v>
      </c>
      <c r="M264" s="6">
        <f t="shared" si="18"/>
        <v>24750</v>
      </c>
      <c r="N264" s="6" t="str">
        <f t="shared" si="19"/>
        <v>profit</v>
      </c>
    </row>
    <row r="265" spans="1:14" ht="15.6" thickTop="1" thickBot="1" x14ac:dyDescent="0.35">
      <c r="A265" s="4">
        <v>45646</v>
      </c>
      <c r="B265" s="4" t="s">
        <v>190</v>
      </c>
      <c r="C265" s="5" t="s">
        <v>206</v>
      </c>
      <c r="D265" s="5" t="s">
        <v>33</v>
      </c>
      <c r="E265" s="5" t="s">
        <v>99</v>
      </c>
      <c r="F265" s="5" t="s">
        <v>39</v>
      </c>
      <c r="G265" s="5" t="s">
        <v>19</v>
      </c>
      <c r="H265" s="5">
        <v>60</v>
      </c>
      <c r="I265" s="5">
        <v>901</v>
      </c>
      <c r="J265" s="5">
        <v>1148</v>
      </c>
      <c r="K265" s="6">
        <f t="shared" si="16"/>
        <v>54060</v>
      </c>
      <c r="L265" s="6">
        <f t="shared" si="17"/>
        <v>68880</v>
      </c>
      <c r="M265" s="6">
        <f t="shared" si="18"/>
        <v>14820</v>
      </c>
      <c r="N265" s="6" t="str">
        <f t="shared" si="19"/>
        <v>profit</v>
      </c>
    </row>
    <row r="266" spans="1:14" ht="15.6" thickTop="1" thickBot="1" x14ac:dyDescent="0.35">
      <c r="A266" s="4">
        <v>45597</v>
      </c>
      <c r="B266" s="4" t="s">
        <v>161</v>
      </c>
      <c r="C266" s="5" t="s">
        <v>207</v>
      </c>
      <c r="D266" s="5" t="s">
        <v>46</v>
      </c>
      <c r="E266" s="5" t="s">
        <v>47</v>
      </c>
      <c r="F266" s="5" t="s">
        <v>21</v>
      </c>
      <c r="G266" s="5" t="s">
        <v>28</v>
      </c>
      <c r="H266" s="5">
        <v>26</v>
      </c>
      <c r="I266" s="5">
        <v>726</v>
      </c>
      <c r="J266" s="5">
        <v>1335</v>
      </c>
      <c r="K266" s="6">
        <f t="shared" si="16"/>
        <v>18876</v>
      </c>
      <c r="L266" s="6">
        <f t="shared" si="17"/>
        <v>34710</v>
      </c>
      <c r="M266" s="6">
        <f t="shared" si="18"/>
        <v>15834</v>
      </c>
      <c r="N266" s="6" t="str">
        <f t="shared" si="19"/>
        <v>profit</v>
      </c>
    </row>
    <row r="267" spans="1:14" ht="15.6" thickTop="1" thickBot="1" x14ac:dyDescent="0.35">
      <c r="A267" s="4">
        <v>45648</v>
      </c>
      <c r="B267" s="4" t="s">
        <v>190</v>
      </c>
      <c r="C267" s="5" t="s">
        <v>208</v>
      </c>
      <c r="D267" s="5" t="s">
        <v>33</v>
      </c>
      <c r="E267" s="5" t="s">
        <v>120</v>
      </c>
      <c r="F267" s="5" t="s">
        <v>113</v>
      </c>
      <c r="G267" s="5" t="s">
        <v>19</v>
      </c>
      <c r="H267" s="5">
        <v>50</v>
      </c>
      <c r="I267" s="5">
        <v>749</v>
      </c>
      <c r="J267" s="5">
        <v>1269</v>
      </c>
      <c r="K267" s="6">
        <f t="shared" si="16"/>
        <v>37450</v>
      </c>
      <c r="L267" s="6">
        <f t="shared" si="17"/>
        <v>63450</v>
      </c>
      <c r="M267" s="6">
        <f t="shared" si="18"/>
        <v>26000</v>
      </c>
      <c r="N267" s="6" t="str">
        <f t="shared" si="19"/>
        <v>profit</v>
      </c>
    </row>
    <row r="268" spans="1:14" ht="15.6" thickTop="1" thickBot="1" x14ac:dyDescent="0.35">
      <c r="A268" s="4">
        <v>45598</v>
      </c>
      <c r="B268" s="4" t="s">
        <v>161</v>
      </c>
      <c r="C268" s="5" t="s">
        <v>209</v>
      </c>
      <c r="D268" s="5" t="s">
        <v>46</v>
      </c>
      <c r="E268" s="5" t="s">
        <v>47</v>
      </c>
      <c r="F268" s="5" t="s">
        <v>23</v>
      </c>
      <c r="G268" s="5" t="s">
        <v>28</v>
      </c>
      <c r="H268" s="5">
        <v>29</v>
      </c>
      <c r="I268" s="5">
        <v>510</v>
      </c>
      <c r="J268" s="5">
        <v>1131</v>
      </c>
      <c r="K268" s="6">
        <f t="shared" si="16"/>
        <v>14790</v>
      </c>
      <c r="L268" s="6">
        <f t="shared" si="17"/>
        <v>32799</v>
      </c>
      <c r="M268" s="6">
        <f t="shared" si="18"/>
        <v>18009</v>
      </c>
      <c r="N268" s="6" t="str">
        <f t="shared" si="19"/>
        <v>profit</v>
      </c>
    </row>
    <row r="269" spans="1:14" ht="15.6" thickTop="1" thickBot="1" x14ac:dyDescent="0.35">
      <c r="A269" s="4">
        <v>45599</v>
      </c>
      <c r="B269" s="4" t="s">
        <v>161</v>
      </c>
      <c r="C269" s="5" t="s">
        <v>210</v>
      </c>
      <c r="D269" s="5" t="s">
        <v>46</v>
      </c>
      <c r="E269" s="5" t="s">
        <v>47</v>
      </c>
      <c r="F269" s="5" t="s">
        <v>25</v>
      </c>
      <c r="G269" s="5" t="s">
        <v>19</v>
      </c>
      <c r="H269" s="5">
        <v>27</v>
      </c>
      <c r="I269" s="5">
        <v>752</v>
      </c>
      <c r="J269" s="5">
        <v>1258</v>
      </c>
      <c r="K269" s="6">
        <f t="shared" si="16"/>
        <v>20304</v>
      </c>
      <c r="L269" s="6">
        <f t="shared" si="17"/>
        <v>33966</v>
      </c>
      <c r="M269" s="6">
        <f t="shared" si="18"/>
        <v>13662</v>
      </c>
      <c r="N269" s="6" t="str">
        <f t="shared" si="19"/>
        <v>profit</v>
      </c>
    </row>
    <row r="270" spans="1:14" ht="15.6" thickTop="1" thickBot="1" x14ac:dyDescent="0.35">
      <c r="A270" s="4">
        <v>45600</v>
      </c>
      <c r="B270" s="4" t="s">
        <v>161</v>
      </c>
      <c r="C270" s="5" t="s">
        <v>211</v>
      </c>
      <c r="D270" s="5" t="s">
        <v>46</v>
      </c>
      <c r="E270" s="5" t="s">
        <v>47</v>
      </c>
      <c r="F270" s="5" t="s">
        <v>25</v>
      </c>
      <c r="G270" s="5" t="s">
        <v>19</v>
      </c>
      <c r="H270" s="5">
        <v>28</v>
      </c>
      <c r="I270" s="5">
        <v>924</v>
      </c>
      <c r="J270" s="5">
        <v>847</v>
      </c>
      <c r="K270" s="6">
        <f t="shared" si="16"/>
        <v>25872</v>
      </c>
      <c r="L270" s="6">
        <f t="shared" si="17"/>
        <v>23716</v>
      </c>
      <c r="M270" s="6">
        <f t="shared" si="18"/>
        <v>-2156</v>
      </c>
      <c r="N270" s="6" t="str">
        <f t="shared" si="19"/>
        <v>loss</v>
      </c>
    </row>
    <row r="271" spans="1:14" ht="15.6" thickTop="1" thickBot="1" x14ac:dyDescent="0.35">
      <c r="A271" s="4">
        <v>45601</v>
      </c>
      <c r="B271" s="4" t="s">
        <v>161</v>
      </c>
      <c r="C271" s="5" t="s">
        <v>212</v>
      </c>
      <c r="D271" s="5" t="s">
        <v>46</v>
      </c>
      <c r="E271" s="5" t="s">
        <v>47</v>
      </c>
      <c r="F271" s="5" t="s">
        <v>27</v>
      </c>
      <c r="G271" s="5" t="s">
        <v>19</v>
      </c>
      <c r="H271" s="5">
        <v>26</v>
      </c>
      <c r="I271" s="5">
        <v>643</v>
      </c>
      <c r="J271" s="5">
        <v>1341</v>
      </c>
      <c r="K271" s="6">
        <f t="shared" si="16"/>
        <v>16718</v>
      </c>
      <c r="L271" s="6">
        <f t="shared" si="17"/>
        <v>34866</v>
      </c>
      <c r="M271" s="6">
        <f t="shared" si="18"/>
        <v>18148</v>
      </c>
      <c r="N271" s="6" t="str">
        <f t="shared" si="19"/>
        <v>profit</v>
      </c>
    </row>
    <row r="272" spans="1:14" ht="15.6" thickTop="1" thickBot="1" x14ac:dyDescent="0.35">
      <c r="A272" s="4">
        <v>45653</v>
      </c>
      <c r="B272" s="4" t="s">
        <v>190</v>
      </c>
      <c r="C272" s="5" t="s">
        <v>213</v>
      </c>
      <c r="D272" s="5" t="s">
        <v>33</v>
      </c>
      <c r="E272" s="5" t="s">
        <v>120</v>
      </c>
      <c r="F272" s="5" t="s">
        <v>21</v>
      </c>
      <c r="G272" s="5" t="s">
        <v>28</v>
      </c>
      <c r="H272" s="5">
        <v>59</v>
      </c>
      <c r="I272" s="5">
        <v>774</v>
      </c>
      <c r="J272" s="5">
        <v>1374</v>
      </c>
      <c r="K272" s="6">
        <f t="shared" si="16"/>
        <v>45666</v>
      </c>
      <c r="L272" s="6">
        <f t="shared" si="17"/>
        <v>81066</v>
      </c>
      <c r="M272" s="6">
        <f t="shared" si="18"/>
        <v>35400</v>
      </c>
      <c r="N272" s="6" t="str">
        <f t="shared" si="19"/>
        <v>profit</v>
      </c>
    </row>
    <row r="273" spans="1:14" ht="15.6" thickTop="1" thickBot="1" x14ac:dyDescent="0.35">
      <c r="A273" s="4">
        <v>45609</v>
      </c>
      <c r="B273" s="4" t="s">
        <v>161</v>
      </c>
      <c r="C273" s="5" t="s">
        <v>214</v>
      </c>
      <c r="D273" s="5" t="s">
        <v>46</v>
      </c>
      <c r="E273" s="5" t="s">
        <v>63</v>
      </c>
      <c r="F273" s="5" t="s">
        <v>76</v>
      </c>
      <c r="G273" s="5" t="s">
        <v>28</v>
      </c>
      <c r="H273" s="5">
        <v>23</v>
      </c>
      <c r="I273" s="5">
        <v>584</v>
      </c>
      <c r="J273" s="5">
        <v>1140</v>
      </c>
      <c r="K273" s="6">
        <f t="shared" si="16"/>
        <v>13432</v>
      </c>
      <c r="L273" s="6">
        <f t="shared" si="17"/>
        <v>26220</v>
      </c>
      <c r="M273" s="6">
        <f t="shared" si="18"/>
        <v>12788</v>
      </c>
      <c r="N273" s="6" t="str">
        <f t="shared" si="19"/>
        <v>profit</v>
      </c>
    </row>
    <row r="274" spans="1:14" ht="15.6" thickTop="1" thickBot="1" x14ac:dyDescent="0.35">
      <c r="A274" s="4">
        <v>45611</v>
      </c>
      <c r="B274" s="4" t="s">
        <v>161</v>
      </c>
      <c r="C274" s="5" t="s">
        <v>215</v>
      </c>
      <c r="D274" s="5" t="s">
        <v>46</v>
      </c>
      <c r="E274" s="5" t="s">
        <v>63</v>
      </c>
      <c r="F274" s="5" t="s">
        <v>35</v>
      </c>
      <c r="G274" s="5" t="s">
        <v>28</v>
      </c>
      <c r="H274" s="5">
        <v>21</v>
      </c>
      <c r="I274" s="5">
        <v>608</v>
      </c>
      <c r="J274" s="5">
        <v>983</v>
      </c>
      <c r="K274" s="6">
        <f t="shared" si="16"/>
        <v>12768</v>
      </c>
      <c r="L274" s="6">
        <f t="shared" si="17"/>
        <v>20643</v>
      </c>
      <c r="M274" s="6">
        <f t="shared" si="18"/>
        <v>7875</v>
      </c>
      <c r="N274" s="6" t="str">
        <f t="shared" si="19"/>
        <v>profit</v>
      </c>
    </row>
    <row r="275" spans="1:14" ht="15.6" thickTop="1" thickBot="1" x14ac:dyDescent="0.35">
      <c r="A275" s="4">
        <v>45612</v>
      </c>
      <c r="B275" s="4" t="s">
        <v>161</v>
      </c>
      <c r="C275" s="5" t="s">
        <v>216</v>
      </c>
      <c r="D275" s="5" t="s">
        <v>46</v>
      </c>
      <c r="E275" s="5" t="s">
        <v>63</v>
      </c>
      <c r="F275" s="5" t="s">
        <v>44</v>
      </c>
      <c r="G275" s="5" t="s">
        <v>28</v>
      </c>
      <c r="H275" s="5">
        <v>30</v>
      </c>
      <c r="I275" s="5">
        <v>712</v>
      </c>
      <c r="J275" s="5">
        <v>1311</v>
      </c>
      <c r="K275" s="6">
        <f t="shared" si="16"/>
        <v>21360</v>
      </c>
      <c r="L275" s="6">
        <f t="shared" si="17"/>
        <v>39330</v>
      </c>
      <c r="M275" s="6">
        <f t="shared" si="18"/>
        <v>17970</v>
      </c>
      <c r="N275" s="6" t="str">
        <f t="shared" si="19"/>
        <v>profit</v>
      </c>
    </row>
    <row r="276" spans="1:14" ht="15.6" thickTop="1" thickBot="1" x14ac:dyDescent="0.35">
      <c r="A276" s="4">
        <v>45613</v>
      </c>
      <c r="B276" s="4" t="s">
        <v>161</v>
      </c>
      <c r="C276" s="5" t="s">
        <v>217</v>
      </c>
      <c r="D276" s="5" t="s">
        <v>46</v>
      </c>
      <c r="E276" s="5" t="s">
        <v>63</v>
      </c>
      <c r="F276" s="5" t="s">
        <v>60</v>
      </c>
      <c r="G276" s="5" t="s">
        <v>28</v>
      </c>
      <c r="H276" s="5">
        <v>24</v>
      </c>
      <c r="I276" s="5">
        <v>672</v>
      </c>
      <c r="J276" s="5">
        <v>878</v>
      </c>
      <c r="K276" s="6">
        <f t="shared" si="16"/>
        <v>16128</v>
      </c>
      <c r="L276" s="6">
        <f t="shared" si="17"/>
        <v>21072</v>
      </c>
      <c r="M276" s="6">
        <f t="shared" si="18"/>
        <v>4944</v>
      </c>
      <c r="N276" s="6" t="str">
        <f t="shared" si="19"/>
        <v>profit</v>
      </c>
    </row>
    <row r="277" spans="1:14" ht="15.6" thickTop="1" thickBot="1" x14ac:dyDescent="0.35">
      <c r="A277" s="4">
        <v>45615</v>
      </c>
      <c r="B277" s="4" t="s">
        <v>161</v>
      </c>
      <c r="C277" s="5" t="s">
        <v>218</v>
      </c>
      <c r="D277" s="5" t="s">
        <v>46</v>
      </c>
      <c r="E277" s="5" t="s">
        <v>63</v>
      </c>
      <c r="F277" s="5" t="s">
        <v>39</v>
      </c>
      <c r="G277" s="5" t="s">
        <v>19</v>
      </c>
      <c r="H277" s="5">
        <v>29</v>
      </c>
      <c r="I277" s="5">
        <v>520</v>
      </c>
      <c r="J277" s="5">
        <v>770</v>
      </c>
      <c r="K277" s="6">
        <f t="shared" si="16"/>
        <v>15080</v>
      </c>
      <c r="L277" s="6">
        <f t="shared" si="17"/>
        <v>22330</v>
      </c>
      <c r="M277" s="6">
        <f t="shared" si="18"/>
        <v>7250</v>
      </c>
      <c r="N277" s="6" t="str">
        <f t="shared" si="19"/>
        <v>profit</v>
      </c>
    </row>
    <row r="278" spans="1:14" ht="15.6" thickTop="1" thickBot="1" x14ac:dyDescent="0.35">
      <c r="A278" s="4">
        <v>45617</v>
      </c>
      <c r="B278" s="4" t="s">
        <v>161</v>
      </c>
      <c r="C278" s="5" t="s">
        <v>219</v>
      </c>
      <c r="D278" s="5" t="s">
        <v>46</v>
      </c>
      <c r="E278" s="5" t="s">
        <v>63</v>
      </c>
      <c r="F278" s="5" t="s">
        <v>44</v>
      </c>
      <c r="G278" s="5" t="s">
        <v>28</v>
      </c>
      <c r="H278" s="5">
        <v>28</v>
      </c>
      <c r="I278" s="5">
        <v>884</v>
      </c>
      <c r="J278" s="5">
        <v>1165</v>
      </c>
      <c r="K278" s="6">
        <f t="shared" si="16"/>
        <v>24752</v>
      </c>
      <c r="L278" s="6">
        <f t="shared" si="17"/>
        <v>32620</v>
      </c>
      <c r="M278" s="6">
        <f t="shared" si="18"/>
        <v>7868</v>
      </c>
      <c r="N278" s="6" t="str">
        <f t="shared" si="19"/>
        <v>profit</v>
      </c>
    </row>
    <row r="279" spans="1:14" ht="15.6" thickTop="1" thickBot="1" x14ac:dyDescent="0.35">
      <c r="A279" s="4">
        <v>45660</v>
      </c>
      <c r="B279" s="4" t="s">
        <v>95</v>
      </c>
      <c r="C279" s="5" t="s">
        <v>220</v>
      </c>
      <c r="D279" s="5" t="s">
        <v>16</v>
      </c>
      <c r="E279" s="5" t="s">
        <v>17</v>
      </c>
      <c r="F279" s="5" t="s">
        <v>76</v>
      </c>
      <c r="G279" s="5" t="s">
        <v>19</v>
      </c>
      <c r="H279" s="5">
        <v>11</v>
      </c>
      <c r="I279" s="5">
        <v>562</v>
      </c>
      <c r="J279" s="5">
        <v>800</v>
      </c>
      <c r="K279" s="6">
        <f t="shared" si="16"/>
        <v>6182</v>
      </c>
      <c r="L279" s="6">
        <f t="shared" si="17"/>
        <v>8800</v>
      </c>
      <c r="M279" s="6">
        <f t="shared" si="18"/>
        <v>2618</v>
      </c>
      <c r="N279" s="6" t="str">
        <f t="shared" si="19"/>
        <v>profit</v>
      </c>
    </row>
    <row r="280" spans="1:14" ht="15.6" thickTop="1" thickBot="1" x14ac:dyDescent="0.35">
      <c r="A280" s="4">
        <v>45618</v>
      </c>
      <c r="B280" s="4" t="s">
        <v>161</v>
      </c>
      <c r="C280" s="5" t="s">
        <v>221</v>
      </c>
      <c r="D280" s="5" t="s">
        <v>46</v>
      </c>
      <c r="E280" s="5" t="s">
        <v>63</v>
      </c>
      <c r="F280" s="5" t="s">
        <v>27</v>
      </c>
      <c r="G280" s="5" t="s">
        <v>28</v>
      </c>
      <c r="H280" s="5">
        <v>25</v>
      </c>
      <c r="I280" s="5">
        <v>990</v>
      </c>
      <c r="J280" s="5">
        <v>868</v>
      </c>
      <c r="K280" s="6">
        <f t="shared" si="16"/>
        <v>24750</v>
      </c>
      <c r="L280" s="6">
        <f t="shared" si="17"/>
        <v>21700</v>
      </c>
      <c r="M280" s="6">
        <f t="shared" si="18"/>
        <v>-3050</v>
      </c>
      <c r="N280" s="6" t="str">
        <f t="shared" si="19"/>
        <v>loss</v>
      </c>
    </row>
    <row r="281" spans="1:14" ht="15.6" thickTop="1" thickBot="1" x14ac:dyDescent="0.35">
      <c r="A281" s="4">
        <v>45662</v>
      </c>
      <c r="B281" s="4" t="s">
        <v>95</v>
      </c>
      <c r="C281" s="5" t="s">
        <v>222</v>
      </c>
      <c r="D281" s="5" t="s">
        <v>16</v>
      </c>
      <c r="E281" s="5" t="s">
        <v>17</v>
      </c>
      <c r="F281" s="5" t="s">
        <v>44</v>
      </c>
      <c r="G281" s="5" t="s">
        <v>19</v>
      </c>
      <c r="H281" s="5">
        <v>15</v>
      </c>
      <c r="I281" s="5">
        <v>992</v>
      </c>
      <c r="J281" s="5">
        <v>1404</v>
      </c>
      <c r="K281" s="6">
        <f t="shared" si="16"/>
        <v>14880</v>
      </c>
      <c r="L281" s="6">
        <f t="shared" si="17"/>
        <v>21060</v>
      </c>
      <c r="M281" s="6">
        <f t="shared" si="18"/>
        <v>6180</v>
      </c>
      <c r="N281" s="6" t="str">
        <f t="shared" si="19"/>
        <v>profit</v>
      </c>
    </row>
    <row r="282" spans="1:14" ht="15.6" thickTop="1" thickBot="1" x14ac:dyDescent="0.35">
      <c r="A282" s="4">
        <v>45619</v>
      </c>
      <c r="B282" s="4" t="s">
        <v>161</v>
      </c>
      <c r="C282" s="5" t="s">
        <v>223</v>
      </c>
      <c r="D282" s="5" t="s">
        <v>46</v>
      </c>
      <c r="E282" s="5" t="s">
        <v>63</v>
      </c>
      <c r="F282" s="5" t="s">
        <v>44</v>
      </c>
      <c r="G282" s="5" t="s">
        <v>28</v>
      </c>
      <c r="H282" s="5">
        <v>22</v>
      </c>
      <c r="I282" s="5">
        <v>524</v>
      </c>
      <c r="J282" s="5">
        <v>1156</v>
      </c>
      <c r="K282" s="6">
        <f t="shared" si="16"/>
        <v>11528</v>
      </c>
      <c r="L282" s="6">
        <f t="shared" si="17"/>
        <v>25432</v>
      </c>
      <c r="M282" s="6">
        <f t="shared" si="18"/>
        <v>13904</v>
      </c>
      <c r="N282" s="6" t="str">
        <f t="shared" si="19"/>
        <v>profit</v>
      </c>
    </row>
    <row r="283" spans="1:14" ht="15.6" thickTop="1" thickBot="1" x14ac:dyDescent="0.35">
      <c r="A283" s="4">
        <v>45664</v>
      </c>
      <c r="B283" s="4" t="s">
        <v>95</v>
      </c>
      <c r="C283" s="5" t="s">
        <v>224</v>
      </c>
      <c r="D283" s="5" t="s">
        <v>16</v>
      </c>
      <c r="E283" s="5" t="s">
        <v>17</v>
      </c>
      <c r="F283" s="5" t="s">
        <v>23</v>
      </c>
      <c r="G283" s="5" t="s">
        <v>19</v>
      </c>
      <c r="H283" s="5">
        <v>11</v>
      </c>
      <c r="I283" s="5">
        <v>668</v>
      </c>
      <c r="J283" s="5">
        <v>1096</v>
      </c>
      <c r="K283" s="6">
        <f t="shared" si="16"/>
        <v>7348</v>
      </c>
      <c r="L283" s="6">
        <f t="shared" si="17"/>
        <v>12056</v>
      </c>
      <c r="M283" s="6">
        <f t="shared" si="18"/>
        <v>4708</v>
      </c>
      <c r="N283" s="6" t="str">
        <f t="shared" si="19"/>
        <v>profit</v>
      </c>
    </row>
    <row r="284" spans="1:14" ht="15.6" thickTop="1" thickBot="1" x14ac:dyDescent="0.35">
      <c r="A284" s="4">
        <v>45620</v>
      </c>
      <c r="B284" s="4" t="s">
        <v>161</v>
      </c>
      <c r="C284" s="5" t="s">
        <v>225</v>
      </c>
      <c r="D284" s="5" t="s">
        <v>46</v>
      </c>
      <c r="E284" s="5" t="s">
        <v>63</v>
      </c>
      <c r="F284" s="5" t="s">
        <v>49</v>
      </c>
      <c r="G284" s="5" t="s">
        <v>28</v>
      </c>
      <c r="H284" s="5">
        <v>26</v>
      </c>
      <c r="I284" s="5">
        <v>997</v>
      </c>
      <c r="J284" s="5">
        <v>982</v>
      </c>
      <c r="K284" s="6">
        <f t="shared" si="16"/>
        <v>25922</v>
      </c>
      <c r="L284" s="6">
        <f t="shared" si="17"/>
        <v>25532</v>
      </c>
      <c r="M284" s="6">
        <f t="shared" si="18"/>
        <v>-390</v>
      </c>
      <c r="N284" s="6" t="str">
        <f t="shared" si="19"/>
        <v>loss</v>
      </c>
    </row>
    <row r="285" spans="1:14" ht="15.6" thickTop="1" thickBot="1" x14ac:dyDescent="0.35">
      <c r="A285" s="4">
        <v>45621</v>
      </c>
      <c r="B285" s="4" t="s">
        <v>161</v>
      </c>
      <c r="C285" s="5" t="s">
        <v>226</v>
      </c>
      <c r="D285" s="5" t="s">
        <v>46</v>
      </c>
      <c r="E285" s="5" t="s">
        <v>63</v>
      </c>
      <c r="F285" s="5" t="s">
        <v>27</v>
      </c>
      <c r="G285" s="5" t="s">
        <v>28</v>
      </c>
      <c r="H285" s="5">
        <v>27</v>
      </c>
      <c r="I285" s="5">
        <v>922</v>
      </c>
      <c r="J285" s="5">
        <v>1284</v>
      </c>
      <c r="K285" s="6">
        <f t="shared" si="16"/>
        <v>24894</v>
      </c>
      <c r="L285" s="6">
        <f t="shared" si="17"/>
        <v>34668</v>
      </c>
      <c r="M285" s="6">
        <f t="shared" si="18"/>
        <v>9774</v>
      </c>
      <c r="N285" s="6" t="str">
        <f t="shared" si="19"/>
        <v>profit</v>
      </c>
    </row>
    <row r="286" spans="1:14" ht="15.6" thickTop="1" thickBot="1" x14ac:dyDescent="0.35">
      <c r="A286" s="4">
        <v>45622</v>
      </c>
      <c r="B286" s="4" t="s">
        <v>161</v>
      </c>
      <c r="C286" s="5" t="s">
        <v>227</v>
      </c>
      <c r="D286" s="5" t="s">
        <v>46</v>
      </c>
      <c r="E286" s="5" t="s">
        <v>63</v>
      </c>
      <c r="F286" s="5" t="s">
        <v>52</v>
      </c>
      <c r="G286" s="5" t="s">
        <v>19</v>
      </c>
      <c r="H286" s="5">
        <v>21</v>
      </c>
      <c r="I286" s="5">
        <v>978</v>
      </c>
      <c r="J286" s="5">
        <v>1139</v>
      </c>
      <c r="K286" s="6">
        <f t="shared" si="16"/>
        <v>20538</v>
      </c>
      <c r="L286" s="6">
        <f t="shared" si="17"/>
        <v>23919</v>
      </c>
      <c r="M286" s="6">
        <f t="shared" si="18"/>
        <v>3381</v>
      </c>
      <c r="N286" s="6" t="str">
        <f t="shared" si="19"/>
        <v>profit</v>
      </c>
    </row>
    <row r="287" spans="1:14" ht="15.6" thickTop="1" thickBot="1" x14ac:dyDescent="0.35">
      <c r="A287" s="4">
        <v>45623</v>
      </c>
      <c r="B287" s="4" t="s">
        <v>161</v>
      </c>
      <c r="C287" s="5" t="s">
        <v>228</v>
      </c>
      <c r="D287" s="5" t="s">
        <v>46</v>
      </c>
      <c r="E287" s="5" t="s">
        <v>63</v>
      </c>
      <c r="F287" s="5" t="s">
        <v>54</v>
      </c>
      <c r="G287" s="5" t="s">
        <v>19</v>
      </c>
      <c r="H287" s="5">
        <v>24</v>
      </c>
      <c r="I287" s="5">
        <v>830</v>
      </c>
      <c r="J287" s="5">
        <v>1355</v>
      </c>
      <c r="K287" s="6">
        <f t="shared" si="16"/>
        <v>19920</v>
      </c>
      <c r="L287" s="6">
        <f t="shared" si="17"/>
        <v>32520</v>
      </c>
      <c r="M287" s="6">
        <f t="shared" si="18"/>
        <v>12600</v>
      </c>
      <c r="N287" s="6" t="str">
        <f t="shared" si="19"/>
        <v>profit</v>
      </c>
    </row>
    <row r="288" spans="1:14" ht="15.6" thickTop="1" thickBot="1" x14ac:dyDescent="0.35">
      <c r="A288" s="4">
        <v>45624</v>
      </c>
      <c r="B288" s="4" t="s">
        <v>161</v>
      </c>
      <c r="C288" s="5" t="s">
        <v>229</v>
      </c>
      <c r="D288" s="5" t="s">
        <v>46</v>
      </c>
      <c r="E288" s="5" t="s">
        <v>118</v>
      </c>
      <c r="F288" s="5" t="s">
        <v>35</v>
      </c>
      <c r="G288" s="5" t="s">
        <v>19</v>
      </c>
      <c r="H288" s="5">
        <v>21</v>
      </c>
      <c r="I288" s="5">
        <v>751</v>
      </c>
      <c r="J288" s="5">
        <v>1498</v>
      </c>
      <c r="K288" s="6">
        <f t="shared" si="16"/>
        <v>15771</v>
      </c>
      <c r="L288" s="6">
        <f t="shared" si="17"/>
        <v>31458</v>
      </c>
      <c r="M288" s="6">
        <f t="shared" si="18"/>
        <v>15687</v>
      </c>
      <c r="N288" s="6" t="str">
        <f t="shared" si="19"/>
        <v>profit</v>
      </c>
    </row>
    <row r="289" spans="1:14" ht="15.6" thickTop="1" thickBot="1" x14ac:dyDescent="0.35">
      <c r="A289" s="4">
        <v>45625</v>
      </c>
      <c r="B289" s="4" t="s">
        <v>161</v>
      </c>
      <c r="C289" s="5" t="s">
        <v>230</v>
      </c>
      <c r="D289" s="5" t="s">
        <v>46</v>
      </c>
      <c r="E289" s="5" t="s">
        <v>118</v>
      </c>
      <c r="F289" s="5" t="s">
        <v>39</v>
      </c>
      <c r="G289" s="5" t="s">
        <v>19</v>
      </c>
      <c r="H289" s="5">
        <v>26</v>
      </c>
      <c r="I289" s="5">
        <v>520</v>
      </c>
      <c r="J289" s="5">
        <v>1261</v>
      </c>
      <c r="K289" s="6">
        <f t="shared" si="16"/>
        <v>13520</v>
      </c>
      <c r="L289" s="6">
        <f t="shared" si="17"/>
        <v>32786</v>
      </c>
      <c r="M289" s="6">
        <f t="shared" si="18"/>
        <v>19266</v>
      </c>
      <c r="N289" s="6" t="str">
        <f t="shared" si="19"/>
        <v>profit</v>
      </c>
    </row>
    <row r="290" spans="1:14" ht="15.6" thickTop="1" thickBot="1" x14ac:dyDescent="0.35">
      <c r="A290" s="4">
        <v>45671</v>
      </c>
      <c r="B290" s="4" t="s">
        <v>95</v>
      </c>
      <c r="C290" s="5" t="s">
        <v>231</v>
      </c>
      <c r="D290" s="5" t="s">
        <v>33</v>
      </c>
      <c r="E290" s="5" t="s">
        <v>120</v>
      </c>
      <c r="F290" s="5" t="s">
        <v>60</v>
      </c>
      <c r="G290" s="5" t="s">
        <v>28</v>
      </c>
      <c r="H290" s="5">
        <v>56</v>
      </c>
      <c r="I290" s="5">
        <v>685</v>
      </c>
      <c r="J290" s="5">
        <v>771</v>
      </c>
      <c r="K290" s="6">
        <f t="shared" si="16"/>
        <v>38360</v>
      </c>
      <c r="L290" s="6">
        <f t="shared" si="17"/>
        <v>43176</v>
      </c>
      <c r="M290" s="6">
        <f t="shared" si="18"/>
        <v>4816</v>
      </c>
      <c r="N290" s="6" t="str">
        <f t="shared" si="19"/>
        <v>profit</v>
      </c>
    </row>
    <row r="291" spans="1:14" ht="15.6" thickTop="1" thickBot="1" x14ac:dyDescent="0.35">
      <c r="A291" s="4">
        <v>45627</v>
      </c>
      <c r="B291" s="4" t="s">
        <v>190</v>
      </c>
      <c r="C291" s="5" t="s">
        <v>232</v>
      </c>
      <c r="D291" s="5" t="s">
        <v>46</v>
      </c>
      <c r="E291" s="5" t="s">
        <v>118</v>
      </c>
      <c r="F291" s="5" t="s">
        <v>64</v>
      </c>
      <c r="G291" s="5" t="s">
        <v>19</v>
      </c>
      <c r="H291" s="5">
        <v>21</v>
      </c>
      <c r="I291" s="5">
        <v>605</v>
      </c>
      <c r="J291" s="5">
        <v>1264</v>
      </c>
      <c r="K291" s="6">
        <f t="shared" si="16"/>
        <v>12705</v>
      </c>
      <c r="L291" s="6">
        <f t="shared" si="17"/>
        <v>26544</v>
      </c>
      <c r="M291" s="6">
        <f t="shared" si="18"/>
        <v>13839</v>
      </c>
      <c r="N291" s="6" t="str">
        <f t="shared" si="19"/>
        <v>profit</v>
      </c>
    </row>
    <row r="292" spans="1:14" ht="15.6" thickTop="1" thickBot="1" x14ac:dyDescent="0.35">
      <c r="A292" s="4">
        <v>45628</v>
      </c>
      <c r="B292" s="4" t="s">
        <v>190</v>
      </c>
      <c r="C292" s="5" t="s">
        <v>233</v>
      </c>
      <c r="D292" s="5" t="s">
        <v>46</v>
      </c>
      <c r="E292" s="5" t="s">
        <v>118</v>
      </c>
      <c r="F292" s="5" t="s">
        <v>64</v>
      </c>
      <c r="G292" s="5" t="s">
        <v>19</v>
      </c>
      <c r="H292" s="5">
        <v>20</v>
      </c>
      <c r="I292" s="5">
        <v>666</v>
      </c>
      <c r="J292" s="5">
        <v>1087</v>
      </c>
      <c r="K292" s="6">
        <f t="shared" si="16"/>
        <v>13320</v>
      </c>
      <c r="L292" s="6">
        <f t="shared" si="17"/>
        <v>21740</v>
      </c>
      <c r="M292" s="6">
        <f t="shared" si="18"/>
        <v>8420</v>
      </c>
      <c r="N292" s="6" t="str">
        <f t="shared" si="19"/>
        <v>profit</v>
      </c>
    </row>
    <row r="293" spans="1:14" ht="15.6" thickTop="1" thickBot="1" x14ac:dyDescent="0.35">
      <c r="A293" s="4">
        <v>45630</v>
      </c>
      <c r="B293" s="4" t="s">
        <v>190</v>
      </c>
      <c r="C293" s="5" t="s">
        <v>234</v>
      </c>
      <c r="D293" s="5" t="s">
        <v>46</v>
      </c>
      <c r="E293" s="5" t="s">
        <v>118</v>
      </c>
      <c r="F293" s="5" t="s">
        <v>39</v>
      </c>
      <c r="G293" s="5" t="s">
        <v>28</v>
      </c>
      <c r="H293" s="5">
        <v>23</v>
      </c>
      <c r="I293" s="5">
        <v>632</v>
      </c>
      <c r="J293" s="5">
        <v>762</v>
      </c>
      <c r="K293" s="6">
        <f t="shared" si="16"/>
        <v>14536</v>
      </c>
      <c r="L293" s="6">
        <f t="shared" si="17"/>
        <v>17526</v>
      </c>
      <c r="M293" s="6">
        <f t="shared" si="18"/>
        <v>2990</v>
      </c>
      <c r="N293" s="6" t="str">
        <f t="shared" si="19"/>
        <v>profit</v>
      </c>
    </row>
    <row r="294" spans="1:14" ht="15.6" thickTop="1" thickBot="1" x14ac:dyDescent="0.35">
      <c r="A294" s="4">
        <v>45631</v>
      </c>
      <c r="B294" s="4" t="s">
        <v>190</v>
      </c>
      <c r="C294" s="5" t="s">
        <v>235</v>
      </c>
      <c r="D294" s="5" t="s">
        <v>46</v>
      </c>
      <c r="E294" s="5" t="s">
        <v>118</v>
      </c>
      <c r="F294" s="5" t="s">
        <v>30</v>
      </c>
      <c r="G294" s="5" t="s">
        <v>28</v>
      </c>
      <c r="H294" s="5">
        <v>21</v>
      </c>
      <c r="I294" s="5">
        <v>540</v>
      </c>
      <c r="J294" s="5">
        <v>812</v>
      </c>
      <c r="K294" s="6">
        <f t="shared" si="16"/>
        <v>11340</v>
      </c>
      <c r="L294" s="6">
        <f t="shared" si="17"/>
        <v>17052</v>
      </c>
      <c r="M294" s="6">
        <f t="shared" si="18"/>
        <v>5712</v>
      </c>
      <c r="N294" s="6" t="str">
        <f t="shared" si="19"/>
        <v>profit</v>
      </c>
    </row>
    <row r="295" spans="1:14" ht="15.6" thickTop="1" thickBot="1" x14ac:dyDescent="0.35">
      <c r="A295" s="4">
        <v>45632</v>
      </c>
      <c r="B295" s="4" t="s">
        <v>190</v>
      </c>
      <c r="C295" s="5" t="s">
        <v>236</v>
      </c>
      <c r="D295" s="5" t="s">
        <v>46</v>
      </c>
      <c r="E295" s="5" t="s">
        <v>118</v>
      </c>
      <c r="F295" s="5" t="s">
        <v>113</v>
      </c>
      <c r="G295" s="5" t="s">
        <v>28</v>
      </c>
      <c r="H295" s="5">
        <v>30</v>
      </c>
      <c r="I295" s="5">
        <v>557</v>
      </c>
      <c r="J295" s="5">
        <v>886</v>
      </c>
      <c r="K295" s="6">
        <f t="shared" si="16"/>
        <v>16710</v>
      </c>
      <c r="L295" s="6">
        <f t="shared" si="17"/>
        <v>26580</v>
      </c>
      <c r="M295" s="6">
        <f t="shared" si="18"/>
        <v>9870</v>
      </c>
      <c r="N295" s="6" t="str">
        <f t="shared" si="19"/>
        <v>profit</v>
      </c>
    </row>
    <row r="296" spans="1:14" ht="15.6" thickTop="1" thickBot="1" x14ac:dyDescent="0.35">
      <c r="A296" s="4">
        <v>45677</v>
      </c>
      <c r="B296" s="4" t="s">
        <v>95</v>
      </c>
      <c r="C296" s="5" t="s">
        <v>129</v>
      </c>
      <c r="D296" s="5" t="s">
        <v>16</v>
      </c>
      <c r="E296" s="5" t="s">
        <v>37</v>
      </c>
      <c r="F296" s="5" t="s">
        <v>155</v>
      </c>
      <c r="G296" s="5" t="s">
        <v>19</v>
      </c>
      <c r="H296" s="5">
        <v>20</v>
      </c>
      <c r="I296" s="5">
        <v>803</v>
      </c>
      <c r="J296" s="5">
        <v>941</v>
      </c>
      <c r="K296" s="6">
        <f t="shared" si="16"/>
        <v>16060</v>
      </c>
      <c r="L296" s="6">
        <f t="shared" si="17"/>
        <v>18820</v>
      </c>
      <c r="M296" s="6">
        <f t="shared" si="18"/>
        <v>2760</v>
      </c>
      <c r="N296" s="6" t="str">
        <f t="shared" si="19"/>
        <v>profit</v>
      </c>
    </row>
    <row r="297" spans="1:14" ht="15.6" thickTop="1" thickBot="1" x14ac:dyDescent="0.35">
      <c r="A297" s="4">
        <v>45633</v>
      </c>
      <c r="B297" s="4" t="s">
        <v>190</v>
      </c>
      <c r="C297" s="5" t="s">
        <v>237</v>
      </c>
      <c r="D297" s="5" t="s">
        <v>46</v>
      </c>
      <c r="E297" s="5" t="s">
        <v>118</v>
      </c>
      <c r="F297" s="5" t="s">
        <v>44</v>
      </c>
      <c r="G297" s="5" t="s">
        <v>19</v>
      </c>
      <c r="H297" s="5">
        <v>24</v>
      </c>
      <c r="I297" s="5">
        <v>651</v>
      </c>
      <c r="J297" s="5">
        <v>1386</v>
      </c>
      <c r="K297" s="6">
        <f t="shared" si="16"/>
        <v>15624</v>
      </c>
      <c r="L297" s="6">
        <f t="shared" si="17"/>
        <v>33264</v>
      </c>
      <c r="M297" s="6">
        <f t="shared" si="18"/>
        <v>17640</v>
      </c>
      <c r="N297" s="6" t="str">
        <f t="shared" si="19"/>
        <v>profit</v>
      </c>
    </row>
    <row r="298" spans="1:14" ht="15.6" thickTop="1" thickBot="1" x14ac:dyDescent="0.35">
      <c r="A298" s="4">
        <v>45635</v>
      </c>
      <c r="B298" s="4" t="s">
        <v>190</v>
      </c>
      <c r="C298" s="5" t="s">
        <v>238</v>
      </c>
      <c r="D298" s="5" t="s">
        <v>46</v>
      </c>
      <c r="E298" s="5" t="s">
        <v>118</v>
      </c>
      <c r="F298" s="5" t="s">
        <v>155</v>
      </c>
      <c r="G298" s="5" t="s">
        <v>28</v>
      </c>
      <c r="H298" s="5">
        <v>20</v>
      </c>
      <c r="I298" s="5">
        <v>565</v>
      </c>
      <c r="J298" s="5">
        <v>943</v>
      </c>
      <c r="K298" s="6">
        <f t="shared" si="16"/>
        <v>11300</v>
      </c>
      <c r="L298" s="6">
        <f t="shared" si="17"/>
        <v>18860</v>
      </c>
      <c r="M298" s="6">
        <f t="shared" si="18"/>
        <v>7560</v>
      </c>
      <c r="N298" s="6" t="str">
        <f t="shared" si="19"/>
        <v>profit</v>
      </c>
    </row>
    <row r="299" spans="1:14" ht="15.6" thickTop="1" thickBot="1" x14ac:dyDescent="0.35">
      <c r="A299" s="4">
        <v>45689</v>
      </c>
      <c r="B299" s="4" t="s">
        <v>239</v>
      </c>
      <c r="C299" s="5" t="s">
        <v>240</v>
      </c>
      <c r="D299" s="5" t="s">
        <v>46</v>
      </c>
      <c r="E299" s="5" t="s">
        <v>118</v>
      </c>
      <c r="F299" s="5" t="s">
        <v>44</v>
      </c>
      <c r="G299" s="5" t="s">
        <v>19</v>
      </c>
      <c r="H299" s="5">
        <v>22</v>
      </c>
      <c r="I299" s="5">
        <v>810</v>
      </c>
      <c r="J299" s="5">
        <v>1201</v>
      </c>
      <c r="K299" s="6">
        <f t="shared" si="16"/>
        <v>17820</v>
      </c>
      <c r="L299" s="6">
        <f t="shared" si="17"/>
        <v>26422</v>
      </c>
      <c r="M299" s="6">
        <f t="shared" si="18"/>
        <v>8602</v>
      </c>
      <c r="N299" s="6" t="str">
        <f t="shared" si="19"/>
        <v>profit</v>
      </c>
    </row>
    <row r="300" spans="1:14" ht="15.6" thickTop="1" thickBot="1" x14ac:dyDescent="0.35">
      <c r="A300" s="4">
        <v>45690</v>
      </c>
      <c r="B300" s="4" t="s">
        <v>239</v>
      </c>
      <c r="C300" s="5" t="s">
        <v>241</v>
      </c>
      <c r="D300" s="5" t="s">
        <v>46</v>
      </c>
      <c r="E300" s="5" t="s">
        <v>118</v>
      </c>
      <c r="F300" s="5" t="s">
        <v>153</v>
      </c>
      <c r="G300" s="5" t="s">
        <v>19</v>
      </c>
      <c r="H300" s="5">
        <v>23</v>
      </c>
      <c r="I300" s="5">
        <v>827</v>
      </c>
      <c r="J300" s="5">
        <v>1185</v>
      </c>
      <c r="K300" s="6">
        <f t="shared" si="16"/>
        <v>19021</v>
      </c>
      <c r="L300" s="6">
        <f t="shared" si="17"/>
        <v>27255</v>
      </c>
      <c r="M300" s="6">
        <f t="shared" si="18"/>
        <v>8234</v>
      </c>
      <c r="N300" s="6" t="str">
        <f t="shared" si="19"/>
        <v>profit</v>
      </c>
    </row>
    <row r="301" spans="1:14" ht="15.6" thickTop="1" thickBot="1" x14ac:dyDescent="0.35">
      <c r="A301" s="4">
        <v>45691</v>
      </c>
      <c r="B301" s="4" t="s">
        <v>239</v>
      </c>
      <c r="C301" s="5" t="s">
        <v>242</v>
      </c>
      <c r="D301" s="5" t="s">
        <v>46</v>
      </c>
      <c r="E301" s="5" t="s">
        <v>118</v>
      </c>
      <c r="F301" s="5" t="s">
        <v>155</v>
      </c>
      <c r="G301" s="5" t="s">
        <v>19</v>
      </c>
      <c r="H301" s="5">
        <v>23</v>
      </c>
      <c r="I301" s="5">
        <v>570</v>
      </c>
      <c r="J301" s="5">
        <v>1230</v>
      </c>
      <c r="K301" s="6">
        <f t="shared" si="16"/>
        <v>13110</v>
      </c>
      <c r="L301" s="6">
        <f t="shared" si="17"/>
        <v>28290</v>
      </c>
      <c r="M301" s="6">
        <f t="shared" si="18"/>
        <v>15180</v>
      </c>
      <c r="N301" s="6" t="str">
        <f t="shared" si="19"/>
        <v>profit</v>
      </c>
    </row>
    <row r="302" spans="1:14" ht="15.6" thickTop="1" thickBot="1" x14ac:dyDescent="0.35">
      <c r="A302" s="4">
        <v>45683</v>
      </c>
      <c r="B302" s="4" t="s">
        <v>95</v>
      </c>
      <c r="C302" s="5" t="s">
        <v>243</v>
      </c>
      <c r="D302" s="5" t="s">
        <v>16</v>
      </c>
      <c r="E302" s="5" t="s">
        <v>37</v>
      </c>
      <c r="F302" s="5" t="s">
        <v>27</v>
      </c>
      <c r="G302" s="5" t="s">
        <v>19</v>
      </c>
      <c r="H302" s="5">
        <v>19</v>
      </c>
      <c r="I302" s="5">
        <v>911</v>
      </c>
      <c r="J302" s="5">
        <v>1116</v>
      </c>
      <c r="K302" s="6">
        <f t="shared" si="16"/>
        <v>17309</v>
      </c>
      <c r="L302" s="6">
        <f t="shared" si="17"/>
        <v>21204</v>
      </c>
      <c r="M302" s="6">
        <f t="shared" si="18"/>
        <v>3895</v>
      </c>
      <c r="N302" s="6" t="str">
        <f t="shared" si="19"/>
        <v>profit</v>
      </c>
    </row>
    <row r="303" spans="1:14" ht="15.6" thickTop="1" thickBot="1" x14ac:dyDescent="0.35">
      <c r="A303" s="4">
        <v>45692</v>
      </c>
      <c r="B303" s="4" t="s">
        <v>239</v>
      </c>
      <c r="C303" s="5" t="s">
        <v>244</v>
      </c>
      <c r="D303" s="5" t="s">
        <v>46</v>
      </c>
      <c r="E303" s="5" t="s">
        <v>118</v>
      </c>
      <c r="F303" s="5" t="s">
        <v>18</v>
      </c>
      <c r="G303" s="5" t="s">
        <v>28</v>
      </c>
      <c r="H303" s="5">
        <v>21</v>
      </c>
      <c r="I303" s="5">
        <v>938</v>
      </c>
      <c r="J303" s="5">
        <v>1275</v>
      </c>
      <c r="K303" s="6">
        <f t="shared" si="16"/>
        <v>19698</v>
      </c>
      <c r="L303" s="6">
        <f t="shared" si="17"/>
        <v>26775</v>
      </c>
      <c r="M303" s="6">
        <f t="shared" si="18"/>
        <v>7077</v>
      </c>
      <c r="N303" s="6" t="str">
        <f t="shared" si="19"/>
        <v>profit</v>
      </c>
    </row>
    <row r="304" spans="1:14" ht="15.6" thickTop="1" thickBot="1" x14ac:dyDescent="0.35">
      <c r="A304" s="4">
        <v>45693</v>
      </c>
      <c r="B304" s="4" t="s">
        <v>239</v>
      </c>
      <c r="C304" s="5" t="s">
        <v>245</v>
      </c>
      <c r="D304" s="5" t="s">
        <v>46</v>
      </c>
      <c r="E304" s="5" t="s">
        <v>118</v>
      </c>
      <c r="F304" s="5" t="s">
        <v>21</v>
      </c>
      <c r="G304" s="5" t="s">
        <v>28</v>
      </c>
      <c r="H304" s="5">
        <v>24</v>
      </c>
      <c r="I304" s="5">
        <v>993</v>
      </c>
      <c r="J304" s="5">
        <v>987</v>
      </c>
      <c r="K304" s="6">
        <f t="shared" si="16"/>
        <v>23832</v>
      </c>
      <c r="L304" s="6">
        <f t="shared" si="17"/>
        <v>23688</v>
      </c>
      <c r="M304" s="6">
        <f t="shared" si="18"/>
        <v>-144</v>
      </c>
      <c r="N304" s="6" t="str">
        <f t="shared" si="19"/>
        <v>loss</v>
      </c>
    </row>
    <row r="305" spans="1:14" ht="15.6" thickTop="1" thickBot="1" x14ac:dyDescent="0.35">
      <c r="A305" s="4">
        <v>45694</v>
      </c>
      <c r="B305" s="4" t="s">
        <v>239</v>
      </c>
      <c r="C305" s="5" t="s">
        <v>246</v>
      </c>
      <c r="D305" s="5" t="s">
        <v>46</v>
      </c>
      <c r="E305" s="5" t="s">
        <v>118</v>
      </c>
      <c r="F305" s="5" t="s">
        <v>23</v>
      </c>
      <c r="G305" s="5" t="s">
        <v>28</v>
      </c>
      <c r="H305" s="5">
        <v>20</v>
      </c>
      <c r="I305" s="5">
        <v>534</v>
      </c>
      <c r="J305" s="5">
        <v>1233</v>
      </c>
      <c r="K305" s="6">
        <f t="shared" si="16"/>
        <v>10680</v>
      </c>
      <c r="L305" s="6">
        <f t="shared" si="17"/>
        <v>24660</v>
      </c>
      <c r="M305" s="6">
        <f t="shared" si="18"/>
        <v>13980</v>
      </c>
      <c r="N305" s="6" t="str">
        <f t="shared" si="19"/>
        <v>profit</v>
      </c>
    </row>
    <row r="306" spans="1:14" ht="15.6" thickTop="1" thickBot="1" x14ac:dyDescent="0.35">
      <c r="A306" s="4">
        <v>45687</v>
      </c>
      <c r="B306" s="4" t="s">
        <v>95</v>
      </c>
      <c r="C306" s="5" t="s">
        <v>247</v>
      </c>
      <c r="D306" s="5" t="s">
        <v>16</v>
      </c>
      <c r="E306" s="5" t="s">
        <v>37</v>
      </c>
      <c r="F306" s="5" t="s">
        <v>30</v>
      </c>
      <c r="G306" s="5" t="s">
        <v>28</v>
      </c>
      <c r="H306" s="5">
        <v>10</v>
      </c>
      <c r="I306" s="5">
        <v>911</v>
      </c>
      <c r="J306" s="5">
        <v>1097</v>
      </c>
      <c r="K306" s="6">
        <f t="shared" si="16"/>
        <v>9110</v>
      </c>
      <c r="L306" s="6">
        <f t="shared" si="17"/>
        <v>10970</v>
      </c>
      <c r="M306" s="6">
        <f t="shared" si="18"/>
        <v>1860</v>
      </c>
      <c r="N306" s="6" t="str">
        <f t="shared" si="19"/>
        <v>profit</v>
      </c>
    </row>
    <row r="307" spans="1:14" ht="15.6" thickTop="1" thickBot="1" x14ac:dyDescent="0.35">
      <c r="A307" s="4">
        <v>45695</v>
      </c>
      <c r="B307" s="4" t="s">
        <v>239</v>
      </c>
      <c r="C307" s="5" t="s">
        <v>248</v>
      </c>
      <c r="D307" s="5" t="s">
        <v>46</v>
      </c>
      <c r="E307" s="5" t="s">
        <v>118</v>
      </c>
      <c r="F307" s="5" t="s">
        <v>25</v>
      </c>
      <c r="G307" s="5" t="s">
        <v>28</v>
      </c>
      <c r="H307" s="5">
        <v>23</v>
      </c>
      <c r="I307" s="5">
        <v>761</v>
      </c>
      <c r="J307" s="5">
        <v>901</v>
      </c>
      <c r="K307" s="6">
        <f t="shared" si="16"/>
        <v>17503</v>
      </c>
      <c r="L307" s="6">
        <f t="shared" si="17"/>
        <v>20723</v>
      </c>
      <c r="M307" s="6">
        <f t="shared" si="18"/>
        <v>3220</v>
      </c>
      <c r="N307" s="6" t="str">
        <f t="shared" si="19"/>
        <v>profit</v>
      </c>
    </row>
    <row r="308" spans="1:14" ht="15.6" thickTop="1" thickBot="1" x14ac:dyDescent="0.35">
      <c r="A308" s="4">
        <v>45696</v>
      </c>
      <c r="B308" s="4" t="s">
        <v>239</v>
      </c>
      <c r="C308" s="5" t="s">
        <v>249</v>
      </c>
      <c r="D308" s="5" t="s">
        <v>46</v>
      </c>
      <c r="E308" s="5" t="s">
        <v>118</v>
      </c>
      <c r="F308" s="5" t="s">
        <v>25</v>
      </c>
      <c r="G308" s="5" t="s">
        <v>28</v>
      </c>
      <c r="H308" s="5">
        <v>23</v>
      </c>
      <c r="I308" s="5">
        <v>701</v>
      </c>
      <c r="J308" s="5">
        <v>1322</v>
      </c>
      <c r="K308" s="6">
        <f t="shared" si="16"/>
        <v>16123</v>
      </c>
      <c r="L308" s="6">
        <f t="shared" si="17"/>
        <v>30406</v>
      </c>
      <c r="M308" s="6">
        <f t="shared" si="18"/>
        <v>14283</v>
      </c>
      <c r="N308" s="6" t="str">
        <f t="shared" si="19"/>
        <v>profit</v>
      </c>
    </row>
    <row r="309" spans="1:14" ht="15.6" thickTop="1" thickBot="1" x14ac:dyDescent="0.35">
      <c r="A309" s="4">
        <v>45697</v>
      </c>
      <c r="B309" s="4" t="s">
        <v>239</v>
      </c>
      <c r="C309" s="5" t="s">
        <v>250</v>
      </c>
      <c r="D309" s="5" t="s">
        <v>46</v>
      </c>
      <c r="E309" s="5" t="s">
        <v>118</v>
      </c>
      <c r="F309" s="5" t="s">
        <v>27</v>
      </c>
      <c r="G309" s="5" t="s">
        <v>19</v>
      </c>
      <c r="H309" s="5">
        <v>25</v>
      </c>
      <c r="I309" s="5">
        <v>541</v>
      </c>
      <c r="J309" s="5">
        <v>1090</v>
      </c>
      <c r="K309" s="6">
        <f t="shared" si="16"/>
        <v>13525</v>
      </c>
      <c r="L309" s="6">
        <f t="shared" si="17"/>
        <v>27250</v>
      </c>
      <c r="M309" s="6">
        <f t="shared" si="18"/>
        <v>13725</v>
      </c>
      <c r="N309" s="6" t="str">
        <f t="shared" si="19"/>
        <v>profit</v>
      </c>
    </row>
    <row r="310" spans="1:14" ht="15.6" thickTop="1" thickBot="1" x14ac:dyDescent="0.35">
      <c r="A310" s="4">
        <v>45699</v>
      </c>
      <c r="B310" s="4" t="s">
        <v>239</v>
      </c>
      <c r="C310" s="5" t="s">
        <v>251</v>
      </c>
      <c r="D310" s="5" t="s">
        <v>46</v>
      </c>
      <c r="E310" s="5" t="s">
        <v>118</v>
      </c>
      <c r="F310" s="5" t="s">
        <v>35</v>
      </c>
      <c r="G310" s="5" t="s">
        <v>19</v>
      </c>
      <c r="H310" s="5">
        <v>28</v>
      </c>
      <c r="I310" s="5">
        <v>708</v>
      </c>
      <c r="J310" s="5">
        <v>1358</v>
      </c>
      <c r="K310" s="6">
        <f t="shared" si="16"/>
        <v>19824</v>
      </c>
      <c r="L310" s="6">
        <f t="shared" si="17"/>
        <v>38024</v>
      </c>
      <c r="M310" s="6">
        <f t="shared" si="18"/>
        <v>18200</v>
      </c>
      <c r="N310" s="6" t="str">
        <f t="shared" si="19"/>
        <v>profit</v>
      </c>
    </row>
    <row r="311" spans="1:14" ht="15.6" thickTop="1" thickBot="1" x14ac:dyDescent="0.35">
      <c r="A311" s="4">
        <v>45383</v>
      </c>
      <c r="B311" s="4" t="s">
        <v>31</v>
      </c>
      <c r="C311" s="5" t="s">
        <v>131</v>
      </c>
      <c r="D311" s="5" t="s">
        <v>46</v>
      </c>
      <c r="E311" s="5" t="s">
        <v>47</v>
      </c>
      <c r="F311" s="5" t="s">
        <v>71</v>
      </c>
      <c r="G311" s="5" t="s">
        <v>28</v>
      </c>
      <c r="H311" s="5">
        <v>28</v>
      </c>
      <c r="I311" s="5">
        <v>826</v>
      </c>
      <c r="J311" s="5">
        <v>929</v>
      </c>
      <c r="K311" s="6">
        <f t="shared" si="16"/>
        <v>23128</v>
      </c>
      <c r="L311" s="6">
        <f t="shared" si="17"/>
        <v>26012</v>
      </c>
      <c r="M311" s="6">
        <f t="shared" si="18"/>
        <v>2884</v>
      </c>
      <c r="N311" s="6" t="str">
        <f t="shared" si="19"/>
        <v>profit</v>
      </c>
    </row>
    <row r="312" spans="1:14" ht="15.6" thickTop="1" thickBot="1" x14ac:dyDescent="0.35">
      <c r="A312" s="4">
        <v>45384</v>
      </c>
      <c r="B312" s="4" t="s">
        <v>31</v>
      </c>
      <c r="C312" s="5" t="s">
        <v>132</v>
      </c>
      <c r="D312" s="5" t="s">
        <v>46</v>
      </c>
      <c r="E312" s="5" t="s">
        <v>133</v>
      </c>
      <c r="F312" s="5" t="s">
        <v>44</v>
      </c>
      <c r="G312" s="5" t="s">
        <v>28</v>
      </c>
      <c r="H312" s="5">
        <v>25</v>
      </c>
      <c r="I312" s="5">
        <v>952</v>
      </c>
      <c r="J312" s="5">
        <v>1261</v>
      </c>
      <c r="K312" s="6">
        <f t="shared" si="16"/>
        <v>23800</v>
      </c>
      <c r="L312" s="6">
        <f t="shared" si="17"/>
        <v>31525</v>
      </c>
      <c r="M312" s="6">
        <f t="shared" si="18"/>
        <v>7725</v>
      </c>
      <c r="N312" s="6" t="str">
        <f t="shared" si="19"/>
        <v>profit</v>
      </c>
    </row>
    <row r="313" spans="1:14" ht="15.6" thickTop="1" thickBot="1" x14ac:dyDescent="0.35">
      <c r="A313" s="4">
        <v>45385</v>
      </c>
      <c r="B313" s="4" t="s">
        <v>31</v>
      </c>
      <c r="C313" s="5" t="s">
        <v>134</v>
      </c>
      <c r="D313" s="5" t="s">
        <v>46</v>
      </c>
      <c r="E313" s="5" t="s">
        <v>133</v>
      </c>
      <c r="F313" s="5" t="s">
        <v>25</v>
      </c>
      <c r="G313" s="5" t="s">
        <v>28</v>
      </c>
      <c r="H313" s="5">
        <v>20</v>
      </c>
      <c r="I313" s="5">
        <v>940</v>
      </c>
      <c r="J313" s="5">
        <v>1259</v>
      </c>
      <c r="K313" s="6">
        <f t="shared" si="16"/>
        <v>18800</v>
      </c>
      <c r="L313" s="6">
        <f t="shared" si="17"/>
        <v>25180</v>
      </c>
      <c r="M313" s="6">
        <f t="shared" si="18"/>
        <v>6380</v>
      </c>
      <c r="N313" s="6" t="str">
        <f t="shared" si="19"/>
        <v>profit</v>
      </c>
    </row>
    <row r="314" spans="1:14" ht="15.6" thickTop="1" thickBot="1" x14ac:dyDescent="0.35">
      <c r="A314" s="4">
        <v>45386</v>
      </c>
      <c r="B314" s="4" t="s">
        <v>31</v>
      </c>
      <c r="C314" s="5" t="s">
        <v>136</v>
      </c>
      <c r="D314" s="5" t="s">
        <v>46</v>
      </c>
      <c r="E314" s="5" t="s">
        <v>133</v>
      </c>
      <c r="F314" s="5" t="s">
        <v>64</v>
      </c>
      <c r="G314" s="5" t="s">
        <v>28</v>
      </c>
      <c r="H314" s="5">
        <v>22</v>
      </c>
      <c r="I314" s="5">
        <v>785</v>
      </c>
      <c r="J314" s="5">
        <v>1292</v>
      </c>
      <c r="K314" s="6">
        <f t="shared" si="16"/>
        <v>17270</v>
      </c>
      <c r="L314" s="6">
        <f t="shared" si="17"/>
        <v>28424</v>
      </c>
      <c r="M314" s="6">
        <f t="shared" si="18"/>
        <v>11154</v>
      </c>
      <c r="N314" s="6" t="str">
        <f t="shared" si="19"/>
        <v>profit</v>
      </c>
    </row>
    <row r="315" spans="1:14" ht="15.6" thickTop="1" thickBot="1" x14ac:dyDescent="0.35">
      <c r="A315" s="4">
        <v>45391</v>
      </c>
      <c r="B315" s="4" t="s">
        <v>31</v>
      </c>
      <c r="C315" s="5" t="s">
        <v>137</v>
      </c>
      <c r="D315" s="5" t="s">
        <v>46</v>
      </c>
      <c r="E315" s="5" t="s">
        <v>47</v>
      </c>
      <c r="F315" s="5" t="s">
        <v>60</v>
      </c>
      <c r="G315" s="5" t="s">
        <v>19</v>
      </c>
      <c r="H315" s="5">
        <v>21</v>
      </c>
      <c r="I315" s="5">
        <v>879</v>
      </c>
      <c r="J315" s="5">
        <v>1019</v>
      </c>
      <c r="K315" s="6">
        <f t="shared" si="16"/>
        <v>18459</v>
      </c>
      <c r="L315" s="6">
        <f t="shared" si="17"/>
        <v>21399</v>
      </c>
      <c r="M315" s="6">
        <f t="shared" si="18"/>
        <v>2940</v>
      </c>
      <c r="N315" s="6" t="str">
        <f t="shared" si="19"/>
        <v>profit</v>
      </c>
    </row>
    <row r="316" spans="1:14" ht="15.6" thickTop="1" thickBot="1" x14ac:dyDescent="0.35">
      <c r="A316" s="4">
        <v>45392</v>
      </c>
      <c r="B316" s="4" t="s">
        <v>31</v>
      </c>
      <c r="C316" s="5" t="s">
        <v>138</v>
      </c>
      <c r="D316" s="5" t="s">
        <v>46</v>
      </c>
      <c r="E316" s="5" t="s">
        <v>47</v>
      </c>
      <c r="F316" s="5" t="s">
        <v>35</v>
      </c>
      <c r="G316" s="5" t="s">
        <v>19</v>
      </c>
      <c r="H316" s="5">
        <v>28</v>
      </c>
      <c r="I316" s="5">
        <v>937</v>
      </c>
      <c r="J316" s="5">
        <v>872</v>
      </c>
      <c r="K316" s="6">
        <f t="shared" si="16"/>
        <v>26236</v>
      </c>
      <c r="L316" s="6">
        <f t="shared" si="17"/>
        <v>24416</v>
      </c>
      <c r="M316" s="6">
        <f t="shared" si="18"/>
        <v>-1820</v>
      </c>
      <c r="N316" s="6" t="str">
        <f t="shared" si="19"/>
        <v>loss</v>
      </c>
    </row>
    <row r="317" spans="1:14" ht="15.6" thickTop="1" thickBot="1" x14ac:dyDescent="0.35">
      <c r="A317" s="4">
        <v>45698</v>
      </c>
      <c r="B317" s="4" t="s">
        <v>239</v>
      </c>
      <c r="C317" s="5" t="s">
        <v>252</v>
      </c>
      <c r="D317" s="5" t="s">
        <v>46</v>
      </c>
      <c r="E317" s="5" t="s">
        <v>118</v>
      </c>
      <c r="F317" s="5" t="s">
        <v>30</v>
      </c>
      <c r="G317" s="5" t="s">
        <v>19</v>
      </c>
      <c r="H317" s="5">
        <v>26</v>
      </c>
      <c r="I317" s="5">
        <v>751</v>
      </c>
      <c r="J317" s="5">
        <v>1292</v>
      </c>
      <c r="K317" s="6">
        <f t="shared" si="16"/>
        <v>19526</v>
      </c>
      <c r="L317" s="6">
        <f t="shared" si="17"/>
        <v>33592</v>
      </c>
      <c r="M317" s="6">
        <f t="shared" si="18"/>
        <v>14066</v>
      </c>
      <c r="N317" s="6" t="str">
        <f t="shared" si="19"/>
        <v>profit</v>
      </c>
    </row>
    <row r="318" spans="1:14" ht="15.6" thickTop="1" thickBot="1" x14ac:dyDescent="0.35">
      <c r="A318" s="4">
        <v>45393</v>
      </c>
      <c r="B318" s="4" t="s">
        <v>31</v>
      </c>
      <c r="C318" s="5" t="s">
        <v>139</v>
      </c>
      <c r="D318" s="5" t="s">
        <v>46</v>
      </c>
      <c r="E318" s="5" t="s">
        <v>47</v>
      </c>
      <c r="F318" s="5" t="s">
        <v>39</v>
      </c>
      <c r="G318" s="5" t="s">
        <v>19</v>
      </c>
      <c r="H318" s="5">
        <v>22</v>
      </c>
      <c r="I318" s="5">
        <v>832</v>
      </c>
      <c r="J318" s="5">
        <v>769</v>
      </c>
      <c r="K318" s="6">
        <f t="shared" si="16"/>
        <v>18304</v>
      </c>
      <c r="L318" s="6">
        <f t="shared" si="17"/>
        <v>16918</v>
      </c>
      <c r="M318" s="6">
        <f t="shared" si="18"/>
        <v>-1386</v>
      </c>
      <c r="N318" s="6" t="str">
        <f t="shared" si="19"/>
        <v>loss</v>
      </c>
    </row>
    <row r="319" spans="1:14" ht="15.6" thickTop="1" thickBot="1" x14ac:dyDescent="0.35">
      <c r="A319" s="4">
        <v>45394</v>
      </c>
      <c r="B319" s="4" t="s">
        <v>31</v>
      </c>
      <c r="C319" s="5" t="s">
        <v>141</v>
      </c>
      <c r="D319" s="5" t="s">
        <v>46</v>
      </c>
      <c r="E319" s="5" t="s">
        <v>47</v>
      </c>
      <c r="F319" s="5" t="s">
        <v>39</v>
      </c>
      <c r="G319" s="5" t="s">
        <v>19</v>
      </c>
      <c r="H319" s="5">
        <v>28</v>
      </c>
      <c r="I319" s="5">
        <v>832</v>
      </c>
      <c r="J319" s="5">
        <v>1028</v>
      </c>
      <c r="K319" s="6">
        <f t="shared" si="16"/>
        <v>23296</v>
      </c>
      <c r="L319" s="6">
        <f t="shared" si="17"/>
        <v>28784</v>
      </c>
      <c r="M319" s="6">
        <f t="shared" si="18"/>
        <v>5488</v>
      </c>
      <c r="N319" s="6" t="str">
        <f t="shared" si="19"/>
        <v>profit</v>
      </c>
    </row>
    <row r="320" spans="1:14" ht="15.6" thickTop="1" thickBot="1" x14ac:dyDescent="0.35">
      <c r="A320" s="4">
        <v>45396</v>
      </c>
      <c r="B320" s="4" t="s">
        <v>31</v>
      </c>
      <c r="C320" s="5" t="s">
        <v>142</v>
      </c>
      <c r="D320" s="5" t="s">
        <v>46</v>
      </c>
      <c r="E320" s="5" t="s">
        <v>47</v>
      </c>
      <c r="F320" s="5" t="s">
        <v>27</v>
      </c>
      <c r="G320" s="5" t="s">
        <v>19</v>
      </c>
      <c r="H320" s="5">
        <v>22</v>
      </c>
      <c r="I320" s="5">
        <v>622</v>
      </c>
      <c r="J320" s="5">
        <v>822</v>
      </c>
      <c r="K320" s="6">
        <f t="shared" si="16"/>
        <v>13684</v>
      </c>
      <c r="L320" s="6">
        <f t="shared" si="17"/>
        <v>18084</v>
      </c>
      <c r="M320" s="6">
        <f t="shared" si="18"/>
        <v>4400</v>
      </c>
      <c r="N320" s="6" t="str">
        <f t="shared" si="19"/>
        <v>profit</v>
      </c>
    </row>
    <row r="321" spans="1:14" ht="15.6" thickTop="1" thickBot="1" x14ac:dyDescent="0.35">
      <c r="A321" s="4">
        <v>45702</v>
      </c>
      <c r="B321" s="4" t="s">
        <v>239</v>
      </c>
      <c r="C321" s="5" t="s">
        <v>253</v>
      </c>
      <c r="D321" s="5" t="s">
        <v>33</v>
      </c>
      <c r="E321" s="5" t="s">
        <v>99</v>
      </c>
      <c r="F321" s="5" t="s">
        <v>64</v>
      </c>
      <c r="G321" s="5" t="s">
        <v>19</v>
      </c>
      <c r="H321" s="5">
        <v>55</v>
      </c>
      <c r="I321" s="5">
        <v>856</v>
      </c>
      <c r="J321" s="5">
        <v>756</v>
      </c>
      <c r="K321" s="6">
        <f t="shared" si="16"/>
        <v>47080</v>
      </c>
      <c r="L321" s="6">
        <f t="shared" si="17"/>
        <v>41580</v>
      </c>
      <c r="M321" s="6">
        <f t="shared" si="18"/>
        <v>-5500</v>
      </c>
      <c r="N321" s="6" t="str">
        <f t="shared" si="19"/>
        <v>loss</v>
      </c>
    </row>
    <row r="322" spans="1:14" ht="15.6" thickTop="1" thickBot="1" x14ac:dyDescent="0.35">
      <c r="A322" s="4">
        <v>45404</v>
      </c>
      <c r="B322" s="4" t="s">
        <v>31</v>
      </c>
      <c r="C322" s="5" t="s">
        <v>144</v>
      </c>
      <c r="D322" s="5" t="s">
        <v>46</v>
      </c>
      <c r="E322" s="5" t="s">
        <v>63</v>
      </c>
      <c r="F322" s="5" t="s">
        <v>39</v>
      </c>
      <c r="G322" s="5" t="s">
        <v>28</v>
      </c>
      <c r="H322" s="5">
        <v>23</v>
      </c>
      <c r="I322" s="5">
        <v>663</v>
      </c>
      <c r="J322" s="5">
        <v>1153</v>
      </c>
      <c r="K322" s="6">
        <f t="shared" ref="K322:K385" si="20">H322*I322</f>
        <v>15249</v>
      </c>
      <c r="L322" s="6">
        <f t="shared" ref="L322:L385" si="21">H322*J322</f>
        <v>26519</v>
      </c>
      <c r="M322" s="6">
        <f t="shared" ref="M322:M385" si="22">L322-K322</f>
        <v>11270</v>
      </c>
      <c r="N322" s="6" t="str">
        <f t="shared" ref="N322:N385" si="23">IF(M322&gt;0,"profit","loss")</f>
        <v>profit</v>
      </c>
    </row>
    <row r="323" spans="1:14" ht="15.6" thickTop="1" thickBot="1" x14ac:dyDescent="0.35">
      <c r="A323" s="4">
        <v>45406</v>
      </c>
      <c r="B323" s="4" t="s">
        <v>31</v>
      </c>
      <c r="C323" s="5" t="s">
        <v>146</v>
      </c>
      <c r="D323" s="5" t="s">
        <v>46</v>
      </c>
      <c r="E323" s="5" t="s">
        <v>63</v>
      </c>
      <c r="F323" s="5" t="s">
        <v>64</v>
      </c>
      <c r="G323" s="5" t="s">
        <v>28</v>
      </c>
      <c r="H323" s="5">
        <v>23</v>
      </c>
      <c r="I323" s="5">
        <v>779</v>
      </c>
      <c r="J323" s="5">
        <v>1415</v>
      </c>
      <c r="K323" s="6">
        <f t="shared" si="20"/>
        <v>17917</v>
      </c>
      <c r="L323" s="6">
        <f t="shared" si="21"/>
        <v>32545</v>
      </c>
      <c r="M323" s="6">
        <f t="shared" si="22"/>
        <v>14628</v>
      </c>
      <c r="N323" s="6" t="str">
        <f t="shared" si="23"/>
        <v>profit</v>
      </c>
    </row>
    <row r="324" spans="1:14" ht="15.6" thickTop="1" thickBot="1" x14ac:dyDescent="0.35">
      <c r="A324" s="4">
        <v>45408</v>
      </c>
      <c r="B324" s="4" t="s">
        <v>31</v>
      </c>
      <c r="C324" s="5" t="s">
        <v>148</v>
      </c>
      <c r="D324" s="5" t="s">
        <v>46</v>
      </c>
      <c r="E324" s="5" t="s">
        <v>63</v>
      </c>
      <c r="F324" s="5" t="s">
        <v>39</v>
      </c>
      <c r="G324" s="5" t="s">
        <v>19</v>
      </c>
      <c r="H324" s="5">
        <v>29</v>
      </c>
      <c r="I324" s="5">
        <v>952</v>
      </c>
      <c r="J324" s="5">
        <v>1428</v>
      </c>
      <c r="K324" s="6">
        <f t="shared" si="20"/>
        <v>27608</v>
      </c>
      <c r="L324" s="6">
        <f t="shared" si="21"/>
        <v>41412</v>
      </c>
      <c r="M324" s="6">
        <f t="shared" si="22"/>
        <v>13804</v>
      </c>
      <c r="N324" s="6" t="str">
        <f t="shared" si="23"/>
        <v>profit</v>
      </c>
    </row>
    <row r="325" spans="1:14" ht="15.6" thickTop="1" thickBot="1" x14ac:dyDescent="0.35">
      <c r="A325" s="4">
        <v>45409</v>
      </c>
      <c r="B325" s="4" t="s">
        <v>31</v>
      </c>
      <c r="C325" s="5" t="s">
        <v>149</v>
      </c>
      <c r="D325" s="5" t="s">
        <v>46</v>
      </c>
      <c r="E325" s="5" t="s">
        <v>63</v>
      </c>
      <c r="F325" s="5" t="s">
        <v>30</v>
      </c>
      <c r="G325" s="5" t="s">
        <v>19</v>
      </c>
      <c r="H325" s="5">
        <v>26</v>
      </c>
      <c r="I325" s="5">
        <v>983</v>
      </c>
      <c r="J325" s="5">
        <v>1270</v>
      </c>
      <c r="K325" s="6">
        <f t="shared" si="20"/>
        <v>25558</v>
      </c>
      <c r="L325" s="6">
        <f t="shared" si="21"/>
        <v>33020</v>
      </c>
      <c r="M325" s="6">
        <f t="shared" si="22"/>
        <v>7462</v>
      </c>
      <c r="N325" s="6" t="str">
        <f t="shared" si="23"/>
        <v>profit</v>
      </c>
    </row>
    <row r="326" spans="1:14" ht="15.6" thickTop="1" thickBot="1" x14ac:dyDescent="0.35">
      <c r="A326" s="4">
        <v>45410</v>
      </c>
      <c r="B326" s="4" t="s">
        <v>31</v>
      </c>
      <c r="C326" s="5" t="s">
        <v>150</v>
      </c>
      <c r="D326" s="5" t="s">
        <v>46</v>
      </c>
      <c r="E326" s="5" t="s">
        <v>63</v>
      </c>
      <c r="F326" s="5" t="s">
        <v>113</v>
      </c>
      <c r="G326" s="5" t="s">
        <v>19</v>
      </c>
      <c r="H326" s="5">
        <v>28</v>
      </c>
      <c r="I326" s="5">
        <v>814</v>
      </c>
      <c r="J326" s="5">
        <v>1343</v>
      </c>
      <c r="K326" s="6">
        <f t="shared" si="20"/>
        <v>22792</v>
      </c>
      <c r="L326" s="6">
        <f t="shared" si="21"/>
        <v>37604</v>
      </c>
      <c r="M326" s="6">
        <f t="shared" si="22"/>
        <v>14812</v>
      </c>
      <c r="N326" s="6" t="str">
        <f t="shared" si="23"/>
        <v>profit</v>
      </c>
    </row>
    <row r="327" spans="1:14" ht="15.6" thickTop="1" thickBot="1" x14ac:dyDescent="0.35">
      <c r="A327" s="4">
        <v>45411</v>
      </c>
      <c r="B327" s="4" t="s">
        <v>31</v>
      </c>
      <c r="C327" s="5" t="s">
        <v>151</v>
      </c>
      <c r="D327" s="5" t="s">
        <v>46</v>
      </c>
      <c r="E327" s="5" t="s">
        <v>63</v>
      </c>
      <c r="F327" s="5" t="s">
        <v>44</v>
      </c>
      <c r="G327" s="5" t="s">
        <v>19</v>
      </c>
      <c r="H327" s="5">
        <v>26</v>
      </c>
      <c r="I327" s="5">
        <v>835</v>
      </c>
      <c r="J327" s="5">
        <v>973</v>
      </c>
      <c r="K327" s="6">
        <f t="shared" si="20"/>
        <v>21710</v>
      </c>
      <c r="L327" s="6">
        <f t="shared" si="21"/>
        <v>25298</v>
      </c>
      <c r="M327" s="6">
        <f t="shared" si="22"/>
        <v>3588</v>
      </c>
      <c r="N327" s="6" t="str">
        <f t="shared" si="23"/>
        <v>profit</v>
      </c>
    </row>
    <row r="328" spans="1:14" ht="15.6" thickTop="1" thickBot="1" x14ac:dyDescent="0.35">
      <c r="A328" s="4">
        <v>45709</v>
      </c>
      <c r="B328" s="4" t="s">
        <v>239</v>
      </c>
      <c r="C328" s="5" t="s">
        <v>254</v>
      </c>
      <c r="D328" s="5" t="s">
        <v>33</v>
      </c>
      <c r="E328" s="5" t="s">
        <v>99</v>
      </c>
      <c r="F328" s="5" t="s">
        <v>153</v>
      </c>
      <c r="G328" s="5" t="s">
        <v>28</v>
      </c>
      <c r="H328" s="5">
        <v>88</v>
      </c>
      <c r="I328" s="5">
        <v>635</v>
      </c>
      <c r="J328" s="5">
        <v>1370</v>
      </c>
      <c r="K328" s="6">
        <f t="shared" si="20"/>
        <v>55880</v>
      </c>
      <c r="L328" s="6">
        <f t="shared" si="21"/>
        <v>120560</v>
      </c>
      <c r="M328" s="6">
        <f t="shared" si="22"/>
        <v>64680</v>
      </c>
      <c r="N328" s="6" t="str">
        <f t="shared" si="23"/>
        <v>profit</v>
      </c>
    </row>
    <row r="329" spans="1:14" ht="15.6" thickTop="1" thickBot="1" x14ac:dyDescent="0.35">
      <c r="A329" s="4">
        <v>45412</v>
      </c>
      <c r="B329" s="4" t="s">
        <v>31</v>
      </c>
      <c r="C329" s="5" t="s">
        <v>152</v>
      </c>
      <c r="D329" s="5" t="s">
        <v>46</v>
      </c>
      <c r="E329" s="5" t="s">
        <v>63</v>
      </c>
      <c r="F329" s="5" t="s">
        <v>153</v>
      </c>
      <c r="G329" s="5" t="s">
        <v>19</v>
      </c>
      <c r="H329" s="5">
        <v>24</v>
      </c>
      <c r="I329" s="5">
        <v>631</v>
      </c>
      <c r="J329" s="5">
        <v>1304</v>
      </c>
      <c r="K329" s="6">
        <f t="shared" si="20"/>
        <v>15144</v>
      </c>
      <c r="L329" s="6">
        <f t="shared" si="21"/>
        <v>31296</v>
      </c>
      <c r="M329" s="6">
        <f t="shared" si="22"/>
        <v>16152</v>
      </c>
      <c r="N329" s="6" t="str">
        <f t="shared" si="23"/>
        <v>profit</v>
      </c>
    </row>
    <row r="330" spans="1:14" ht="15.6" thickTop="1" thickBot="1" x14ac:dyDescent="0.35">
      <c r="A330" s="4">
        <v>45413</v>
      </c>
      <c r="B330" s="4" t="s">
        <v>97</v>
      </c>
      <c r="C330" s="5" t="s">
        <v>154</v>
      </c>
      <c r="D330" s="5" t="s">
        <v>46</v>
      </c>
      <c r="E330" s="5" t="s">
        <v>63</v>
      </c>
      <c r="F330" s="5" t="s">
        <v>155</v>
      </c>
      <c r="G330" s="5" t="s">
        <v>19</v>
      </c>
      <c r="H330" s="5">
        <v>24</v>
      </c>
      <c r="I330" s="5">
        <v>833</v>
      </c>
      <c r="J330" s="5">
        <v>1280</v>
      </c>
      <c r="K330" s="6">
        <f t="shared" si="20"/>
        <v>19992</v>
      </c>
      <c r="L330" s="6">
        <f t="shared" si="21"/>
        <v>30720</v>
      </c>
      <c r="M330" s="6">
        <f t="shared" si="22"/>
        <v>10728</v>
      </c>
      <c r="N330" s="6" t="str">
        <f t="shared" si="23"/>
        <v>profit</v>
      </c>
    </row>
    <row r="331" spans="1:14" ht="15.6" thickTop="1" thickBot="1" x14ac:dyDescent="0.35">
      <c r="A331" s="4">
        <v>45414</v>
      </c>
      <c r="B331" s="7" t="s">
        <v>97</v>
      </c>
      <c r="C331" s="8" t="s">
        <v>156</v>
      </c>
      <c r="D331" s="8" t="s">
        <v>46</v>
      </c>
      <c r="E331" s="8" t="s">
        <v>63</v>
      </c>
      <c r="F331" s="8" t="s">
        <v>18</v>
      </c>
      <c r="G331" s="5" t="s">
        <v>28</v>
      </c>
      <c r="H331" s="5">
        <v>21</v>
      </c>
      <c r="I331" s="5">
        <v>680</v>
      </c>
      <c r="J331" s="5">
        <v>1049</v>
      </c>
      <c r="K331" s="6">
        <f t="shared" si="20"/>
        <v>14280</v>
      </c>
      <c r="L331" s="6">
        <f t="shared" si="21"/>
        <v>22029</v>
      </c>
      <c r="M331" s="6">
        <f t="shared" si="22"/>
        <v>7749</v>
      </c>
      <c r="N331" s="6" t="str">
        <f t="shared" si="23"/>
        <v>profit</v>
      </c>
    </row>
    <row r="332" spans="1:14" ht="15.6" thickTop="1" thickBot="1" x14ac:dyDescent="0.35">
      <c r="A332" s="4">
        <v>45415</v>
      </c>
      <c r="B332" s="9" t="s">
        <v>97</v>
      </c>
      <c r="C332" s="10" t="s">
        <v>157</v>
      </c>
      <c r="D332" s="8" t="s">
        <v>46</v>
      </c>
      <c r="E332" s="10" t="s">
        <v>63</v>
      </c>
      <c r="F332" s="8" t="s">
        <v>21</v>
      </c>
      <c r="G332" s="5" t="s">
        <v>28</v>
      </c>
      <c r="H332" s="5">
        <v>23</v>
      </c>
      <c r="I332" s="5">
        <v>667</v>
      </c>
      <c r="J332" s="5">
        <v>962</v>
      </c>
      <c r="K332" s="6">
        <f t="shared" si="20"/>
        <v>15341</v>
      </c>
      <c r="L332" s="6">
        <f t="shared" si="21"/>
        <v>22126</v>
      </c>
      <c r="M332" s="6">
        <f t="shared" si="22"/>
        <v>6785</v>
      </c>
      <c r="N332" s="6" t="str">
        <f t="shared" si="23"/>
        <v>profit</v>
      </c>
    </row>
    <row r="333" spans="1:14" ht="15.6" thickTop="1" thickBot="1" x14ac:dyDescent="0.35">
      <c r="A333" s="4">
        <v>45416</v>
      </c>
      <c r="B333" s="4" t="s">
        <v>97</v>
      </c>
      <c r="C333" s="5" t="s">
        <v>158</v>
      </c>
      <c r="D333" s="5" t="s">
        <v>46</v>
      </c>
      <c r="E333" s="5" t="s">
        <v>63</v>
      </c>
      <c r="F333" s="5" t="s">
        <v>23</v>
      </c>
      <c r="G333" s="5" t="s">
        <v>28</v>
      </c>
      <c r="H333" s="5">
        <v>24</v>
      </c>
      <c r="I333" s="5">
        <v>504</v>
      </c>
      <c r="J333" s="5">
        <v>1283</v>
      </c>
      <c r="K333" s="6">
        <f t="shared" si="20"/>
        <v>12096</v>
      </c>
      <c r="L333" s="6">
        <f t="shared" si="21"/>
        <v>30792</v>
      </c>
      <c r="M333" s="6">
        <f t="shared" si="22"/>
        <v>18696</v>
      </c>
      <c r="N333" s="6" t="str">
        <f t="shared" si="23"/>
        <v>profit</v>
      </c>
    </row>
    <row r="334" spans="1:14" ht="15.6" thickTop="1" thickBot="1" x14ac:dyDescent="0.35">
      <c r="A334" s="4">
        <v>45417</v>
      </c>
      <c r="B334" s="4" t="s">
        <v>97</v>
      </c>
      <c r="C334" s="5" t="s">
        <v>159</v>
      </c>
      <c r="D334" s="5" t="s">
        <v>46</v>
      </c>
      <c r="E334" s="5" t="s">
        <v>63</v>
      </c>
      <c r="F334" s="5" t="s">
        <v>25</v>
      </c>
      <c r="G334" s="5" t="s">
        <v>28</v>
      </c>
      <c r="H334" s="5">
        <v>26</v>
      </c>
      <c r="I334" s="5">
        <v>985</v>
      </c>
      <c r="J334" s="5">
        <v>1407</v>
      </c>
      <c r="K334" s="6">
        <f t="shared" si="20"/>
        <v>25610</v>
      </c>
      <c r="L334" s="6">
        <f t="shared" si="21"/>
        <v>36582</v>
      </c>
      <c r="M334" s="6">
        <f t="shared" si="22"/>
        <v>10972</v>
      </c>
      <c r="N334" s="6" t="str">
        <f t="shared" si="23"/>
        <v>profit</v>
      </c>
    </row>
    <row r="335" spans="1:14" ht="15.6" thickTop="1" thickBot="1" x14ac:dyDescent="0.35">
      <c r="A335" s="4">
        <v>45418</v>
      </c>
      <c r="B335" s="4" t="s">
        <v>97</v>
      </c>
      <c r="C335" s="5" t="s">
        <v>160</v>
      </c>
      <c r="D335" s="5" t="s">
        <v>46</v>
      </c>
      <c r="E335" s="5" t="s">
        <v>63</v>
      </c>
      <c r="F335" s="5" t="s">
        <v>25</v>
      </c>
      <c r="G335" s="5" t="s">
        <v>19</v>
      </c>
      <c r="H335" s="5">
        <v>27</v>
      </c>
      <c r="I335" s="5">
        <v>890</v>
      </c>
      <c r="J335" s="5">
        <v>853</v>
      </c>
      <c r="K335" s="6">
        <f t="shared" si="20"/>
        <v>24030</v>
      </c>
      <c r="L335" s="6">
        <f t="shared" si="21"/>
        <v>23031</v>
      </c>
      <c r="M335" s="6">
        <f t="shared" si="22"/>
        <v>-999</v>
      </c>
      <c r="N335" s="6" t="str">
        <f t="shared" si="23"/>
        <v>loss</v>
      </c>
    </row>
    <row r="336" spans="1:14" ht="15.6" thickTop="1" thickBot="1" x14ac:dyDescent="0.35">
      <c r="A336" s="4">
        <v>45419</v>
      </c>
      <c r="B336" s="4" t="s">
        <v>97</v>
      </c>
      <c r="C336" s="5" t="s">
        <v>164</v>
      </c>
      <c r="D336" s="5" t="s">
        <v>46</v>
      </c>
      <c r="E336" s="5" t="s">
        <v>118</v>
      </c>
      <c r="F336" s="5" t="s">
        <v>27</v>
      </c>
      <c r="G336" s="5" t="s">
        <v>19</v>
      </c>
      <c r="H336" s="5">
        <v>21</v>
      </c>
      <c r="I336" s="5">
        <v>722</v>
      </c>
      <c r="J336" s="5">
        <v>1247</v>
      </c>
      <c r="K336" s="6">
        <f t="shared" si="20"/>
        <v>15162</v>
      </c>
      <c r="L336" s="6">
        <f t="shared" si="21"/>
        <v>26187</v>
      </c>
      <c r="M336" s="6">
        <f t="shared" si="22"/>
        <v>11025</v>
      </c>
      <c r="N336" s="6" t="str">
        <f t="shared" si="23"/>
        <v>profit</v>
      </c>
    </row>
    <row r="337" spans="1:14" ht="15.6" thickTop="1" thickBot="1" x14ac:dyDescent="0.35">
      <c r="A337" s="4">
        <v>45420</v>
      </c>
      <c r="B337" s="4" t="s">
        <v>97</v>
      </c>
      <c r="C337" s="5" t="s">
        <v>165</v>
      </c>
      <c r="D337" s="5" t="s">
        <v>46</v>
      </c>
      <c r="E337" s="5" t="s">
        <v>118</v>
      </c>
      <c r="F337" s="5" t="s">
        <v>30</v>
      </c>
      <c r="G337" s="5" t="s">
        <v>19</v>
      </c>
      <c r="H337" s="5">
        <v>22</v>
      </c>
      <c r="I337" s="5">
        <v>725</v>
      </c>
      <c r="J337" s="5">
        <v>765</v>
      </c>
      <c r="K337" s="6">
        <f t="shared" si="20"/>
        <v>15950</v>
      </c>
      <c r="L337" s="6">
        <f t="shared" si="21"/>
        <v>16830</v>
      </c>
      <c r="M337" s="6">
        <f t="shared" si="22"/>
        <v>880</v>
      </c>
      <c r="N337" s="6" t="str">
        <f t="shared" si="23"/>
        <v>profit</v>
      </c>
    </row>
    <row r="338" spans="1:14" ht="15.6" thickTop="1" thickBot="1" x14ac:dyDescent="0.35">
      <c r="A338" s="4">
        <v>45421</v>
      </c>
      <c r="B338" s="4" t="s">
        <v>97</v>
      </c>
      <c r="C338" s="5" t="s">
        <v>167</v>
      </c>
      <c r="D338" s="5" t="s">
        <v>46</v>
      </c>
      <c r="E338" s="5" t="s">
        <v>118</v>
      </c>
      <c r="F338" s="5" t="s">
        <v>25</v>
      </c>
      <c r="G338" s="5" t="s">
        <v>19</v>
      </c>
      <c r="H338" s="5">
        <v>26</v>
      </c>
      <c r="I338" s="5">
        <v>509</v>
      </c>
      <c r="J338" s="5">
        <v>1120</v>
      </c>
      <c r="K338" s="6">
        <f t="shared" si="20"/>
        <v>13234</v>
      </c>
      <c r="L338" s="6">
        <f t="shared" si="21"/>
        <v>29120</v>
      </c>
      <c r="M338" s="6">
        <f t="shared" si="22"/>
        <v>15886</v>
      </c>
      <c r="N338" s="6" t="str">
        <f t="shared" si="23"/>
        <v>profit</v>
      </c>
    </row>
    <row r="339" spans="1:14" ht="15.6" thickTop="1" thickBot="1" x14ac:dyDescent="0.35">
      <c r="A339" s="4">
        <v>45389</v>
      </c>
      <c r="B339" s="4" t="s">
        <v>31</v>
      </c>
      <c r="C339" s="5" t="s">
        <v>32</v>
      </c>
      <c r="D339" s="5" t="s">
        <v>33</v>
      </c>
      <c r="E339" s="5" t="s">
        <v>34</v>
      </c>
      <c r="F339" s="5" t="s">
        <v>35</v>
      </c>
      <c r="G339" s="5" t="s">
        <v>28</v>
      </c>
      <c r="H339" s="5">
        <v>55</v>
      </c>
      <c r="I339" s="5">
        <v>906</v>
      </c>
      <c r="J339" s="5">
        <v>880</v>
      </c>
      <c r="K339" s="6">
        <f t="shared" si="20"/>
        <v>49830</v>
      </c>
      <c r="L339" s="6">
        <f t="shared" si="21"/>
        <v>48400</v>
      </c>
      <c r="M339" s="6">
        <f t="shared" si="22"/>
        <v>-1430</v>
      </c>
      <c r="N339" s="6" t="str">
        <f t="shared" si="23"/>
        <v>loss</v>
      </c>
    </row>
    <row r="340" spans="1:14" ht="15.6" thickTop="1" thickBot="1" x14ac:dyDescent="0.35">
      <c r="A340" s="4">
        <v>45422</v>
      </c>
      <c r="B340" s="4" t="s">
        <v>97</v>
      </c>
      <c r="C340" s="5" t="s">
        <v>168</v>
      </c>
      <c r="D340" s="5" t="s">
        <v>46</v>
      </c>
      <c r="E340" s="5" t="s">
        <v>118</v>
      </c>
      <c r="F340" s="5" t="s">
        <v>76</v>
      </c>
      <c r="G340" s="5" t="s">
        <v>19</v>
      </c>
      <c r="H340" s="5">
        <v>28</v>
      </c>
      <c r="I340" s="5">
        <v>905</v>
      </c>
      <c r="J340" s="5">
        <v>958</v>
      </c>
      <c r="K340" s="6">
        <f t="shared" si="20"/>
        <v>25340</v>
      </c>
      <c r="L340" s="6">
        <f t="shared" si="21"/>
        <v>26824</v>
      </c>
      <c r="M340" s="6">
        <f t="shared" si="22"/>
        <v>1484</v>
      </c>
      <c r="N340" s="6" t="str">
        <f t="shared" si="23"/>
        <v>profit</v>
      </c>
    </row>
    <row r="341" spans="1:14" ht="15.6" thickTop="1" thickBot="1" x14ac:dyDescent="0.35">
      <c r="A341" s="4">
        <v>45423</v>
      </c>
      <c r="B341" s="4" t="s">
        <v>97</v>
      </c>
      <c r="C341" s="5" t="s">
        <v>169</v>
      </c>
      <c r="D341" s="5" t="s">
        <v>46</v>
      </c>
      <c r="E341" s="5" t="s">
        <v>118</v>
      </c>
      <c r="F341" s="5" t="s">
        <v>71</v>
      </c>
      <c r="G341" s="5" t="s">
        <v>19</v>
      </c>
      <c r="H341" s="5">
        <v>22</v>
      </c>
      <c r="I341" s="5">
        <v>866</v>
      </c>
      <c r="J341" s="5">
        <v>1453</v>
      </c>
      <c r="K341" s="6">
        <f t="shared" si="20"/>
        <v>19052</v>
      </c>
      <c r="L341" s="6">
        <f t="shared" si="21"/>
        <v>31966</v>
      </c>
      <c r="M341" s="6">
        <f t="shared" si="22"/>
        <v>12914</v>
      </c>
      <c r="N341" s="6" t="str">
        <f t="shared" si="23"/>
        <v>profit</v>
      </c>
    </row>
    <row r="342" spans="1:14" ht="15.6" thickTop="1" thickBot="1" x14ac:dyDescent="0.35">
      <c r="A342" s="4">
        <v>45424</v>
      </c>
      <c r="B342" s="4" t="s">
        <v>97</v>
      </c>
      <c r="C342" s="5" t="s">
        <v>170</v>
      </c>
      <c r="D342" s="5" t="s">
        <v>46</v>
      </c>
      <c r="E342" s="5" t="s">
        <v>118</v>
      </c>
      <c r="F342" s="5" t="s">
        <v>44</v>
      </c>
      <c r="G342" s="5" t="s">
        <v>19</v>
      </c>
      <c r="H342" s="5">
        <v>23</v>
      </c>
      <c r="I342" s="5">
        <v>816</v>
      </c>
      <c r="J342" s="5">
        <v>1273</v>
      </c>
      <c r="K342" s="6">
        <f t="shared" si="20"/>
        <v>18768</v>
      </c>
      <c r="L342" s="6">
        <f t="shared" si="21"/>
        <v>29279</v>
      </c>
      <c r="M342" s="6">
        <f t="shared" si="22"/>
        <v>10511</v>
      </c>
      <c r="N342" s="6" t="str">
        <f t="shared" si="23"/>
        <v>profit</v>
      </c>
    </row>
    <row r="343" spans="1:14" ht="15.6" thickTop="1" thickBot="1" x14ac:dyDescent="0.35">
      <c r="A343" s="4">
        <v>45425</v>
      </c>
      <c r="B343" s="4" t="s">
        <v>97</v>
      </c>
      <c r="C343" s="5" t="s">
        <v>172</v>
      </c>
      <c r="D343" s="5" t="s">
        <v>46</v>
      </c>
      <c r="E343" s="5" t="s">
        <v>118</v>
      </c>
      <c r="F343" s="5" t="s">
        <v>25</v>
      </c>
      <c r="G343" s="5" t="s">
        <v>19</v>
      </c>
      <c r="H343" s="5">
        <v>30</v>
      </c>
      <c r="I343" s="5">
        <v>738</v>
      </c>
      <c r="J343" s="5">
        <v>1216</v>
      </c>
      <c r="K343" s="6">
        <f t="shared" si="20"/>
        <v>22140</v>
      </c>
      <c r="L343" s="6">
        <f t="shared" si="21"/>
        <v>36480</v>
      </c>
      <c r="M343" s="6">
        <f t="shared" si="22"/>
        <v>14340</v>
      </c>
      <c r="N343" s="6" t="str">
        <f t="shared" si="23"/>
        <v>profit</v>
      </c>
    </row>
    <row r="344" spans="1:14" ht="15.6" thickTop="1" thickBot="1" x14ac:dyDescent="0.35">
      <c r="A344" s="4">
        <v>45426</v>
      </c>
      <c r="B344" s="4" t="s">
        <v>97</v>
      </c>
      <c r="C344" s="5" t="s">
        <v>173</v>
      </c>
      <c r="D344" s="5" t="s">
        <v>46</v>
      </c>
      <c r="E344" s="5" t="s">
        <v>118</v>
      </c>
      <c r="F344" s="5" t="s">
        <v>64</v>
      </c>
      <c r="G344" s="5" t="s">
        <v>19</v>
      </c>
      <c r="H344" s="5">
        <v>24</v>
      </c>
      <c r="I344" s="5">
        <v>653</v>
      </c>
      <c r="J344" s="5">
        <v>1293</v>
      </c>
      <c r="K344" s="6">
        <f t="shared" si="20"/>
        <v>15672</v>
      </c>
      <c r="L344" s="6">
        <f t="shared" si="21"/>
        <v>31032</v>
      </c>
      <c r="M344" s="6">
        <f t="shared" si="22"/>
        <v>15360</v>
      </c>
      <c r="N344" s="6" t="str">
        <f t="shared" si="23"/>
        <v>profit</v>
      </c>
    </row>
    <row r="345" spans="1:14" ht="15.6" thickTop="1" thickBot="1" x14ac:dyDescent="0.35">
      <c r="A345" s="4">
        <v>45395</v>
      </c>
      <c r="B345" s="4" t="s">
        <v>31</v>
      </c>
      <c r="C345" s="5" t="s">
        <v>45</v>
      </c>
      <c r="D345" s="5" t="s">
        <v>46</v>
      </c>
      <c r="E345" s="5" t="s">
        <v>47</v>
      </c>
      <c r="F345" s="5" t="s">
        <v>44</v>
      </c>
      <c r="G345" s="5" t="s">
        <v>19</v>
      </c>
      <c r="H345" s="5">
        <v>22</v>
      </c>
      <c r="I345" s="5">
        <v>692</v>
      </c>
      <c r="J345" s="5">
        <v>906</v>
      </c>
      <c r="K345" s="6">
        <f t="shared" si="20"/>
        <v>15224</v>
      </c>
      <c r="L345" s="6">
        <f t="shared" si="21"/>
        <v>19932</v>
      </c>
      <c r="M345" s="6">
        <f t="shared" si="22"/>
        <v>4708</v>
      </c>
      <c r="N345" s="6" t="str">
        <f t="shared" si="23"/>
        <v>profit</v>
      </c>
    </row>
    <row r="346" spans="1:14" ht="15.6" thickTop="1" thickBot="1" x14ac:dyDescent="0.35">
      <c r="A346" s="4">
        <v>45427</v>
      </c>
      <c r="B346" s="4" t="s">
        <v>97</v>
      </c>
      <c r="C346" s="5" t="s">
        <v>174</v>
      </c>
      <c r="D346" s="5" t="s">
        <v>46</v>
      </c>
      <c r="E346" s="5" t="s">
        <v>118</v>
      </c>
      <c r="F346" s="5" t="s">
        <v>76</v>
      </c>
      <c r="G346" s="5" t="s">
        <v>19</v>
      </c>
      <c r="H346" s="5">
        <v>30</v>
      </c>
      <c r="I346" s="5">
        <v>583</v>
      </c>
      <c r="J346" s="5">
        <v>1500</v>
      </c>
      <c r="K346" s="6">
        <f t="shared" si="20"/>
        <v>17490</v>
      </c>
      <c r="L346" s="6">
        <f t="shared" si="21"/>
        <v>45000</v>
      </c>
      <c r="M346" s="6">
        <f t="shared" si="22"/>
        <v>27510</v>
      </c>
      <c r="N346" s="6" t="str">
        <f t="shared" si="23"/>
        <v>profit</v>
      </c>
    </row>
    <row r="347" spans="1:14" ht="15.6" thickTop="1" thickBot="1" x14ac:dyDescent="0.35">
      <c r="A347" s="4">
        <v>45428</v>
      </c>
      <c r="B347" s="4" t="s">
        <v>97</v>
      </c>
      <c r="C347" s="5" t="s">
        <v>176</v>
      </c>
      <c r="D347" s="5" t="s">
        <v>46</v>
      </c>
      <c r="E347" s="5" t="s">
        <v>118</v>
      </c>
      <c r="F347" s="5" t="s">
        <v>78</v>
      </c>
      <c r="G347" s="5" t="s">
        <v>28</v>
      </c>
      <c r="H347" s="5">
        <v>26</v>
      </c>
      <c r="I347" s="5">
        <v>1000</v>
      </c>
      <c r="J347" s="5">
        <v>765</v>
      </c>
      <c r="K347" s="6">
        <f t="shared" si="20"/>
        <v>26000</v>
      </c>
      <c r="L347" s="6">
        <f t="shared" si="21"/>
        <v>19890</v>
      </c>
      <c r="M347" s="6">
        <f t="shared" si="22"/>
        <v>-6110</v>
      </c>
      <c r="N347" s="6" t="str">
        <f t="shared" si="23"/>
        <v>loss</v>
      </c>
    </row>
    <row r="348" spans="1:14" ht="15.6" thickTop="1" thickBot="1" x14ac:dyDescent="0.35">
      <c r="A348" s="4">
        <v>45429</v>
      </c>
      <c r="B348" s="4" t="s">
        <v>97</v>
      </c>
      <c r="C348" s="5" t="s">
        <v>178</v>
      </c>
      <c r="D348" s="5" t="s">
        <v>46</v>
      </c>
      <c r="E348" s="5" t="s">
        <v>118</v>
      </c>
      <c r="F348" s="5" t="s">
        <v>35</v>
      </c>
      <c r="G348" s="5" t="s">
        <v>28</v>
      </c>
      <c r="H348" s="5">
        <v>27</v>
      </c>
      <c r="I348" s="5">
        <v>913</v>
      </c>
      <c r="J348" s="5">
        <v>1197</v>
      </c>
      <c r="K348" s="6">
        <f t="shared" si="20"/>
        <v>24651</v>
      </c>
      <c r="L348" s="6">
        <f t="shared" si="21"/>
        <v>32319</v>
      </c>
      <c r="M348" s="6">
        <f t="shared" si="22"/>
        <v>7668</v>
      </c>
      <c r="N348" s="6" t="str">
        <f t="shared" si="23"/>
        <v>profit</v>
      </c>
    </row>
    <row r="349" spans="1:14" ht="15.6" thickTop="1" thickBot="1" x14ac:dyDescent="0.35">
      <c r="A349" s="4">
        <v>45430</v>
      </c>
      <c r="B349" s="4" t="s">
        <v>97</v>
      </c>
      <c r="C349" s="5" t="s">
        <v>179</v>
      </c>
      <c r="D349" s="5" t="s">
        <v>46</v>
      </c>
      <c r="E349" s="5" t="s">
        <v>118</v>
      </c>
      <c r="F349" s="5" t="s">
        <v>44</v>
      </c>
      <c r="G349" s="5" t="s">
        <v>28</v>
      </c>
      <c r="H349" s="5">
        <v>29</v>
      </c>
      <c r="I349" s="5">
        <v>735</v>
      </c>
      <c r="J349" s="5">
        <v>1388</v>
      </c>
      <c r="K349" s="6">
        <f t="shared" si="20"/>
        <v>21315</v>
      </c>
      <c r="L349" s="6">
        <f t="shared" si="21"/>
        <v>40252</v>
      </c>
      <c r="M349" s="6">
        <f t="shared" si="22"/>
        <v>18937</v>
      </c>
      <c r="N349" s="6" t="str">
        <f t="shared" si="23"/>
        <v>profit</v>
      </c>
    </row>
    <row r="350" spans="1:14" ht="15.6" thickTop="1" thickBot="1" x14ac:dyDescent="0.35">
      <c r="A350" s="4">
        <v>45484</v>
      </c>
      <c r="B350" s="4" t="s">
        <v>40</v>
      </c>
      <c r="C350" s="5" t="s">
        <v>180</v>
      </c>
      <c r="D350" s="5" t="s">
        <v>46</v>
      </c>
      <c r="E350" s="5" t="s">
        <v>118</v>
      </c>
      <c r="F350" s="5" t="s">
        <v>39</v>
      </c>
      <c r="G350" s="5" t="s">
        <v>28</v>
      </c>
      <c r="H350" s="5">
        <v>29</v>
      </c>
      <c r="I350" s="5">
        <v>965</v>
      </c>
      <c r="J350" s="5">
        <v>1195</v>
      </c>
      <c r="K350" s="6">
        <f t="shared" si="20"/>
        <v>27985</v>
      </c>
      <c r="L350" s="6">
        <f t="shared" si="21"/>
        <v>34655</v>
      </c>
      <c r="M350" s="6">
        <f t="shared" si="22"/>
        <v>6670</v>
      </c>
      <c r="N350" s="6" t="str">
        <f t="shared" si="23"/>
        <v>profit</v>
      </c>
    </row>
    <row r="351" spans="1:14" ht="15.6" thickTop="1" thickBot="1" x14ac:dyDescent="0.35">
      <c r="A351" s="4">
        <v>45485</v>
      </c>
      <c r="B351" s="4" t="s">
        <v>40</v>
      </c>
      <c r="C351" s="5" t="s">
        <v>181</v>
      </c>
      <c r="D351" s="5" t="s">
        <v>46</v>
      </c>
      <c r="E351" s="5" t="s">
        <v>118</v>
      </c>
      <c r="F351" s="5" t="s">
        <v>64</v>
      </c>
      <c r="G351" s="5" t="s">
        <v>28</v>
      </c>
      <c r="H351" s="5">
        <v>24</v>
      </c>
      <c r="I351" s="5">
        <v>970</v>
      </c>
      <c r="J351" s="5">
        <v>1256</v>
      </c>
      <c r="K351" s="6">
        <f t="shared" si="20"/>
        <v>23280</v>
      </c>
      <c r="L351" s="6">
        <f t="shared" si="21"/>
        <v>30144</v>
      </c>
      <c r="M351" s="6">
        <f t="shared" si="22"/>
        <v>6864</v>
      </c>
      <c r="N351" s="6" t="str">
        <f t="shared" si="23"/>
        <v>profit</v>
      </c>
    </row>
    <row r="352" spans="1:14" ht="15.6" thickTop="1" thickBot="1" x14ac:dyDescent="0.35">
      <c r="A352" s="4">
        <v>45486</v>
      </c>
      <c r="B352" s="4" t="s">
        <v>40</v>
      </c>
      <c r="C352" s="5" t="s">
        <v>182</v>
      </c>
      <c r="D352" s="5" t="s">
        <v>46</v>
      </c>
      <c r="E352" s="5" t="s">
        <v>118</v>
      </c>
      <c r="F352" s="5" t="s">
        <v>64</v>
      </c>
      <c r="G352" s="5" t="s">
        <v>28</v>
      </c>
      <c r="H352" s="5">
        <v>22</v>
      </c>
      <c r="I352" s="5">
        <v>974</v>
      </c>
      <c r="J352" s="5">
        <v>1329</v>
      </c>
      <c r="K352" s="6">
        <f t="shared" si="20"/>
        <v>21428</v>
      </c>
      <c r="L352" s="6">
        <f t="shared" si="21"/>
        <v>29238</v>
      </c>
      <c r="M352" s="6">
        <f t="shared" si="22"/>
        <v>7810</v>
      </c>
      <c r="N352" s="6" t="str">
        <f t="shared" si="23"/>
        <v>profit</v>
      </c>
    </row>
    <row r="353" spans="1:14" ht="15.6" thickTop="1" thickBot="1" x14ac:dyDescent="0.35">
      <c r="A353" s="4">
        <v>45487</v>
      </c>
      <c r="B353" s="4" t="s">
        <v>40</v>
      </c>
      <c r="C353" s="5" t="s">
        <v>183</v>
      </c>
      <c r="D353" s="5" t="s">
        <v>46</v>
      </c>
      <c r="E353" s="5" t="s">
        <v>118</v>
      </c>
      <c r="F353" s="5" t="s">
        <v>60</v>
      </c>
      <c r="G353" s="5" t="s">
        <v>28</v>
      </c>
      <c r="H353" s="5">
        <v>21</v>
      </c>
      <c r="I353" s="5">
        <v>915</v>
      </c>
      <c r="J353" s="5">
        <v>1442</v>
      </c>
      <c r="K353" s="6">
        <f t="shared" si="20"/>
        <v>19215</v>
      </c>
      <c r="L353" s="6">
        <f t="shared" si="21"/>
        <v>30282</v>
      </c>
      <c r="M353" s="6">
        <f t="shared" si="22"/>
        <v>11067</v>
      </c>
      <c r="N353" s="6" t="str">
        <f t="shared" si="23"/>
        <v>profit</v>
      </c>
    </row>
    <row r="354" spans="1:14" ht="15.6" thickTop="1" thickBot="1" x14ac:dyDescent="0.35">
      <c r="A354" s="4">
        <v>45489</v>
      </c>
      <c r="B354" s="4" t="s">
        <v>40</v>
      </c>
      <c r="C354" s="5" t="s">
        <v>184</v>
      </c>
      <c r="D354" s="5" t="s">
        <v>46</v>
      </c>
      <c r="E354" s="5" t="s">
        <v>118</v>
      </c>
      <c r="F354" s="5" t="s">
        <v>30</v>
      </c>
      <c r="G354" s="5" t="s">
        <v>19</v>
      </c>
      <c r="H354" s="5">
        <v>27</v>
      </c>
      <c r="I354" s="5">
        <v>605</v>
      </c>
      <c r="J354" s="5">
        <v>826</v>
      </c>
      <c r="K354" s="6">
        <f t="shared" si="20"/>
        <v>16335</v>
      </c>
      <c r="L354" s="6">
        <f t="shared" si="21"/>
        <v>22302</v>
      </c>
      <c r="M354" s="6">
        <f t="shared" si="22"/>
        <v>5967</v>
      </c>
      <c r="N354" s="6" t="str">
        <f t="shared" si="23"/>
        <v>profit</v>
      </c>
    </row>
    <row r="355" spans="1:14" ht="15.6" thickTop="1" thickBot="1" x14ac:dyDescent="0.35">
      <c r="A355" s="4">
        <v>45405</v>
      </c>
      <c r="B355" s="4" t="s">
        <v>31</v>
      </c>
      <c r="C355" s="5" t="s">
        <v>62</v>
      </c>
      <c r="D355" s="5" t="s">
        <v>46</v>
      </c>
      <c r="E355" s="5" t="s">
        <v>63</v>
      </c>
      <c r="F355" s="5" t="s">
        <v>64</v>
      </c>
      <c r="G355" s="5" t="s">
        <v>28</v>
      </c>
      <c r="H355" s="5">
        <v>29</v>
      </c>
      <c r="I355" s="5">
        <v>893</v>
      </c>
      <c r="J355" s="5">
        <v>865</v>
      </c>
      <c r="K355" s="6">
        <f t="shared" si="20"/>
        <v>25897</v>
      </c>
      <c r="L355" s="6">
        <f t="shared" si="21"/>
        <v>25085</v>
      </c>
      <c r="M355" s="6">
        <f t="shared" si="22"/>
        <v>-812</v>
      </c>
      <c r="N355" s="6" t="str">
        <f t="shared" si="23"/>
        <v>loss</v>
      </c>
    </row>
    <row r="356" spans="1:14" ht="15.6" thickTop="1" thickBot="1" x14ac:dyDescent="0.35">
      <c r="A356" s="4">
        <v>45490</v>
      </c>
      <c r="B356" s="4" t="s">
        <v>40</v>
      </c>
      <c r="C356" s="5" t="s">
        <v>185</v>
      </c>
      <c r="D356" s="5" t="s">
        <v>46</v>
      </c>
      <c r="E356" s="5" t="s">
        <v>118</v>
      </c>
      <c r="F356" s="5" t="s">
        <v>113</v>
      </c>
      <c r="G356" s="5" t="s">
        <v>19</v>
      </c>
      <c r="H356" s="5">
        <v>29</v>
      </c>
      <c r="I356" s="5">
        <v>689</v>
      </c>
      <c r="J356" s="5">
        <v>783</v>
      </c>
      <c r="K356" s="6">
        <f t="shared" si="20"/>
        <v>19981</v>
      </c>
      <c r="L356" s="6">
        <f t="shared" si="21"/>
        <v>22707</v>
      </c>
      <c r="M356" s="6">
        <f t="shared" si="22"/>
        <v>2726</v>
      </c>
      <c r="N356" s="6" t="str">
        <f t="shared" si="23"/>
        <v>profit</v>
      </c>
    </row>
    <row r="357" spans="1:14" ht="15.6" thickTop="1" thickBot="1" x14ac:dyDescent="0.35">
      <c r="A357" s="4">
        <v>45407</v>
      </c>
      <c r="B357" s="4" t="s">
        <v>31</v>
      </c>
      <c r="C357" s="5" t="s">
        <v>66</v>
      </c>
      <c r="D357" s="5" t="s">
        <v>46</v>
      </c>
      <c r="E357" s="5" t="s">
        <v>63</v>
      </c>
      <c r="F357" s="5" t="s">
        <v>60</v>
      </c>
      <c r="G357" s="5" t="s">
        <v>19</v>
      </c>
      <c r="H357" s="5">
        <v>24</v>
      </c>
      <c r="I357" s="5">
        <v>859</v>
      </c>
      <c r="J357" s="5">
        <v>1473</v>
      </c>
      <c r="K357" s="6">
        <f t="shared" si="20"/>
        <v>20616</v>
      </c>
      <c r="L357" s="6">
        <f t="shared" si="21"/>
        <v>35352</v>
      </c>
      <c r="M357" s="6">
        <f t="shared" si="22"/>
        <v>14736</v>
      </c>
      <c r="N357" s="6" t="str">
        <f t="shared" si="23"/>
        <v>profit</v>
      </c>
    </row>
    <row r="358" spans="1:14" ht="15.6" thickTop="1" thickBot="1" x14ac:dyDescent="0.35">
      <c r="A358" s="4">
        <v>45491</v>
      </c>
      <c r="B358" s="4" t="s">
        <v>40</v>
      </c>
      <c r="C358" s="5" t="s">
        <v>186</v>
      </c>
      <c r="D358" s="5" t="s">
        <v>46</v>
      </c>
      <c r="E358" s="5" t="s">
        <v>118</v>
      </c>
      <c r="F358" s="5" t="s">
        <v>44</v>
      </c>
      <c r="G358" s="5" t="s">
        <v>19</v>
      </c>
      <c r="H358" s="5">
        <v>25</v>
      </c>
      <c r="I358" s="5">
        <v>861</v>
      </c>
      <c r="J358" s="5">
        <v>843</v>
      </c>
      <c r="K358" s="6">
        <f t="shared" si="20"/>
        <v>21525</v>
      </c>
      <c r="L358" s="6">
        <f t="shared" si="21"/>
        <v>21075</v>
      </c>
      <c r="M358" s="6">
        <f t="shared" si="22"/>
        <v>-450</v>
      </c>
      <c r="N358" s="6" t="str">
        <f t="shared" si="23"/>
        <v>loss</v>
      </c>
    </row>
    <row r="359" spans="1:14" ht="15.6" thickTop="1" thickBot="1" x14ac:dyDescent="0.35">
      <c r="A359" s="4">
        <v>45492</v>
      </c>
      <c r="B359" s="4" t="s">
        <v>40</v>
      </c>
      <c r="C359" s="5" t="s">
        <v>188</v>
      </c>
      <c r="D359" s="5" t="s">
        <v>46</v>
      </c>
      <c r="E359" s="5" t="s">
        <v>118</v>
      </c>
      <c r="F359" s="5" t="s">
        <v>153</v>
      </c>
      <c r="G359" s="5" t="s">
        <v>19</v>
      </c>
      <c r="H359" s="5">
        <v>22</v>
      </c>
      <c r="I359" s="5">
        <v>629</v>
      </c>
      <c r="J359" s="5">
        <v>1263</v>
      </c>
      <c r="K359" s="6">
        <f t="shared" si="20"/>
        <v>13838</v>
      </c>
      <c r="L359" s="6">
        <f t="shared" si="21"/>
        <v>27786</v>
      </c>
      <c r="M359" s="6">
        <f t="shared" si="22"/>
        <v>13948</v>
      </c>
      <c r="N359" s="6" t="str">
        <f t="shared" si="23"/>
        <v>profit</v>
      </c>
    </row>
    <row r="360" spans="1:14" ht="15.6" thickTop="1" thickBot="1" x14ac:dyDescent="0.35">
      <c r="A360" s="4">
        <v>45493</v>
      </c>
      <c r="B360" s="4" t="s">
        <v>40</v>
      </c>
      <c r="C360" s="5" t="s">
        <v>189</v>
      </c>
      <c r="D360" s="5" t="s">
        <v>46</v>
      </c>
      <c r="E360" s="5" t="s">
        <v>118</v>
      </c>
      <c r="F360" s="5" t="s">
        <v>155</v>
      </c>
      <c r="G360" s="5" t="s">
        <v>19</v>
      </c>
      <c r="H360" s="5">
        <v>22</v>
      </c>
      <c r="I360" s="5">
        <v>779</v>
      </c>
      <c r="J360" s="5">
        <v>1301</v>
      </c>
      <c r="K360" s="6">
        <f t="shared" si="20"/>
        <v>17138</v>
      </c>
      <c r="L360" s="6">
        <f t="shared" si="21"/>
        <v>28622</v>
      </c>
      <c r="M360" s="6">
        <f t="shared" si="22"/>
        <v>11484</v>
      </c>
      <c r="N360" s="6" t="str">
        <f t="shared" si="23"/>
        <v>profit</v>
      </c>
    </row>
    <row r="361" spans="1:14" ht="15.6" thickTop="1" thickBot="1" x14ac:dyDescent="0.35">
      <c r="A361" s="4">
        <v>45494</v>
      </c>
      <c r="B361" s="4" t="s">
        <v>40</v>
      </c>
      <c r="C361" s="5" t="s">
        <v>192</v>
      </c>
      <c r="D361" s="5" t="s">
        <v>46</v>
      </c>
      <c r="E361" s="5" t="s">
        <v>118</v>
      </c>
      <c r="F361" s="5" t="s">
        <v>18</v>
      </c>
      <c r="G361" s="5" t="s">
        <v>19</v>
      </c>
      <c r="H361" s="5">
        <v>23</v>
      </c>
      <c r="I361" s="5">
        <v>730</v>
      </c>
      <c r="J361" s="5">
        <v>1189</v>
      </c>
      <c r="K361" s="6">
        <f t="shared" si="20"/>
        <v>16790</v>
      </c>
      <c r="L361" s="6">
        <f t="shared" si="21"/>
        <v>27347</v>
      </c>
      <c r="M361" s="6">
        <f t="shared" si="22"/>
        <v>10557</v>
      </c>
      <c r="N361" s="6" t="str">
        <f t="shared" si="23"/>
        <v>profit</v>
      </c>
    </row>
    <row r="362" spans="1:14" ht="15.6" thickTop="1" thickBot="1" x14ac:dyDescent="0.35">
      <c r="A362" s="4">
        <v>45517</v>
      </c>
      <c r="B362" s="4" t="s">
        <v>57</v>
      </c>
      <c r="C362" s="5" t="s">
        <v>193</v>
      </c>
      <c r="D362" s="5" t="s">
        <v>46</v>
      </c>
      <c r="E362" s="5" t="s">
        <v>118</v>
      </c>
      <c r="F362" s="5" t="s">
        <v>44</v>
      </c>
      <c r="G362" s="5" t="s">
        <v>28</v>
      </c>
      <c r="H362" s="5">
        <v>26</v>
      </c>
      <c r="I362" s="5">
        <v>847</v>
      </c>
      <c r="J362" s="5">
        <v>1116</v>
      </c>
      <c r="K362" s="6">
        <f t="shared" si="20"/>
        <v>22022</v>
      </c>
      <c r="L362" s="6">
        <f t="shared" si="21"/>
        <v>29016</v>
      </c>
      <c r="M362" s="6">
        <f t="shared" si="22"/>
        <v>6994</v>
      </c>
      <c r="N362" s="6" t="str">
        <f t="shared" si="23"/>
        <v>profit</v>
      </c>
    </row>
    <row r="363" spans="1:14" ht="15.6" thickTop="1" thickBot="1" x14ac:dyDescent="0.35">
      <c r="A363" s="4">
        <v>45518</v>
      </c>
      <c r="B363" s="4" t="s">
        <v>57</v>
      </c>
      <c r="C363" s="5" t="s">
        <v>194</v>
      </c>
      <c r="D363" s="5" t="s">
        <v>46</v>
      </c>
      <c r="E363" s="5" t="s">
        <v>118</v>
      </c>
      <c r="F363" s="5" t="s">
        <v>49</v>
      </c>
      <c r="G363" s="5" t="s">
        <v>28</v>
      </c>
      <c r="H363" s="5">
        <v>24</v>
      </c>
      <c r="I363" s="5">
        <v>942</v>
      </c>
      <c r="J363" s="5">
        <v>1313</v>
      </c>
      <c r="K363" s="6">
        <f t="shared" si="20"/>
        <v>22608</v>
      </c>
      <c r="L363" s="6">
        <f t="shared" si="21"/>
        <v>31512</v>
      </c>
      <c r="M363" s="6">
        <f t="shared" si="22"/>
        <v>8904</v>
      </c>
      <c r="N363" s="6" t="str">
        <f t="shared" si="23"/>
        <v>profit</v>
      </c>
    </row>
    <row r="364" spans="1:14" ht="15.6" thickTop="1" thickBot="1" x14ac:dyDescent="0.35">
      <c r="A364" s="4">
        <v>45519</v>
      </c>
      <c r="B364" s="4" t="s">
        <v>57</v>
      </c>
      <c r="C364" s="5" t="s">
        <v>195</v>
      </c>
      <c r="D364" s="5" t="s">
        <v>46</v>
      </c>
      <c r="E364" s="5" t="s">
        <v>118</v>
      </c>
      <c r="F364" s="5" t="s">
        <v>27</v>
      </c>
      <c r="G364" s="5" t="s">
        <v>19</v>
      </c>
      <c r="H364" s="5">
        <v>20</v>
      </c>
      <c r="I364" s="5">
        <v>751</v>
      </c>
      <c r="J364" s="5">
        <v>861</v>
      </c>
      <c r="K364" s="6">
        <f t="shared" si="20"/>
        <v>15020</v>
      </c>
      <c r="L364" s="6">
        <f t="shared" si="21"/>
        <v>17220</v>
      </c>
      <c r="M364" s="6">
        <f t="shared" si="22"/>
        <v>2200</v>
      </c>
      <c r="N364" s="6" t="str">
        <f t="shared" si="23"/>
        <v>profit</v>
      </c>
    </row>
    <row r="365" spans="1:14" ht="15.6" thickTop="1" thickBot="1" x14ac:dyDescent="0.35">
      <c r="A365" s="4">
        <v>45521</v>
      </c>
      <c r="B365" s="4" t="s">
        <v>57</v>
      </c>
      <c r="C365" s="5" t="s">
        <v>197</v>
      </c>
      <c r="D365" s="5" t="s">
        <v>46</v>
      </c>
      <c r="E365" s="5" t="s">
        <v>118</v>
      </c>
      <c r="F365" s="5" t="s">
        <v>54</v>
      </c>
      <c r="G365" s="5" t="s">
        <v>28</v>
      </c>
      <c r="H365" s="5">
        <v>28</v>
      </c>
      <c r="I365" s="5">
        <v>855</v>
      </c>
      <c r="J365" s="5">
        <v>930</v>
      </c>
      <c r="K365" s="6">
        <f t="shared" si="20"/>
        <v>23940</v>
      </c>
      <c r="L365" s="6">
        <f t="shared" si="21"/>
        <v>26040</v>
      </c>
      <c r="M365" s="6">
        <f t="shared" si="22"/>
        <v>2100</v>
      </c>
      <c r="N365" s="6" t="str">
        <f t="shared" si="23"/>
        <v>profit</v>
      </c>
    </row>
    <row r="366" spans="1:14" ht="15.6" thickTop="1" thickBot="1" x14ac:dyDescent="0.35">
      <c r="A366" s="4">
        <v>45522</v>
      </c>
      <c r="B366" s="4" t="s">
        <v>57</v>
      </c>
      <c r="C366" s="5" t="s">
        <v>107</v>
      </c>
      <c r="D366" s="5" t="s">
        <v>46</v>
      </c>
      <c r="E366" s="5" t="s">
        <v>118</v>
      </c>
      <c r="F366" s="5" t="s">
        <v>35</v>
      </c>
      <c r="G366" s="5" t="s">
        <v>28</v>
      </c>
      <c r="H366" s="5">
        <v>22</v>
      </c>
      <c r="I366" s="5">
        <v>806</v>
      </c>
      <c r="J366" s="5">
        <v>1391</v>
      </c>
      <c r="K366" s="6">
        <f t="shared" si="20"/>
        <v>17732</v>
      </c>
      <c r="L366" s="6">
        <f t="shared" si="21"/>
        <v>30602</v>
      </c>
      <c r="M366" s="6">
        <f t="shared" si="22"/>
        <v>12870</v>
      </c>
      <c r="N366" s="6" t="str">
        <f t="shared" si="23"/>
        <v>profit</v>
      </c>
    </row>
    <row r="367" spans="1:14" ht="15.6" thickTop="1" thickBot="1" x14ac:dyDescent="0.35">
      <c r="A367" s="4">
        <v>45523</v>
      </c>
      <c r="B367" s="4" t="s">
        <v>57</v>
      </c>
      <c r="C367" s="5" t="s">
        <v>199</v>
      </c>
      <c r="D367" s="5" t="s">
        <v>46</v>
      </c>
      <c r="E367" s="5" t="s">
        <v>118</v>
      </c>
      <c r="F367" s="5" t="s">
        <v>39</v>
      </c>
      <c r="G367" s="5" t="s">
        <v>28</v>
      </c>
      <c r="H367" s="5">
        <v>30</v>
      </c>
      <c r="I367" s="5">
        <v>624</v>
      </c>
      <c r="J367" s="5">
        <v>999</v>
      </c>
      <c r="K367" s="6">
        <f t="shared" si="20"/>
        <v>18720</v>
      </c>
      <c r="L367" s="6">
        <f t="shared" si="21"/>
        <v>29970</v>
      </c>
      <c r="M367" s="6">
        <f t="shared" si="22"/>
        <v>11250</v>
      </c>
      <c r="N367" s="6" t="str">
        <f t="shared" si="23"/>
        <v>profit</v>
      </c>
    </row>
    <row r="368" spans="1:14" ht="15.6" thickTop="1" thickBot="1" x14ac:dyDescent="0.35">
      <c r="A368" s="4">
        <v>45524</v>
      </c>
      <c r="B368" s="4" t="s">
        <v>57</v>
      </c>
      <c r="C368" s="5" t="s">
        <v>105</v>
      </c>
      <c r="D368" s="5" t="s">
        <v>46</v>
      </c>
      <c r="E368" s="5" t="s">
        <v>118</v>
      </c>
      <c r="F368" s="5" t="s">
        <v>39</v>
      </c>
      <c r="G368" s="5" t="s">
        <v>19</v>
      </c>
      <c r="H368" s="5">
        <v>25</v>
      </c>
      <c r="I368" s="5">
        <v>533</v>
      </c>
      <c r="J368" s="5">
        <v>860</v>
      </c>
      <c r="K368" s="6">
        <f t="shared" si="20"/>
        <v>13325</v>
      </c>
      <c r="L368" s="6">
        <f t="shared" si="21"/>
        <v>21500</v>
      </c>
      <c r="M368" s="6">
        <f t="shared" si="22"/>
        <v>8175</v>
      </c>
      <c r="N368" s="6" t="str">
        <f t="shared" si="23"/>
        <v>profit</v>
      </c>
    </row>
    <row r="369" spans="1:14" ht="15.6" thickTop="1" thickBot="1" x14ac:dyDescent="0.35">
      <c r="A369" s="4">
        <v>45525</v>
      </c>
      <c r="B369" s="4" t="s">
        <v>57</v>
      </c>
      <c r="C369" s="5" t="s">
        <v>200</v>
      </c>
      <c r="D369" s="5" t="s">
        <v>46</v>
      </c>
      <c r="E369" s="5" t="s">
        <v>118</v>
      </c>
      <c r="F369" s="5" t="s">
        <v>64</v>
      </c>
      <c r="G369" s="5" t="s">
        <v>19</v>
      </c>
      <c r="H369" s="5">
        <v>20</v>
      </c>
      <c r="I369" s="5">
        <v>681</v>
      </c>
      <c r="J369" s="5">
        <v>823</v>
      </c>
      <c r="K369" s="6">
        <f t="shared" si="20"/>
        <v>13620</v>
      </c>
      <c r="L369" s="6">
        <f t="shared" si="21"/>
        <v>16460</v>
      </c>
      <c r="M369" s="6">
        <f t="shared" si="22"/>
        <v>2840</v>
      </c>
      <c r="N369" s="6" t="str">
        <f t="shared" si="23"/>
        <v>profit</v>
      </c>
    </row>
    <row r="370" spans="1:14" ht="15.6" thickTop="1" thickBot="1" x14ac:dyDescent="0.35">
      <c r="A370" s="4">
        <v>45527</v>
      </c>
      <c r="B370" s="4" t="s">
        <v>57</v>
      </c>
      <c r="C370" s="5" t="s">
        <v>201</v>
      </c>
      <c r="D370" s="5" t="s">
        <v>46</v>
      </c>
      <c r="E370" s="5" t="s">
        <v>118</v>
      </c>
      <c r="F370" s="5" t="s">
        <v>60</v>
      </c>
      <c r="G370" s="5" t="s">
        <v>19</v>
      </c>
      <c r="H370" s="5">
        <v>23</v>
      </c>
      <c r="I370" s="5">
        <v>577</v>
      </c>
      <c r="J370" s="5">
        <v>1125</v>
      </c>
      <c r="K370" s="6">
        <f t="shared" si="20"/>
        <v>13271</v>
      </c>
      <c r="L370" s="6">
        <f t="shared" si="21"/>
        <v>25875</v>
      </c>
      <c r="M370" s="6">
        <f t="shared" si="22"/>
        <v>12604</v>
      </c>
      <c r="N370" s="6" t="str">
        <f t="shared" si="23"/>
        <v>profit</v>
      </c>
    </row>
    <row r="371" spans="1:14" ht="15.6" thickTop="1" thickBot="1" x14ac:dyDescent="0.35">
      <c r="A371" s="4">
        <v>45589</v>
      </c>
      <c r="B371" s="4" t="s">
        <v>85</v>
      </c>
      <c r="C371" s="5" t="s">
        <v>203</v>
      </c>
      <c r="D371" s="5" t="s">
        <v>46</v>
      </c>
      <c r="E371" s="5" t="s">
        <v>133</v>
      </c>
      <c r="F371" s="5" t="s">
        <v>60</v>
      </c>
      <c r="G371" s="5" t="s">
        <v>19</v>
      </c>
      <c r="H371" s="5">
        <v>28</v>
      </c>
      <c r="I371" s="5">
        <v>537</v>
      </c>
      <c r="J371" s="5">
        <v>828</v>
      </c>
      <c r="K371" s="6">
        <f t="shared" si="20"/>
        <v>15036</v>
      </c>
      <c r="L371" s="6">
        <f t="shared" si="21"/>
        <v>23184</v>
      </c>
      <c r="M371" s="6">
        <f t="shared" si="22"/>
        <v>8148</v>
      </c>
      <c r="N371" s="6" t="str">
        <f t="shared" si="23"/>
        <v>profit</v>
      </c>
    </row>
    <row r="372" spans="1:14" ht="15.6" thickTop="1" thickBot="1" x14ac:dyDescent="0.35">
      <c r="A372" s="4">
        <v>45591</v>
      </c>
      <c r="B372" s="4" t="s">
        <v>85</v>
      </c>
      <c r="C372" s="5" t="s">
        <v>204</v>
      </c>
      <c r="D372" s="5" t="s">
        <v>46</v>
      </c>
      <c r="E372" s="5" t="s">
        <v>133</v>
      </c>
      <c r="F372" s="5" t="s">
        <v>30</v>
      </c>
      <c r="G372" s="5" t="s">
        <v>28</v>
      </c>
      <c r="H372" s="5">
        <v>23</v>
      </c>
      <c r="I372" s="5">
        <v>746</v>
      </c>
      <c r="J372" s="5">
        <v>1410</v>
      </c>
      <c r="K372" s="6">
        <f t="shared" si="20"/>
        <v>17158</v>
      </c>
      <c r="L372" s="6">
        <f t="shared" si="21"/>
        <v>32430</v>
      </c>
      <c r="M372" s="6">
        <f t="shared" si="22"/>
        <v>15272</v>
      </c>
      <c r="N372" s="6" t="str">
        <f t="shared" si="23"/>
        <v>profit</v>
      </c>
    </row>
    <row r="373" spans="1:14" ht="15.6" thickTop="1" thickBot="1" x14ac:dyDescent="0.35">
      <c r="A373" s="4">
        <v>45596</v>
      </c>
      <c r="B373" s="4" t="s">
        <v>85</v>
      </c>
      <c r="C373" s="5" t="s">
        <v>205</v>
      </c>
      <c r="D373" s="5" t="s">
        <v>46</v>
      </c>
      <c r="E373" s="5" t="s">
        <v>47</v>
      </c>
      <c r="F373" s="5" t="s">
        <v>18</v>
      </c>
      <c r="G373" s="5" t="s">
        <v>28</v>
      </c>
      <c r="H373" s="5">
        <v>29</v>
      </c>
      <c r="I373" s="5">
        <v>895</v>
      </c>
      <c r="J373" s="5">
        <v>882</v>
      </c>
      <c r="K373" s="6">
        <f t="shared" si="20"/>
        <v>25955</v>
      </c>
      <c r="L373" s="6">
        <f t="shared" si="21"/>
        <v>25578</v>
      </c>
      <c r="M373" s="6">
        <f t="shared" si="22"/>
        <v>-377</v>
      </c>
      <c r="N373" s="6" t="str">
        <f t="shared" si="23"/>
        <v>loss</v>
      </c>
    </row>
    <row r="374" spans="1:14" ht="15.6" thickTop="1" thickBot="1" x14ac:dyDescent="0.35">
      <c r="A374" s="4">
        <v>45597</v>
      </c>
      <c r="B374" s="4" t="s">
        <v>161</v>
      </c>
      <c r="C374" s="5" t="s">
        <v>207</v>
      </c>
      <c r="D374" s="5" t="s">
        <v>46</v>
      </c>
      <c r="E374" s="5" t="s">
        <v>47</v>
      </c>
      <c r="F374" s="5" t="s">
        <v>21</v>
      </c>
      <c r="G374" s="5" t="s">
        <v>28</v>
      </c>
      <c r="H374" s="5">
        <v>26</v>
      </c>
      <c r="I374" s="5">
        <v>728</v>
      </c>
      <c r="J374" s="5">
        <v>1466</v>
      </c>
      <c r="K374" s="6">
        <f t="shared" si="20"/>
        <v>18928</v>
      </c>
      <c r="L374" s="6">
        <f t="shared" si="21"/>
        <v>38116</v>
      </c>
      <c r="M374" s="6">
        <f t="shared" si="22"/>
        <v>19188</v>
      </c>
      <c r="N374" s="6" t="str">
        <f t="shared" si="23"/>
        <v>profit</v>
      </c>
    </row>
    <row r="375" spans="1:14" ht="15.6" thickTop="1" thickBot="1" x14ac:dyDescent="0.35">
      <c r="A375" s="4">
        <v>45598</v>
      </c>
      <c r="B375" s="4" t="s">
        <v>161</v>
      </c>
      <c r="C375" s="5" t="s">
        <v>209</v>
      </c>
      <c r="D375" s="5" t="s">
        <v>46</v>
      </c>
      <c r="E375" s="5" t="s">
        <v>47</v>
      </c>
      <c r="F375" s="5" t="s">
        <v>23</v>
      </c>
      <c r="G375" s="5" t="s">
        <v>28</v>
      </c>
      <c r="H375" s="5">
        <v>22</v>
      </c>
      <c r="I375" s="5">
        <v>586</v>
      </c>
      <c r="J375" s="5">
        <v>1206</v>
      </c>
      <c r="K375" s="6">
        <f t="shared" si="20"/>
        <v>12892</v>
      </c>
      <c r="L375" s="6">
        <f t="shared" si="21"/>
        <v>26532</v>
      </c>
      <c r="M375" s="6">
        <f t="shared" si="22"/>
        <v>13640</v>
      </c>
      <c r="N375" s="6" t="str">
        <f t="shared" si="23"/>
        <v>profit</v>
      </c>
    </row>
    <row r="376" spans="1:14" ht="15.6" thickTop="1" thickBot="1" x14ac:dyDescent="0.35">
      <c r="A376" s="4">
        <v>45599</v>
      </c>
      <c r="B376" s="4" t="s">
        <v>161</v>
      </c>
      <c r="C376" s="5" t="s">
        <v>210</v>
      </c>
      <c r="D376" s="5" t="s">
        <v>46</v>
      </c>
      <c r="E376" s="5" t="s">
        <v>47</v>
      </c>
      <c r="F376" s="5" t="s">
        <v>25</v>
      </c>
      <c r="G376" s="5" t="s">
        <v>19</v>
      </c>
      <c r="H376" s="5">
        <v>29</v>
      </c>
      <c r="I376" s="5">
        <v>724</v>
      </c>
      <c r="J376" s="5">
        <v>858</v>
      </c>
      <c r="K376" s="6">
        <f t="shared" si="20"/>
        <v>20996</v>
      </c>
      <c r="L376" s="6">
        <f t="shared" si="21"/>
        <v>24882</v>
      </c>
      <c r="M376" s="6">
        <f t="shared" si="22"/>
        <v>3886</v>
      </c>
      <c r="N376" s="6" t="str">
        <f t="shared" si="23"/>
        <v>profit</v>
      </c>
    </row>
    <row r="377" spans="1:14" ht="15.6" thickTop="1" thickBot="1" x14ac:dyDescent="0.35">
      <c r="A377" s="4">
        <v>45600</v>
      </c>
      <c r="B377" s="4" t="s">
        <v>161</v>
      </c>
      <c r="C377" s="5" t="s">
        <v>211</v>
      </c>
      <c r="D377" s="5" t="s">
        <v>46</v>
      </c>
      <c r="E377" s="5" t="s">
        <v>47</v>
      </c>
      <c r="F377" s="5" t="s">
        <v>25</v>
      </c>
      <c r="G377" s="5" t="s">
        <v>19</v>
      </c>
      <c r="H377" s="5">
        <v>20</v>
      </c>
      <c r="I377" s="5">
        <v>941</v>
      </c>
      <c r="J377" s="5">
        <v>1181</v>
      </c>
      <c r="K377" s="6">
        <f t="shared" si="20"/>
        <v>18820</v>
      </c>
      <c r="L377" s="6">
        <f t="shared" si="21"/>
        <v>23620</v>
      </c>
      <c r="M377" s="6">
        <f t="shared" si="22"/>
        <v>4800</v>
      </c>
      <c r="N377" s="6" t="str">
        <f t="shared" si="23"/>
        <v>profit</v>
      </c>
    </row>
    <row r="378" spans="1:14" ht="15.6" thickTop="1" thickBot="1" x14ac:dyDescent="0.35">
      <c r="A378" s="4">
        <v>45601</v>
      </c>
      <c r="B378" s="4" t="s">
        <v>161</v>
      </c>
      <c r="C378" s="5" t="s">
        <v>212</v>
      </c>
      <c r="D378" s="5" t="s">
        <v>46</v>
      </c>
      <c r="E378" s="5" t="s">
        <v>47</v>
      </c>
      <c r="F378" s="5" t="s">
        <v>27</v>
      </c>
      <c r="G378" s="5" t="s">
        <v>19</v>
      </c>
      <c r="H378" s="5">
        <v>22</v>
      </c>
      <c r="I378" s="5">
        <v>618</v>
      </c>
      <c r="J378" s="5">
        <v>1373</v>
      </c>
      <c r="K378" s="6">
        <f t="shared" si="20"/>
        <v>13596</v>
      </c>
      <c r="L378" s="6">
        <f t="shared" si="21"/>
        <v>30206</v>
      </c>
      <c r="M378" s="6">
        <f t="shared" si="22"/>
        <v>16610</v>
      </c>
      <c r="N378" s="6" t="str">
        <f t="shared" si="23"/>
        <v>profit</v>
      </c>
    </row>
    <row r="379" spans="1:14" ht="15.6" thickTop="1" thickBot="1" x14ac:dyDescent="0.35">
      <c r="A379" s="4">
        <v>45609</v>
      </c>
      <c r="B379" s="4" t="s">
        <v>161</v>
      </c>
      <c r="C379" s="5" t="s">
        <v>214</v>
      </c>
      <c r="D379" s="5" t="s">
        <v>46</v>
      </c>
      <c r="E379" s="5" t="s">
        <v>63</v>
      </c>
      <c r="F379" s="5" t="s">
        <v>76</v>
      </c>
      <c r="G379" s="5" t="s">
        <v>28</v>
      </c>
      <c r="H379" s="5">
        <v>28</v>
      </c>
      <c r="I379" s="5">
        <v>896</v>
      </c>
      <c r="J379" s="5">
        <v>1363</v>
      </c>
      <c r="K379" s="6">
        <f t="shared" si="20"/>
        <v>25088</v>
      </c>
      <c r="L379" s="6">
        <f t="shared" si="21"/>
        <v>38164</v>
      </c>
      <c r="M379" s="6">
        <f t="shared" si="22"/>
        <v>13076</v>
      </c>
      <c r="N379" s="6" t="str">
        <f t="shared" si="23"/>
        <v>profit</v>
      </c>
    </row>
    <row r="380" spans="1:14" ht="15.6" thickTop="1" thickBot="1" x14ac:dyDescent="0.35">
      <c r="A380" s="4">
        <v>45611</v>
      </c>
      <c r="B380" s="4" t="s">
        <v>161</v>
      </c>
      <c r="C380" s="5" t="s">
        <v>215</v>
      </c>
      <c r="D380" s="5" t="s">
        <v>46</v>
      </c>
      <c r="E380" s="5" t="s">
        <v>63</v>
      </c>
      <c r="F380" s="5" t="s">
        <v>35</v>
      </c>
      <c r="G380" s="5" t="s">
        <v>28</v>
      </c>
      <c r="H380" s="5">
        <v>28</v>
      </c>
      <c r="I380" s="5">
        <v>986</v>
      </c>
      <c r="J380" s="5">
        <v>866</v>
      </c>
      <c r="K380" s="6">
        <f t="shared" si="20"/>
        <v>27608</v>
      </c>
      <c r="L380" s="6">
        <f t="shared" si="21"/>
        <v>24248</v>
      </c>
      <c r="M380" s="6">
        <f t="shared" si="22"/>
        <v>-3360</v>
      </c>
      <c r="N380" s="6" t="str">
        <f t="shared" si="23"/>
        <v>loss</v>
      </c>
    </row>
    <row r="381" spans="1:14" ht="15.6" thickTop="1" thickBot="1" x14ac:dyDescent="0.35">
      <c r="A381" s="4">
        <v>45612</v>
      </c>
      <c r="B381" s="4" t="s">
        <v>161</v>
      </c>
      <c r="C381" s="5" t="s">
        <v>216</v>
      </c>
      <c r="D381" s="5" t="s">
        <v>46</v>
      </c>
      <c r="E381" s="5" t="s">
        <v>63</v>
      </c>
      <c r="F381" s="5" t="s">
        <v>44</v>
      </c>
      <c r="G381" s="5" t="s">
        <v>28</v>
      </c>
      <c r="H381" s="5">
        <v>27</v>
      </c>
      <c r="I381" s="5">
        <v>951</v>
      </c>
      <c r="J381" s="5">
        <v>1255</v>
      </c>
      <c r="K381" s="6">
        <f t="shared" si="20"/>
        <v>25677</v>
      </c>
      <c r="L381" s="6">
        <f t="shared" si="21"/>
        <v>33885</v>
      </c>
      <c r="M381" s="6">
        <f t="shared" si="22"/>
        <v>8208</v>
      </c>
      <c r="N381" s="6" t="str">
        <f t="shared" si="23"/>
        <v>profit</v>
      </c>
    </row>
    <row r="382" spans="1:14" ht="15.6" thickTop="1" thickBot="1" x14ac:dyDescent="0.35">
      <c r="A382" s="4">
        <v>45432</v>
      </c>
      <c r="B382" s="4" t="s">
        <v>97</v>
      </c>
      <c r="C382" s="5" t="s">
        <v>98</v>
      </c>
      <c r="D382" s="5" t="s">
        <v>33</v>
      </c>
      <c r="E382" s="5" t="s">
        <v>99</v>
      </c>
      <c r="F382" s="5" t="s">
        <v>35</v>
      </c>
      <c r="G382" s="5" t="s">
        <v>28</v>
      </c>
      <c r="H382" s="5">
        <v>63</v>
      </c>
      <c r="I382" s="5">
        <v>929</v>
      </c>
      <c r="J382" s="5">
        <v>1320</v>
      </c>
      <c r="K382" s="6">
        <f t="shared" si="20"/>
        <v>58527</v>
      </c>
      <c r="L382" s="6">
        <f t="shared" si="21"/>
        <v>83160</v>
      </c>
      <c r="M382" s="6">
        <f t="shared" si="22"/>
        <v>24633</v>
      </c>
      <c r="N382" s="6" t="str">
        <f t="shared" si="23"/>
        <v>profit</v>
      </c>
    </row>
    <row r="383" spans="1:14" ht="15.6" thickTop="1" thickBot="1" x14ac:dyDescent="0.35">
      <c r="A383" s="4">
        <v>45613</v>
      </c>
      <c r="B383" s="4" t="s">
        <v>161</v>
      </c>
      <c r="C383" s="5" t="s">
        <v>217</v>
      </c>
      <c r="D383" s="5" t="s">
        <v>46</v>
      </c>
      <c r="E383" s="5" t="s">
        <v>63</v>
      </c>
      <c r="F383" s="5" t="s">
        <v>60</v>
      </c>
      <c r="G383" s="5" t="s">
        <v>28</v>
      </c>
      <c r="H383" s="5">
        <v>22</v>
      </c>
      <c r="I383" s="5">
        <v>783</v>
      </c>
      <c r="J383" s="5">
        <v>886</v>
      </c>
      <c r="K383" s="6">
        <f t="shared" si="20"/>
        <v>17226</v>
      </c>
      <c r="L383" s="6">
        <f t="shared" si="21"/>
        <v>19492</v>
      </c>
      <c r="M383" s="6">
        <f t="shared" si="22"/>
        <v>2266</v>
      </c>
      <c r="N383" s="6" t="str">
        <f t="shared" si="23"/>
        <v>profit</v>
      </c>
    </row>
    <row r="384" spans="1:14" ht="15.6" thickTop="1" thickBot="1" x14ac:dyDescent="0.35">
      <c r="A384" s="4">
        <v>45615</v>
      </c>
      <c r="B384" s="4" t="s">
        <v>161</v>
      </c>
      <c r="C384" s="5" t="s">
        <v>218</v>
      </c>
      <c r="D384" s="5" t="s">
        <v>46</v>
      </c>
      <c r="E384" s="5" t="s">
        <v>63</v>
      </c>
      <c r="F384" s="5" t="s">
        <v>39</v>
      </c>
      <c r="G384" s="5" t="s">
        <v>19</v>
      </c>
      <c r="H384" s="5">
        <v>21</v>
      </c>
      <c r="I384" s="5">
        <v>547</v>
      </c>
      <c r="J384" s="5">
        <v>784</v>
      </c>
      <c r="K384" s="6">
        <f t="shared" si="20"/>
        <v>11487</v>
      </c>
      <c r="L384" s="6">
        <f t="shared" si="21"/>
        <v>16464</v>
      </c>
      <c r="M384" s="6">
        <f t="shared" si="22"/>
        <v>4977</v>
      </c>
      <c r="N384" s="6" t="str">
        <f t="shared" si="23"/>
        <v>profit</v>
      </c>
    </row>
    <row r="385" spans="1:14" ht="15.6" thickTop="1" thickBot="1" x14ac:dyDescent="0.35">
      <c r="A385" s="4">
        <v>45617</v>
      </c>
      <c r="B385" s="4" t="s">
        <v>161</v>
      </c>
      <c r="C385" s="5" t="s">
        <v>219</v>
      </c>
      <c r="D385" s="5" t="s">
        <v>46</v>
      </c>
      <c r="E385" s="5" t="s">
        <v>63</v>
      </c>
      <c r="F385" s="5" t="s">
        <v>44</v>
      </c>
      <c r="G385" s="5" t="s">
        <v>28</v>
      </c>
      <c r="H385" s="5">
        <v>20</v>
      </c>
      <c r="I385" s="5">
        <v>737</v>
      </c>
      <c r="J385" s="5">
        <v>932</v>
      </c>
      <c r="K385" s="6">
        <f t="shared" si="20"/>
        <v>14740</v>
      </c>
      <c r="L385" s="6">
        <f t="shared" si="21"/>
        <v>18640</v>
      </c>
      <c r="M385" s="6">
        <f t="shared" si="22"/>
        <v>3900</v>
      </c>
      <c r="N385" s="6" t="str">
        <f t="shared" si="23"/>
        <v>profit</v>
      </c>
    </row>
    <row r="386" spans="1:14" ht="15.6" thickTop="1" thickBot="1" x14ac:dyDescent="0.35">
      <c r="A386" s="4">
        <v>45618</v>
      </c>
      <c r="B386" s="4" t="s">
        <v>161</v>
      </c>
      <c r="C386" s="5" t="s">
        <v>221</v>
      </c>
      <c r="D386" s="5" t="s">
        <v>46</v>
      </c>
      <c r="E386" s="5" t="s">
        <v>63</v>
      </c>
      <c r="F386" s="5" t="s">
        <v>27</v>
      </c>
      <c r="G386" s="5" t="s">
        <v>28</v>
      </c>
      <c r="H386" s="5">
        <v>25</v>
      </c>
      <c r="I386" s="5">
        <v>924</v>
      </c>
      <c r="J386" s="5">
        <v>1062</v>
      </c>
      <c r="K386" s="6">
        <f t="shared" ref="K386:K449" si="24">H386*I386</f>
        <v>23100</v>
      </c>
      <c r="L386" s="6">
        <f t="shared" ref="L386:L449" si="25">H386*J386</f>
        <v>26550</v>
      </c>
      <c r="M386" s="6">
        <f t="shared" ref="M386:M449" si="26">L386-K386</f>
        <v>3450</v>
      </c>
      <c r="N386" s="6" t="str">
        <f t="shared" ref="N386:N449" si="27">IF(M386&gt;0,"profit","loss")</f>
        <v>profit</v>
      </c>
    </row>
    <row r="387" spans="1:14" ht="15.6" thickTop="1" thickBot="1" x14ac:dyDescent="0.35">
      <c r="A387" s="4">
        <v>45619</v>
      </c>
      <c r="B387" s="4" t="s">
        <v>161</v>
      </c>
      <c r="C387" s="5" t="s">
        <v>223</v>
      </c>
      <c r="D387" s="5" t="s">
        <v>46</v>
      </c>
      <c r="E387" s="5" t="s">
        <v>63</v>
      </c>
      <c r="F387" s="5" t="s">
        <v>44</v>
      </c>
      <c r="G387" s="5" t="s">
        <v>28</v>
      </c>
      <c r="H387" s="5">
        <v>28</v>
      </c>
      <c r="I387" s="5">
        <v>665</v>
      </c>
      <c r="J387" s="5">
        <v>1467</v>
      </c>
      <c r="K387" s="6">
        <f t="shared" si="24"/>
        <v>18620</v>
      </c>
      <c r="L387" s="6">
        <f t="shared" si="25"/>
        <v>41076</v>
      </c>
      <c r="M387" s="6">
        <f t="shared" si="26"/>
        <v>22456</v>
      </c>
      <c r="N387" s="6" t="str">
        <f t="shared" si="27"/>
        <v>profit</v>
      </c>
    </row>
    <row r="388" spans="1:14" ht="15.6" thickTop="1" thickBot="1" x14ac:dyDescent="0.35">
      <c r="A388" s="4">
        <v>45620</v>
      </c>
      <c r="B388" s="4" t="s">
        <v>161</v>
      </c>
      <c r="C388" s="5" t="s">
        <v>225</v>
      </c>
      <c r="D388" s="5" t="s">
        <v>46</v>
      </c>
      <c r="E388" s="5" t="s">
        <v>63</v>
      </c>
      <c r="F388" s="5" t="s">
        <v>49</v>
      </c>
      <c r="G388" s="5" t="s">
        <v>28</v>
      </c>
      <c r="H388" s="5">
        <v>24</v>
      </c>
      <c r="I388" s="5">
        <v>839</v>
      </c>
      <c r="J388" s="5">
        <v>1092</v>
      </c>
      <c r="K388" s="6">
        <f t="shared" si="24"/>
        <v>20136</v>
      </c>
      <c r="L388" s="6">
        <f t="shared" si="25"/>
        <v>26208</v>
      </c>
      <c r="M388" s="6">
        <f t="shared" si="26"/>
        <v>6072</v>
      </c>
      <c r="N388" s="6" t="str">
        <f t="shared" si="27"/>
        <v>profit</v>
      </c>
    </row>
    <row r="389" spans="1:14" ht="15.6" thickTop="1" thickBot="1" x14ac:dyDescent="0.35">
      <c r="A389" s="4">
        <v>45621</v>
      </c>
      <c r="B389" s="4" t="s">
        <v>161</v>
      </c>
      <c r="C389" s="5" t="s">
        <v>226</v>
      </c>
      <c r="D389" s="5" t="s">
        <v>46</v>
      </c>
      <c r="E389" s="5" t="s">
        <v>63</v>
      </c>
      <c r="F389" s="5" t="s">
        <v>27</v>
      </c>
      <c r="G389" s="5" t="s">
        <v>28</v>
      </c>
      <c r="H389" s="5">
        <v>30</v>
      </c>
      <c r="I389" s="5">
        <v>790</v>
      </c>
      <c r="J389" s="5">
        <v>1245</v>
      </c>
      <c r="K389" s="6">
        <f t="shared" si="24"/>
        <v>23700</v>
      </c>
      <c r="L389" s="6">
        <f t="shared" si="25"/>
        <v>37350</v>
      </c>
      <c r="M389" s="6">
        <f t="shared" si="26"/>
        <v>13650</v>
      </c>
      <c r="N389" s="6" t="str">
        <f t="shared" si="27"/>
        <v>profit</v>
      </c>
    </row>
    <row r="390" spans="1:14" ht="15.6" thickTop="1" thickBot="1" x14ac:dyDescent="0.35">
      <c r="A390" s="4">
        <v>45622</v>
      </c>
      <c r="B390" s="4" t="s">
        <v>161</v>
      </c>
      <c r="C390" s="5" t="s">
        <v>227</v>
      </c>
      <c r="D390" s="5" t="s">
        <v>46</v>
      </c>
      <c r="E390" s="5" t="s">
        <v>63</v>
      </c>
      <c r="F390" s="5" t="s">
        <v>52</v>
      </c>
      <c r="G390" s="5" t="s">
        <v>19</v>
      </c>
      <c r="H390" s="5">
        <v>30</v>
      </c>
      <c r="I390" s="5">
        <v>651</v>
      </c>
      <c r="J390" s="5">
        <v>1277</v>
      </c>
      <c r="K390" s="6">
        <f t="shared" si="24"/>
        <v>19530</v>
      </c>
      <c r="L390" s="6">
        <f t="shared" si="25"/>
        <v>38310</v>
      </c>
      <c r="M390" s="6">
        <f t="shared" si="26"/>
        <v>18780</v>
      </c>
      <c r="N390" s="6" t="str">
        <f t="shared" si="27"/>
        <v>profit</v>
      </c>
    </row>
    <row r="391" spans="1:14" ht="15.6" thickTop="1" thickBot="1" x14ac:dyDescent="0.35">
      <c r="A391" s="4">
        <v>45441</v>
      </c>
      <c r="B391" s="4" t="s">
        <v>97</v>
      </c>
      <c r="C391" s="5" t="s">
        <v>108</v>
      </c>
      <c r="D391" s="5" t="s">
        <v>33</v>
      </c>
      <c r="E391" s="5" t="s">
        <v>99</v>
      </c>
      <c r="F391" s="5" t="s">
        <v>54</v>
      </c>
      <c r="G391" s="5" t="s">
        <v>28</v>
      </c>
      <c r="H391" s="5">
        <v>67</v>
      </c>
      <c r="I391" s="5">
        <v>796</v>
      </c>
      <c r="J391" s="5">
        <v>1347</v>
      </c>
      <c r="K391" s="6">
        <f t="shared" si="24"/>
        <v>53332</v>
      </c>
      <c r="L391" s="6">
        <f t="shared" si="25"/>
        <v>90249</v>
      </c>
      <c r="M391" s="6">
        <f t="shared" si="26"/>
        <v>36917</v>
      </c>
      <c r="N391" s="6" t="str">
        <f t="shared" si="27"/>
        <v>profit</v>
      </c>
    </row>
    <row r="392" spans="1:14" ht="15.6" thickTop="1" thickBot="1" x14ac:dyDescent="0.35">
      <c r="A392" s="4">
        <v>45623</v>
      </c>
      <c r="B392" s="4" t="s">
        <v>161</v>
      </c>
      <c r="C392" s="5" t="s">
        <v>228</v>
      </c>
      <c r="D392" s="5" t="s">
        <v>46</v>
      </c>
      <c r="E392" s="5" t="s">
        <v>63</v>
      </c>
      <c r="F392" s="5" t="s">
        <v>54</v>
      </c>
      <c r="G392" s="5" t="s">
        <v>19</v>
      </c>
      <c r="H392" s="5">
        <v>23</v>
      </c>
      <c r="I392" s="5">
        <v>531</v>
      </c>
      <c r="J392" s="5">
        <v>1072</v>
      </c>
      <c r="K392" s="6">
        <f t="shared" si="24"/>
        <v>12213</v>
      </c>
      <c r="L392" s="6">
        <f t="shared" si="25"/>
        <v>24656</v>
      </c>
      <c r="M392" s="6">
        <f t="shared" si="26"/>
        <v>12443</v>
      </c>
      <c r="N392" s="6" t="str">
        <f t="shared" si="27"/>
        <v>profit</v>
      </c>
    </row>
    <row r="393" spans="1:14" ht="15.6" thickTop="1" thickBot="1" x14ac:dyDescent="0.35">
      <c r="A393" s="4">
        <v>45624</v>
      </c>
      <c r="B393" s="4" t="s">
        <v>161</v>
      </c>
      <c r="C393" s="5" t="s">
        <v>229</v>
      </c>
      <c r="D393" s="5" t="s">
        <v>46</v>
      </c>
      <c r="E393" s="5" t="s">
        <v>118</v>
      </c>
      <c r="F393" s="5" t="s">
        <v>35</v>
      </c>
      <c r="G393" s="5" t="s">
        <v>19</v>
      </c>
      <c r="H393" s="5">
        <v>30</v>
      </c>
      <c r="I393" s="5">
        <v>591</v>
      </c>
      <c r="J393" s="5">
        <v>949</v>
      </c>
      <c r="K393" s="6">
        <f t="shared" si="24"/>
        <v>17730</v>
      </c>
      <c r="L393" s="6">
        <f t="shared" si="25"/>
        <v>28470</v>
      </c>
      <c r="M393" s="6">
        <f t="shared" si="26"/>
        <v>10740</v>
      </c>
      <c r="N393" s="6" t="str">
        <f t="shared" si="27"/>
        <v>profit</v>
      </c>
    </row>
    <row r="394" spans="1:14" ht="15.6" thickTop="1" thickBot="1" x14ac:dyDescent="0.35">
      <c r="A394" s="4">
        <v>45625</v>
      </c>
      <c r="B394" s="4" t="s">
        <v>161</v>
      </c>
      <c r="C394" s="5" t="s">
        <v>230</v>
      </c>
      <c r="D394" s="5" t="s">
        <v>46</v>
      </c>
      <c r="E394" s="5" t="s">
        <v>118</v>
      </c>
      <c r="F394" s="5" t="s">
        <v>39</v>
      </c>
      <c r="G394" s="5" t="s">
        <v>19</v>
      </c>
      <c r="H394" s="5">
        <v>29</v>
      </c>
      <c r="I394" s="5">
        <v>621</v>
      </c>
      <c r="J394" s="5">
        <v>1485</v>
      </c>
      <c r="K394" s="6">
        <f t="shared" si="24"/>
        <v>18009</v>
      </c>
      <c r="L394" s="6">
        <f t="shared" si="25"/>
        <v>43065</v>
      </c>
      <c r="M394" s="6">
        <f t="shared" si="26"/>
        <v>25056</v>
      </c>
      <c r="N394" s="6" t="str">
        <f t="shared" si="27"/>
        <v>profit</v>
      </c>
    </row>
    <row r="395" spans="1:14" ht="15.6" thickTop="1" thickBot="1" x14ac:dyDescent="0.35">
      <c r="A395" s="4">
        <v>45627</v>
      </c>
      <c r="B395" s="4" t="s">
        <v>190</v>
      </c>
      <c r="C395" s="5" t="s">
        <v>232</v>
      </c>
      <c r="D395" s="5" t="s">
        <v>46</v>
      </c>
      <c r="E395" s="5" t="s">
        <v>118</v>
      </c>
      <c r="F395" s="5" t="s">
        <v>64</v>
      </c>
      <c r="G395" s="5" t="s">
        <v>19</v>
      </c>
      <c r="H395" s="5">
        <v>30</v>
      </c>
      <c r="I395" s="5">
        <v>857</v>
      </c>
      <c r="J395" s="5">
        <v>1455</v>
      </c>
      <c r="K395" s="6">
        <f t="shared" si="24"/>
        <v>25710</v>
      </c>
      <c r="L395" s="6">
        <f t="shared" si="25"/>
        <v>43650</v>
      </c>
      <c r="M395" s="6">
        <f t="shared" si="26"/>
        <v>17940</v>
      </c>
      <c r="N395" s="6" t="str">
        <f t="shared" si="27"/>
        <v>profit</v>
      </c>
    </row>
    <row r="396" spans="1:14" ht="15.6" thickTop="1" thickBot="1" x14ac:dyDescent="0.35">
      <c r="A396" s="4">
        <v>45628</v>
      </c>
      <c r="B396" s="4" t="s">
        <v>190</v>
      </c>
      <c r="C396" s="5" t="s">
        <v>233</v>
      </c>
      <c r="D396" s="5" t="s">
        <v>46</v>
      </c>
      <c r="E396" s="5" t="s">
        <v>118</v>
      </c>
      <c r="F396" s="5" t="s">
        <v>64</v>
      </c>
      <c r="G396" s="5" t="s">
        <v>19</v>
      </c>
      <c r="H396" s="5">
        <v>20</v>
      </c>
      <c r="I396" s="5">
        <v>897</v>
      </c>
      <c r="J396" s="5">
        <v>1024</v>
      </c>
      <c r="K396" s="6">
        <f t="shared" si="24"/>
        <v>17940</v>
      </c>
      <c r="L396" s="6">
        <f t="shared" si="25"/>
        <v>20480</v>
      </c>
      <c r="M396" s="6">
        <f t="shared" si="26"/>
        <v>2540</v>
      </c>
      <c r="N396" s="6" t="str">
        <f t="shared" si="27"/>
        <v>profit</v>
      </c>
    </row>
    <row r="397" spans="1:14" ht="15.6" thickTop="1" thickBot="1" x14ac:dyDescent="0.35">
      <c r="A397" s="4">
        <v>45630</v>
      </c>
      <c r="B397" s="4" t="s">
        <v>190</v>
      </c>
      <c r="C397" s="5" t="s">
        <v>234</v>
      </c>
      <c r="D397" s="5" t="s">
        <v>46</v>
      </c>
      <c r="E397" s="5" t="s">
        <v>118</v>
      </c>
      <c r="F397" s="5" t="s">
        <v>39</v>
      </c>
      <c r="G397" s="5" t="s">
        <v>28</v>
      </c>
      <c r="H397" s="5">
        <v>22</v>
      </c>
      <c r="I397" s="5">
        <v>781</v>
      </c>
      <c r="J397" s="5">
        <v>1423</v>
      </c>
      <c r="K397" s="6">
        <f t="shared" si="24"/>
        <v>17182</v>
      </c>
      <c r="L397" s="6">
        <f t="shared" si="25"/>
        <v>31306</v>
      </c>
      <c r="M397" s="6">
        <f t="shared" si="26"/>
        <v>14124</v>
      </c>
      <c r="N397" s="6" t="str">
        <f t="shared" si="27"/>
        <v>profit</v>
      </c>
    </row>
    <row r="398" spans="1:14" ht="15.6" thickTop="1" thickBot="1" x14ac:dyDescent="0.35">
      <c r="A398" s="4">
        <v>45631</v>
      </c>
      <c r="B398" s="4" t="s">
        <v>190</v>
      </c>
      <c r="C398" s="5" t="s">
        <v>235</v>
      </c>
      <c r="D398" s="5" t="s">
        <v>46</v>
      </c>
      <c r="E398" s="5" t="s">
        <v>118</v>
      </c>
      <c r="F398" s="5" t="s">
        <v>30</v>
      </c>
      <c r="G398" s="5" t="s">
        <v>28</v>
      </c>
      <c r="H398" s="5">
        <v>20</v>
      </c>
      <c r="I398" s="5">
        <v>854</v>
      </c>
      <c r="J398" s="5">
        <v>956</v>
      </c>
      <c r="K398" s="6">
        <f t="shared" si="24"/>
        <v>17080</v>
      </c>
      <c r="L398" s="6">
        <f t="shared" si="25"/>
        <v>19120</v>
      </c>
      <c r="M398" s="6">
        <f t="shared" si="26"/>
        <v>2040</v>
      </c>
      <c r="N398" s="6" t="str">
        <f t="shared" si="27"/>
        <v>profit</v>
      </c>
    </row>
    <row r="399" spans="1:14" ht="15.6" thickTop="1" thickBot="1" x14ac:dyDescent="0.35">
      <c r="A399" s="4">
        <v>45632</v>
      </c>
      <c r="B399" s="4" t="s">
        <v>190</v>
      </c>
      <c r="C399" s="5" t="s">
        <v>236</v>
      </c>
      <c r="D399" s="5" t="s">
        <v>46</v>
      </c>
      <c r="E399" s="5" t="s">
        <v>118</v>
      </c>
      <c r="F399" s="5" t="s">
        <v>113</v>
      </c>
      <c r="G399" s="5" t="s">
        <v>28</v>
      </c>
      <c r="H399" s="5">
        <v>26</v>
      </c>
      <c r="I399" s="5">
        <v>909</v>
      </c>
      <c r="J399" s="5">
        <v>1206</v>
      </c>
      <c r="K399" s="6">
        <f t="shared" si="24"/>
        <v>23634</v>
      </c>
      <c r="L399" s="6">
        <f t="shared" si="25"/>
        <v>31356</v>
      </c>
      <c r="M399" s="6">
        <f t="shared" si="26"/>
        <v>7722</v>
      </c>
      <c r="N399" s="6" t="str">
        <f t="shared" si="27"/>
        <v>profit</v>
      </c>
    </row>
    <row r="400" spans="1:14" ht="15.6" thickTop="1" thickBot="1" x14ac:dyDescent="0.35">
      <c r="A400" s="4">
        <v>45633</v>
      </c>
      <c r="B400" s="4" t="s">
        <v>190</v>
      </c>
      <c r="C400" s="5" t="s">
        <v>237</v>
      </c>
      <c r="D400" s="5" t="s">
        <v>46</v>
      </c>
      <c r="E400" s="5" t="s">
        <v>118</v>
      </c>
      <c r="F400" s="5" t="s">
        <v>44</v>
      </c>
      <c r="G400" s="5" t="s">
        <v>19</v>
      </c>
      <c r="H400" s="5">
        <v>20</v>
      </c>
      <c r="I400" s="5">
        <v>976</v>
      </c>
      <c r="J400" s="5">
        <v>905</v>
      </c>
      <c r="K400" s="6">
        <f t="shared" si="24"/>
        <v>19520</v>
      </c>
      <c r="L400" s="6">
        <f t="shared" si="25"/>
        <v>18100</v>
      </c>
      <c r="M400" s="6">
        <f t="shared" si="26"/>
        <v>-1420</v>
      </c>
      <c r="N400" s="6" t="str">
        <f t="shared" si="27"/>
        <v>loss</v>
      </c>
    </row>
    <row r="401" spans="1:14" ht="15.6" thickTop="1" thickBot="1" x14ac:dyDescent="0.35">
      <c r="A401" s="4">
        <v>45635</v>
      </c>
      <c r="B401" s="4" t="s">
        <v>190</v>
      </c>
      <c r="C401" s="5" t="s">
        <v>238</v>
      </c>
      <c r="D401" s="5" t="s">
        <v>46</v>
      </c>
      <c r="E401" s="5" t="s">
        <v>118</v>
      </c>
      <c r="F401" s="5" t="s">
        <v>155</v>
      </c>
      <c r="G401" s="5" t="s">
        <v>28</v>
      </c>
      <c r="H401" s="5">
        <v>24</v>
      </c>
      <c r="I401" s="5">
        <v>787</v>
      </c>
      <c r="J401" s="5">
        <v>1122</v>
      </c>
      <c r="K401" s="6">
        <f t="shared" si="24"/>
        <v>18888</v>
      </c>
      <c r="L401" s="6">
        <f t="shared" si="25"/>
        <v>26928</v>
      </c>
      <c r="M401" s="6">
        <f t="shared" si="26"/>
        <v>8040</v>
      </c>
      <c r="N401" s="6" t="str">
        <f t="shared" si="27"/>
        <v>profit</v>
      </c>
    </row>
    <row r="402" spans="1:14" ht="15.6" thickTop="1" thickBot="1" x14ac:dyDescent="0.35">
      <c r="A402" s="4">
        <v>45689</v>
      </c>
      <c r="B402" s="4" t="s">
        <v>239</v>
      </c>
      <c r="C402" s="5" t="s">
        <v>240</v>
      </c>
      <c r="D402" s="5" t="s">
        <v>46</v>
      </c>
      <c r="E402" s="5" t="s">
        <v>118</v>
      </c>
      <c r="F402" s="5" t="s">
        <v>44</v>
      </c>
      <c r="G402" s="5" t="s">
        <v>19</v>
      </c>
      <c r="H402" s="5">
        <v>23</v>
      </c>
      <c r="I402" s="5">
        <v>755</v>
      </c>
      <c r="J402" s="5">
        <v>806</v>
      </c>
      <c r="K402" s="6">
        <f t="shared" si="24"/>
        <v>17365</v>
      </c>
      <c r="L402" s="6">
        <f t="shared" si="25"/>
        <v>18538</v>
      </c>
      <c r="M402" s="6">
        <f t="shared" si="26"/>
        <v>1173</v>
      </c>
      <c r="N402" s="6" t="str">
        <f t="shared" si="27"/>
        <v>profit</v>
      </c>
    </row>
    <row r="403" spans="1:14" ht="15.6" thickTop="1" thickBot="1" x14ac:dyDescent="0.35">
      <c r="A403" s="4">
        <v>45690</v>
      </c>
      <c r="B403" s="4" t="s">
        <v>239</v>
      </c>
      <c r="C403" s="5" t="s">
        <v>241</v>
      </c>
      <c r="D403" s="5" t="s">
        <v>46</v>
      </c>
      <c r="E403" s="5" t="s">
        <v>118</v>
      </c>
      <c r="F403" s="5" t="s">
        <v>153</v>
      </c>
      <c r="G403" s="5" t="s">
        <v>19</v>
      </c>
      <c r="H403" s="5">
        <v>26</v>
      </c>
      <c r="I403" s="5">
        <v>573</v>
      </c>
      <c r="J403" s="5">
        <v>1309</v>
      </c>
      <c r="K403" s="6">
        <f t="shared" si="24"/>
        <v>14898</v>
      </c>
      <c r="L403" s="6">
        <f t="shared" si="25"/>
        <v>34034</v>
      </c>
      <c r="M403" s="6">
        <f t="shared" si="26"/>
        <v>19136</v>
      </c>
      <c r="N403" s="6" t="str">
        <f t="shared" si="27"/>
        <v>profit</v>
      </c>
    </row>
    <row r="404" spans="1:14" ht="15.6" thickTop="1" thickBot="1" x14ac:dyDescent="0.35">
      <c r="A404" s="4">
        <v>45691</v>
      </c>
      <c r="B404" s="4" t="s">
        <v>239</v>
      </c>
      <c r="C404" s="5" t="s">
        <v>242</v>
      </c>
      <c r="D404" s="5" t="s">
        <v>46</v>
      </c>
      <c r="E404" s="5" t="s">
        <v>118</v>
      </c>
      <c r="F404" s="5" t="s">
        <v>155</v>
      </c>
      <c r="G404" s="5" t="s">
        <v>19</v>
      </c>
      <c r="H404" s="5">
        <v>30</v>
      </c>
      <c r="I404" s="5">
        <v>946</v>
      </c>
      <c r="J404" s="5">
        <v>1089</v>
      </c>
      <c r="K404" s="6">
        <f t="shared" si="24"/>
        <v>28380</v>
      </c>
      <c r="L404" s="6">
        <f t="shared" si="25"/>
        <v>32670</v>
      </c>
      <c r="M404" s="6">
        <f t="shared" si="26"/>
        <v>4290</v>
      </c>
      <c r="N404" s="6" t="str">
        <f t="shared" si="27"/>
        <v>profit</v>
      </c>
    </row>
    <row r="405" spans="1:14" ht="15.6" thickTop="1" thickBot="1" x14ac:dyDescent="0.35">
      <c r="A405" s="4">
        <v>45692</v>
      </c>
      <c r="B405" s="4" t="s">
        <v>239</v>
      </c>
      <c r="C405" s="5" t="s">
        <v>244</v>
      </c>
      <c r="D405" s="5" t="s">
        <v>46</v>
      </c>
      <c r="E405" s="5" t="s">
        <v>118</v>
      </c>
      <c r="F405" s="5" t="s">
        <v>18</v>
      </c>
      <c r="G405" s="5" t="s">
        <v>28</v>
      </c>
      <c r="H405" s="5">
        <v>22</v>
      </c>
      <c r="I405" s="5">
        <v>679</v>
      </c>
      <c r="J405" s="5">
        <v>1463</v>
      </c>
      <c r="K405" s="6">
        <f t="shared" si="24"/>
        <v>14938</v>
      </c>
      <c r="L405" s="6">
        <f t="shared" si="25"/>
        <v>32186</v>
      </c>
      <c r="M405" s="6">
        <f t="shared" si="26"/>
        <v>17248</v>
      </c>
      <c r="N405" s="6" t="str">
        <f t="shared" si="27"/>
        <v>profit</v>
      </c>
    </row>
    <row r="406" spans="1:14" ht="15.6" thickTop="1" thickBot="1" x14ac:dyDescent="0.35">
      <c r="A406" s="4">
        <v>45693</v>
      </c>
      <c r="B406" s="4" t="s">
        <v>239</v>
      </c>
      <c r="C406" s="5" t="s">
        <v>245</v>
      </c>
      <c r="D406" s="5" t="s">
        <v>46</v>
      </c>
      <c r="E406" s="5" t="s">
        <v>118</v>
      </c>
      <c r="F406" s="5" t="s">
        <v>21</v>
      </c>
      <c r="G406" s="5" t="s">
        <v>28</v>
      </c>
      <c r="H406" s="5">
        <v>25</v>
      </c>
      <c r="I406" s="5">
        <v>975</v>
      </c>
      <c r="J406" s="5">
        <v>935</v>
      </c>
      <c r="K406" s="6">
        <f t="shared" si="24"/>
        <v>24375</v>
      </c>
      <c r="L406" s="6">
        <f t="shared" si="25"/>
        <v>23375</v>
      </c>
      <c r="M406" s="6">
        <f t="shared" si="26"/>
        <v>-1000</v>
      </c>
      <c r="N406" s="6" t="str">
        <f t="shared" si="27"/>
        <v>loss</v>
      </c>
    </row>
    <row r="407" spans="1:14" ht="15.6" thickTop="1" thickBot="1" x14ac:dyDescent="0.35">
      <c r="A407" s="4">
        <v>45694</v>
      </c>
      <c r="B407" s="4" t="s">
        <v>239</v>
      </c>
      <c r="C407" s="5" t="s">
        <v>246</v>
      </c>
      <c r="D407" s="5" t="s">
        <v>46</v>
      </c>
      <c r="E407" s="5" t="s">
        <v>118</v>
      </c>
      <c r="F407" s="5" t="s">
        <v>23</v>
      </c>
      <c r="G407" s="5" t="s">
        <v>28</v>
      </c>
      <c r="H407" s="5">
        <v>24</v>
      </c>
      <c r="I407" s="5">
        <v>642</v>
      </c>
      <c r="J407" s="5">
        <v>996</v>
      </c>
      <c r="K407" s="6">
        <f t="shared" si="24"/>
        <v>15408</v>
      </c>
      <c r="L407" s="6">
        <f t="shared" si="25"/>
        <v>23904</v>
      </c>
      <c r="M407" s="6">
        <f t="shared" si="26"/>
        <v>8496</v>
      </c>
      <c r="N407" s="6" t="str">
        <f t="shared" si="27"/>
        <v>profit</v>
      </c>
    </row>
    <row r="408" spans="1:14" ht="15.6" thickTop="1" thickBot="1" x14ac:dyDescent="0.35">
      <c r="A408" s="4">
        <v>45458</v>
      </c>
      <c r="B408" s="4" t="s">
        <v>14</v>
      </c>
      <c r="C408" s="5" t="s">
        <v>114</v>
      </c>
      <c r="D408" s="5" t="s">
        <v>16</v>
      </c>
      <c r="E408" s="5" t="s">
        <v>17</v>
      </c>
      <c r="F408" s="5" t="s">
        <v>25</v>
      </c>
      <c r="G408" s="5" t="s">
        <v>19</v>
      </c>
      <c r="H408" s="5">
        <v>14</v>
      </c>
      <c r="I408" s="5">
        <v>603</v>
      </c>
      <c r="J408" s="5">
        <v>1104</v>
      </c>
      <c r="K408" s="6">
        <f t="shared" si="24"/>
        <v>8442</v>
      </c>
      <c r="L408" s="6">
        <f t="shared" si="25"/>
        <v>15456</v>
      </c>
      <c r="M408" s="6">
        <f t="shared" si="26"/>
        <v>7014</v>
      </c>
      <c r="N408" s="6" t="str">
        <f t="shared" si="27"/>
        <v>profit</v>
      </c>
    </row>
    <row r="409" spans="1:14" ht="15.6" thickTop="1" thickBot="1" x14ac:dyDescent="0.35">
      <c r="A409" s="4">
        <v>45695</v>
      </c>
      <c r="B409" s="4" t="s">
        <v>239</v>
      </c>
      <c r="C409" s="5" t="s">
        <v>248</v>
      </c>
      <c r="D409" s="5" t="s">
        <v>46</v>
      </c>
      <c r="E409" s="5" t="s">
        <v>118</v>
      </c>
      <c r="F409" s="5" t="s">
        <v>25</v>
      </c>
      <c r="G409" s="5" t="s">
        <v>28</v>
      </c>
      <c r="H409" s="5">
        <v>29</v>
      </c>
      <c r="I409" s="5">
        <v>598</v>
      </c>
      <c r="J409" s="5">
        <v>923</v>
      </c>
      <c r="K409" s="6">
        <f t="shared" si="24"/>
        <v>17342</v>
      </c>
      <c r="L409" s="6">
        <f t="shared" si="25"/>
        <v>26767</v>
      </c>
      <c r="M409" s="6">
        <f t="shared" si="26"/>
        <v>9425</v>
      </c>
      <c r="N409" s="6" t="str">
        <f t="shared" si="27"/>
        <v>profit</v>
      </c>
    </row>
    <row r="410" spans="1:14" ht="15.6" thickTop="1" thickBot="1" x14ac:dyDescent="0.35">
      <c r="A410" s="4">
        <v>45696</v>
      </c>
      <c r="B410" s="4" t="s">
        <v>239</v>
      </c>
      <c r="C410" s="5" t="s">
        <v>249</v>
      </c>
      <c r="D410" s="5" t="s">
        <v>46</v>
      </c>
      <c r="E410" s="5" t="s">
        <v>118</v>
      </c>
      <c r="F410" s="5" t="s">
        <v>25</v>
      </c>
      <c r="G410" s="5" t="s">
        <v>28</v>
      </c>
      <c r="H410" s="5">
        <v>22</v>
      </c>
      <c r="I410" s="5">
        <v>719</v>
      </c>
      <c r="J410" s="5">
        <v>1079</v>
      </c>
      <c r="K410" s="6">
        <f t="shared" si="24"/>
        <v>15818</v>
      </c>
      <c r="L410" s="6">
        <f t="shared" si="25"/>
        <v>23738</v>
      </c>
      <c r="M410" s="6">
        <f t="shared" si="26"/>
        <v>7920</v>
      </c>
      <c r="N410" s="6" t="str">
        <f t="shared" si="27"/>
        <v>profit</v>
      </c>
    </row>
    <row r="411" spans="1:14" ht="15.6" thickTop="1" thickBot="1" x14ac:dyDescent="0.35">
      <c r="A411" s="4">
        <v>45697</v>
      </c>
      <c r="B411" s="4" t="s">
        <v>239</v>
      </c>
      <c r="C411" s="5" t="s">
        <v>250</v>
      </c>
      <c r="D411" s="5" t="s">
        <v>46</v>
      </c>
      <c r="E411" s="5" t="s">
        <v>118</v>
      </c>
      <c r="F411" s="5" t="s">
        <v>27</v>
      </c>
      <c r="G411" s="5" t="s">
        <v>19</v>
      </c>
      <c r="H411" s="5">
        <v>30</v>
      </c>
      <c r="I411" s="5">
        <v>716</v>
      </c>
      <c r="J411" s="5">
        <v>956</v>
      </c>
      <c r="K411" s="6">
        <f t="shared" si="24"/>
        <v>21480</v>
      </c>
      <c r="L411" s="6">
        <f t="shared" si="25"/>
        <v>28680</v>
      </c>
      <c r="M411" s="6">
        <f t="shared" si="26"/>
        <v>7200</v>
      </c>
      <c r="N411" s="6" t="str">
        <f t="shared" si="27"/>
        <v>profit</v>
      </c>
    </row>
    <row r="412" spans="1:14" ht="15.6" thickTop="1" thickBot="1" x14ac:dyDescent="0.35">
      <c r="A412" s="4">
        <v>45699</v>
      </c>
      <c r="B412" s="4" t="s">
        <v>239</v>
      </c>
      <c r="C412" s="5" t="s">
        <v>251</v>
      </c>
      <c r="D412" s="5" t="s">
        <v>46</v>
      </c>
      <c r="E412" s="5" t="s">
        <v>118</v>
      </c>
      <c r="F412" s="5" t="s">
        <v>35</v>
      </c>
      <c r="G412" s="5" t="s">
        <v>19</v>
      </c>
      <c r="H412" s="5">
        <v>29</v>
      </c>
      <c r="I412" s="5">
        <v>623</v>
      </c>
      <c r="J412" s="5">
        <v>919</v>
      </c>
      <c r="K412" s="6">
        <f t="shared" si="24"/>
        <v>18067</v>
      </c>
      <c r="L412" s="6">
        <f t="shared" si="25"/>
        <v>26651</v>
      </c>
      <c r="M412" s="6">
        <f t="shared" si="26"/>
        <v>8584</v>
      </c>
      <c r="N412" s="6" t="str">
        <f t="shared" si="27"/>
        <v>profit</v>
      </c>
    </row>
    <row r="413" spans="1:14" ht="15.6" thickTop="1" thickBot="1" x14ac:dyDescent="0.35">
      <c r="A413" s="4">
        <v>45383</v>
      </c>
      <c r="B413" s="4" t="s">
        <v>31</v>
      </c>
      <c r="C413" s="5" t="s">
        <v>131</v>
      </c>
      <c r="D413" s="5" t="s">
        <v>46</v>
      </c>
      <c r="E413" s="5" t="s">
        <v>47</v>
      </c>
      <c r="F413" s="5" t="s">
        <v>71</v>
      </c>
      <c r="G413" s="5" t="s">
        <v>28</v>
      </c>
      <c r="H413" s="5">
        <v>21</v>
      </c>
      <c r="I413" s="5">
        <v>553</v>
      </c>
      <c r="J413" s="5">
        <v>1459</v>
      </c>
      <c r="K413" s="6">
        <f t="shared" si="24"/>
        <v>11613</v>
      </c>
      <c r="L413" s="6">
        <f t="shared" si="25"/>
        <v>30639</v>
      </c>
      <c r="M413" s="6">
        <f t="shared" si="26"/>
        <v>19026</v>
      </c>
      <c r="N413" s="6" t="str">
        <f t="shared" si="27"/>
        <v>profit</v>
      </c>
    </row>
    <row r="414" spans="1:14" ht="15.6" thickTop="1" thickBot="1" x14ac:dyDescent="0.35">
      <c r="A414" s="4">
        <v>45464</v>
      </c>
      <c r="B414" s="4" t="s">
        <v>14</v>
      </c>
      <c r="C414" s="5" t="s">
        <v>115</v>
      </c>
      <c r="D414" s="5" t="s">
        <v>33</v>
      </c>
      <c r="E414" s="5" t="s">
        <v>99</v>
      </c>
      <c r="F414" s="5" t="s">
        <v>44</v>
      </c>
      <c r="G414" s="5" t="s">
        <v>19</v>
      </c>
      <c r="H414" s="5">
        <v>77</v>
      </c>
      <c r="I414" s="5">
        <v>923</v>
      </c>
      <c r="J414" s="5">
        <v>1132</v>
      </c>
      <c r="K414" s="6">
        <f t="shared" si="24"/>
        <v>71071</v>
      </c>
      <c r="L414" s="6">
        <f t="shared" si="25"/>
        <v>87164</v>
      </c>
      <c r="M414" s="6">
        <f t="shared" si="26"/>
        <v>16093</v>
      </c>
      <c r="N414" s="6" t="str">
        <f t="shared" si="27"/>
        <v>profit</v>
      </c>
    </row>
    <row r="415" spans="1:14" ht="15.6" thickTop="1" thickBot="1" x14ac:dyDescent="0.35">
      <c r="A415" s="4">
        <v>45384</v>
      </c>
      <c r="B415" s="4" t="s">
        <v>31</v>
      </c>
      <c r="C415" s="5" t="s">
        <v>132</v>
      </c>
      <c r="D415" s="5" t="s">
        <v>46</v>
      </c>
      <c r="E415" s="5" t="s">
        <v>133</v>
      </c>
      <c r="F415" s="5" t="s">
        <v>44</v>
      </c>
      <c r="G415" s="5" t="s">
        <v>28</v>
      </c>
      <c r="H415" s="5">
        <v>30</v>
      </c>
      <c r="I415" s="5">
        <v>719</v>
      </c>
      <c r="J415" s="5">
        <v>1162</v>
      </c>
      <c r="K415" s="6">
        <f t="shared" si="24"/>
        <v>21570</v>
      </c>
      <c r="L415" s="6">
        <f t="shared" si="25"/>
        <v>34860</v>
      </c>
      <c r="M415" s="6">
        <f t="shared" si="26"/>
        <v>13290</v>
      </c>
      <c r="N415" s="6" t="str">
        <f t="shared" si="27"/>
        <v>profit</v>
      </c>
    </row>
    <row r="416" spans="1:14" ht="15.6" thickTop="1" thickBot="1" x14ac:dyDescent="0.35">
      <c r="A416" s="4">
        <v>45385</v>
      </c>
      <c r="B416" s="4" t="s">
        <v>31</v>
      </c>
      <c r="C416" s="5" t="s">
        <v>134</v>
      </c>
      <c r="D416" s="5" t="s">
        <v>46</v>
      </c>
      <c r="E416" s="5" t="s">
        <v>133</v>
      </c>
      <c r="F416" s="5" t="s">
        <v>25</v>
      </c>
      <c r="G416" s="5" t="s">
        <v>28</v>
      </c>
      <c r="H416" s="5">
        <v>25</v>
      </c>
      <c r="I416" s="5">
        <v>980</v>
      </c>
      <c r="J416" s="5">
        <v>926</v>
      </c>
      <c r="K416" s="6">
        <f t="shared" si="24"/>
        <v>24500</v>
      </c>
      <c r="L416" s="6">
        <f t="shared" si="25"/>
        <v>23150</v>
      </c>
      <c r="M416" s="6">
        <f t="shared" si="26"/>
        <v>-1350</v>
      </c>
      <c r="N416" s="6" t="str">
        <f t="shared" si="27"/>
        <v>loss</v>
      </c>
    </row>
    <row r="417" spans="1:14" ht="15.6" thickTop="1" thickBot="1" x14ac:dyDescent="0.35">
      <c r="A417" s="4">
        <v>45386</v>
      </c>
      <c r="B417" s="4" t="s">
        <v>31</v>
      </c>
      <c r="C417" s="5" t="s">
        <v>136</v>
      </c>
      <c r="D417" s="5" t="s">
        <v>46</v>
      </c>
      <c r="E417" s="5" t="s">
        <v>133</v>
      </c>
      <c r="F417" s="5" t="s">
        <v>64</v>
      </c>
      <c r="G417" s="5" t="s">
        <v>28</v>
      </c>
      <c r="H417" s="5">
        <v>22</v>
      </c>
      <c r="I417" s="5">
        <v>718</v>
      </c>
      <c r="J417" s="5">
        <v>1335</v>
      </c>
      <c r="K417" s="6">
        <f t="shared" si="24"/>
        <v>15796</v>
      </c>
      <c r="L417" s="6">
        <f t="shared" si="25"/>
        <v>29370</v>
      </c>
      <c r="M417" s="6">
        <f t="shared" si="26"/>
        <v>13574</v>
      </c>
      <c r="N417" s="6" t="str">
        <f t="shared" si="27"/>
        <v>profit</v>
      </c>
    </row>
    <row r="418" spans="1:14" ht="15.6" thickTop="1" thickBot="1" x14ac:dyDescent="0.35">
      <c r="A418" s="4">
        <v>45391</v>
      </c>
      <c r="B418" s="4" t="s">
        <v>31</v>
      </c>
      <c r="C418" s="5" t="s">
        <v>137</v>
      </c>
      <c r="D418" s="5" t="s">
        <v>46</v>
      </c>
      <c r="E418" s="5" t="s">
        <v>47</v>
      </c>
      <c r="F418" s="5" t="s">
        <v>60</v>
      </c>
      <c r="G418" s="5" t="s">
        <v>19</v>
      </c>
      <c r="H418" s="5">
        <v>30</v>
      </c>
      <c r="I418" s="5">
        <v>520</v>
      </c>
      <c r="J418" s="5">
        <v>1251</v>
      </c>
      <c r="K418" s="6">
        <f t="shared" si="24"/>
        <v>15600</v>
      </c>
      <c r="L418" s="6">
        <f t="shared" si="25"/>
        <v>37530</v>
      </c>
      <c r="M418" s="6">
        <f t="shared" si="26"/>
        <v>21930</v>
      </c>
      <c r="N418" s="6" t="str">
        <f t="shared" si="27"/>
        <v>profit</v>
      </c>
    </row>
    <row r="419" spans="1:14" ht="15.6" thickTop="1" thickBot="1" x14ac:dyDescent="0.35">
      <c r="A419" s="4">
        <v>45392</v>
      </c>
      <c r="B419" s="4" t="s">
        <v>31</v>
      </c>
      <c r="C419" s="5" t="s">
        <v>138</v>
      </c>
      <c r="D419" s="5" t="s">
        <v>46</v>
      </c>
      <c r="E419" s="5" t="s">
        <v>47</v>
      </c>
      <c r="F419" s="5" t="s">
        <v>35</v>
      </c>
      <c r="G419" s="5" t="s">
        <v>19</v>
      </c>
      <c r="H419" s="5">
        <v>26</v>
      </c>
      <c r="I419" s="5">
        <v>808</v>
      </c>
      <c r="J419" s="5">
        <v>1135</v>
      </c>
      <c r="K419" s="6">
        <f t="shared" si="24"/>
        <v>21008</v>
      </c>
      <c r="L419" s="6">
        <f t="shared" si="25"/>
        <v>29510</v>
      </c>
      <c r="M419" s="6">
        <f t="shared" si="26"/>
        <v>8502</v>
      </c>
      <c r="N419" s="6" t="str">
        <f t="shared" si="27"/>
        <v>profit</v>
      </c>
    </row>
    <row r="420" spans="1:14" ht="15.6" thickTop="1" thickBot="1" x14ac:dyDescent="0.35">
      <c r="A420" s="4">
        <v>45393</v>
      </c>
      <c r="B420" s="4" t="s">
        <v>31</v>
      </c>
      <c r="C420" s="5" t="s">
        <v>139</v>
      </c>
      <c r="D420" s="5" t="s">
        <v>46</v>
      </c>
      <c r="E420" s="5" t="s">
        <v>47</v>
      </c>
      <c r="F420" s="5" t="s">
        <v>39</v>
      </c>
      <c r="G420" s="5" t="s">
        <v>19</v>
      </c>
      <c r="H420" s="5">
        <v>23</v>
      </c>
      <c r="I420" s="5">
        <v>504</v>
      </c>
      <c r="J420" s="5">
        <v>1328</v>
      </c>
      <c r="K420" s="6">
        <f t="shared" si="24"/>
        <v>11592</v>
      </c>
      <c r="L420" s="6">
        <f t="shared" si="25"/>
        <v>30544</v>
      </c>
      <c r="M420" s="6">
        <f t="shared" si="26"/>
        <v>18952</v>
      </c>
      <c r="N420" s="6" t="str">
        <f t="shared" si="27"/>
        <v>profit</v>
      </c>
    </row>
    <row r="421" spans="1:14" ht="15.6" thickTop="1" thickBot="1" x14ac:dyDescent="0.35">
      <c r="A421" s="4">
        <v>45394</v>
      </c>
      <c r="B421" s="4" t="s">
        <v>31</v>
      </c>
      <c r="C421" s="5" t="s">
        <v>141</v>
      </c>
      <c r="D421" s="5" t="s">
        <v>46</v>
      </c>
      <c r="E421" s="5" t="s">
        <v>47</v>
      </c>
      <c r="F421" s="5" t="s">
        <v>39</v>
      </c>
      <c r="G421" s="5" t="s">
        <v>19</v>
      </c>
      <c r="H421" s="5">
        <v>28</v>
      </c>
      <c r="I421" s="5">
        <v>918</v>
      </c>
      <c r="J421" s="5">
        <v>808</v>
      </c>
      <c r="K421" s="6">
        <f t="shared" si="24"/>
        <v>25704</v>
      </c>
      <c r="L421" s="6">
        <f t="shared" si="25"/>
        <v>22624</v>
      </c>
      <c r="M421" s="6">
        <f t="shared" si="26"/>
        <v>-3080</v>
      </c>
      <c r="N421" s="6" t="str">
        <f t="shared" si="27"/>
        <v>loss</v>
      </c>
    </row>
    <row r="422" spans="1:14" ht="15.6" thickTop="1" thickBot="1" x14ac:dyDescent="0.35">
      <c r="A422" s="4">
        <v>45396</v>
      </c>
      <c r="B422" s="4" t="s">
        <v>31</v>
      </c>
      <c r="C422" s="5" t="s">
        <v>142</v>
      </c>
      <c r="D422" s="5" t="s">
        <v>46</v>
      </c>
      <c r="E422" s="5" t="s">
        <v>47</v>
      </c>
      <c r="F422" s="5" t="s">
        <v>27</v>
      </c>
      <c r="G422" s="5" t="s">
        <v>19</v>
      </c>
      <c r="H422" s="5">
        <v>27</v>
      </c>
      <c r="I422" s="5">
        <v>966</v>
      </c>
      <c r="J422" s="5">
        <v>850</v>
      </c>
      <c r="K422" s="6">
        <f t="shared" si="24"/>
        <v>26082</v>
      </c>
      <c r="L422" s="6">
        <f t="shared" si="25"/>
        <v>22950</v>
      </c>
      <c r="M422" s="6">
        <f t="shared" si="26"/>
        <v>-3132</v>
      </c>
      <c r="N422" s="6" t="str">
        <f t="shared" si="27"/>
        <v>loss</v>
      </c>
    </row>
    <row r="423" spans="1:14" ht="15.6" thickTop="1" thickBot="1" x14ac:dyDescent="0.35">
      <c r="A423" s="4">
        <v>45404</v>
      </c>
      <c r="B423" s="4" t="s">
        <v>31</v>
      </c>
      <c r="C423" s="5" t="s">
        <v>144</v>
      </c>
      <c r="D423" s="5" t="s">
        <v>46</v>
      </c>
      <c r="E423" s="5" t="s">
        <v>63</v>
      </c>
      <c r="F423" s="5" t="s">
        <v>39</v>
      </c>
      <c r="G423" s="5" t="s">
        <v>28</v>
      </c>
      <c r="H423" s="5">
        <v>20</v>
      </c>
      <c r="I423" s="5">
        <v>664</v>
      </c>
      <c r="J423" s="5">
        <v>924</v>
      </c>
      <c r="K423" s="6">
        <f t="shared" si="24"/>
        <v>13280</v>
      </c>
      <c r="L423" s="6">
        <f t="shared" si="25"/>
        <v>18480</v>
      </c>
      <c r="M423" s="6">
        <f t="shared" si="26"/>
        <v>5200</v>
      </c>
      <c r="N423" s="6" t="str">
        <f t="shared" si="27"/>
        <v>profit</v>
      </c>
    </row>
    <row r="424" spans="1:14" ht="15.6" thickTop="1" thickBot="1" x14ac:dyDescent="0.35">
      <c r="A424" s="4">
        <v>45406</v>
      </c>
      <c r="B424" s="4" t="s">
        <v>31</v>
      </c>
      <c r="C424" s="5" t="s">
        <v>146</v>
      </c>
      <c r="D424" s="5" t="s">
        <v>46</v>
      </c>
      <c r="E424" s="5" t="s">
        <v>63</v>
      </c>
      <c r="F424" s="5" t="s">
        <v>64</v>
      </c>
      <c r="G424" s="5" t="s">
        <v>28</v>
      </c>
      <c r="H424" s="5">
        <v>26</v>
      </c>
      <c r="I424" s="5">
        <v>608</v>
      </c>
      <c r="J424" s="5">
        <v>1125</v>
      </c>
      <c r="K424" s="6">
        <f t="shared" si="24"/>
        <v>15808</v>
      </c>
      <c r="L424" s="6">
        <f t="shared" si="25"/>
        <v>29250</v>
      </c>
      <c r="M424" s="6">
        <f t="shared" si="26"/>
        <v>13442</v>
      </c>
      <c r="N424" s="6" t="str">
        <f t="shared" si="27"/>
        <v>profit</v>
      </c>
    </row>
    <row r="425" spans="1:14" ht="15.6" thickTop="1" thickBot="1" x14ac:dyDescent="0.35">
      <c r="A425" s="4">
        <v>45475</v>
      </c>
      <c r="B425" s="4" t="s">
        <v>40</v>
      </c>
      <c r="C425" s="5" t="s">
        <v>116</v>
      </c>
      <c r="D425" s="5" t="s">
        <v>16</v>
      </c>
      <c r="E425" s="5" t="s">
        <v>37</v>
      </c>
      <c r="F425" s="5" t="s">
        <v>44</v>
      </c>
      <c r="G425" s="5" t="s">
        <v>19</v>
      </c>
      <c r="H425" s="5">
        <v>19</v>
      </c>
      <c r="I425" s="5">
        <v>860</v>
      </c>
      <c r="J425" s="5">
        <v>1234</v>
      </c>
      <c r="K425" s="6">
        <f t="shared" si="24"/>
        <v>16340</v>
      </c>
      <c r="L425" s="6">
        <f t="shared" si="25"/>
        <v>23446</v>
      </c>
      <c r="M425" s="6">
        <f t="shared" si="26"/>
        <v>7106</v>
      </c>
      <c r="N425" s="6" t="str">
        <f t="shared" si="27"/>
        <v>profit</v>
      </c>
    </row>
    <row r="426" spans="1:14" ht="15.6" thickTop="1" thickBot="1" x14ac:dyDescent="0.35">
      <c r="A426" s="4">
        <v>45408</v>
      </c>
      <c r="B426" s="4" t="s">
        <v>31</v>
      </c>
      <c r="C426" s="5" t="s">
        <v>148</v>
      </c>
      <c r="D426" s="5" t="s">
        <v>46</v>
      </c>
      <c r="E426" s="5" t="s">
        <v>63</v>
      </c>
      <c r="F426" s="5" t="s">
        <v>39</v>
      </c>
      <c r="G426" s="5" t="s">
        <v>19</v>
      </c>
      <c r="H426" s="5">
        <v>24</v>
      </c>
      <c r="I426" s="5">
        <v>826</v>
      </c>
      <c r="J426" s="5">
        <v>975</v>
      </c>
      <c r="K426" s="6">
        <f t="shared" si="24"/>
        <v>19824</v>
      </c>
      <c r="L426" s="6">
        <f t="shared" si="25"/>
        <v>23400</v>
      </c>
      <c r="M426" s="6">
        <f t="shared" si="26"/>
        <v>3576</v>
      </c>
      <c r="N426" s="6" t="str">
        <f t="shared" si="27"/>
        <v>profit</v>
      </c>
    </row>
    <row r="427" spans="1:14" ht="15.6" thickTop="1" thickBot="1" x14ac:dyDescent="0.35">
      <c r="A427" s="4">
        <v>45409</v>
      </c>
      <c r="B427" s="4" t="s">
        <v>31</v>
      </c>
      <c r="C427" s="5" t="s">
        <v>149</v>
      </c>
      <c r="D427" s="5" t="s">
        <v>46</v>
      </c>
      <c r="E427" s="5" t="s">
        <v>63</v>
      </c>
      <c r="F427" s="5" t="s">
        <v>30</v>
      </c>
      <c r="G427" s="5" t="s">
        <v>19</v>
      </c>
      <c r="H427" s="5">
        <v>24</v>
      </c>
      <c r="I427" s="5">
        <v>877</v>
      </c>
      <c r="J427" s="5">
        <v>762</v>
      </c>
      <c r="K427" s="6">
        <f t="shared" si="24"/>
        <v>21048</v>
      </c>
      <c r="L427" s="6">
        <f t="shared" si="25"/>
        <v>18288</v>
      </c>
      <c r="M427" s="6">
        <f t="shared" si="26"/>
        <v>-2760</v>
      </c>
      <c r="N427" s="6" t="str">
        <f t="shared" si="27"/>
        <v>loss</v>
      </c>
    </row>
    <row r="428" spans="1:14" ht="15.6" thickTop="1" thickBot="1" x14ac:dyDescent="0.35">
      <c r="A428" s="4">
        <v>45410</v>
      </c>
      <c r="B428" s="4" t="s">
        <v>31</v>
      </c>
      <c r="C428" s="5" t="s">
        <v>150</v>
      </c>
      <c r="D428" s="5" t="s">
        <v>46</v>
      </c>
      <c r="E428" s="5" t="s">
        <v>63</v>
      </c>
      <c r="F428" s="5" t="s">
        <v>113</v>
      </c>
      <c r="G428" s="5" t="s">
        <v>19</v>
      </c>
      <c r="H428" s="5">
        <v>23</v>
      </c>
      <c r="I428" s="5">
        <v>736</v>
      </c>
      <c r="J428" s="5">
        <v>872</v>
      </c>
      <c r="K428" s="6">
        <f t="shared" si="24"/>
        <v>16928</v>
      </c>
      <c r="L428" s="6">
        <f t="shared" si="25"/>
        <v>20056</v>
      </c>
      <c r="M428" s="6">
        <f t="shared" si="26"/>
        <v>3128</v>
      </c>
      <c r="N428" s="6" t="str">
        <f t="shared" si="27"/>
        <v>profit</v>
      </c>
    </row>
    <row r="429" spans="1:14" ht="15.6" thickTop="1" thickBot="1" x14ac:dyDescent="0.35">
      <c r="A429" s="4">
        <v>45411</v>
      </c>
      <c r="B429" s="4" t="s">
        <v>31</v>
      </c>
      <c r="C429" s="5" t="s">
        <v>151</v>
      </c>
      <c r="D429" s="5" t="s">
        <v>46</v>
      </c>
      <c r="E429" s="5" t="s">
        <v>63</v>
      </c>
      <c r="F429" s="5" t="s">
        <v>44</v>
      </c>
      <c r="G429" s="5" t="s">
        <v>19</v>
      </c>
      <c r="H429" s="5">
        <v>27</v>
      </c>
      <c r="I429" s="5">
        <v>828</v>
      </c>
      <c r="J429" s="5">
        <v>1008</v>
      </c>
      <c r="K429" s="6">
        <f t="shared" si="24"/>
        <v>22356</v>
      </c>
      <c r="L429" s="6">
        <f t="shared" si="25"/>
        <v>27216</v>
      </c>
      <c r="M429" s="6">
        <f t="shared" si="26"/>
        <v>4860</v>
      </c>
      <c r="N429" s="6" t="str">
        <f t="shared" si="27"/>
        <v>profit</v>
      </c>
    </row>
    <row r="430" spans="1:14" ht="15.6" thickTop="1" thickBot="1" x14ac:dyDescent="0.35">
      <c r="A430" s="4">
        <v>45412</v>
      </c>
      <c r="B430" s="4" t="s">
        <v>31</v>
      </c>
      <c r="C430" s="5" t="s">
        <v>152</v>
      </c>
      <c r="D430" s="5" t="s">
        <v>46</v>
      </c>
      <c r="E430" s="5" t="s">
        <v>63</v>
      </c>
      <c r="F430" s="5" t="s">
        <v>153</v>
      </c>
      <c r="G430" s="5" t="s">
        <v>19</v>
      </c>
      <c r="H430" s="5">
        <v>28</v>
      </c>
      <c r="I430" s="5">
        <v>901</v>
      </c>
      <c r="J430" s="5">
        <v>1260</v>
      </c>
      <c r="K430" s="6">
        <f t="shared" si="24"/>
        <v>25228</v>
      </c>
      <c r="L430" s="6">
        <f t="shared" si="25"/>
        <v>35280</v>
      </c>
      <c r="M430" s="6">
        <f t="shared" si="26"/>
        <v>10052</v>
      </c>
      <c r="N430" s="6" t="str">
        <f t="shared" si="27"/>
        <v>profit</v>
      </c>
    </row>
    <row r="431" spans="1:14" ht="15.6" thickTop="1" thickBot="1" x14ac:dyDescent="0.35">
      <c r="A431" s="4">
        <v>45413</v>
      </c>
      <c r="B431" s="4" t="s">
        <v>97</v>
      </c>
      <c r="C431" s="5" t="s">
        <v>154</v>
      </c>
      <c r="D431" s="5" t="s">
        <v>46</v>
      </c>
      <c r="E431" s="5" t="s">
        <v>63</v>
      </c>
      <c r="F431" s="5" t="s">
        <v>155</v>
      </c>
      <c r="G431" s="5" t="s">
        <v>19</v>
      </c>
      <c r="H431" s="5">
        <v>28</v>
      </c>
      <c r="I431" s="5">
        <v>796</v>
      </c>
      <c r="J431" s="5">
        <v>1407</v>
      </c>
      <c r="K431" s="6">
        <f t="shared" si="24"/>
        <v>22288</v>
      </c>
      <c r="L431" s="6">
        <f t="shared" si="25"/>
        <v>39396</v>
      </c>
      <c r="M431" s="6">
        <f t="shared" si="26"/>
        <v>17108</v>
      </c>
      <c r="N431" s="6" t="str">
        <f t="shared" si="27"/>
        <v>profit</v>
      </c>
    </row>
    <row r="432" spans="1:14" ht="15.6" thickTop="1" thickBot="1" x14ac:dyDescent="0.35">
      <c r="A432" s="4">
        <v>45414</v>
      </c>
      <c r="B432" s="4" t="s">
        <v>97</v>
      </c>
      <c r="C432" s="5" t="s">
        <v>156</v>
      </c>
      <c r="D432" s="5" t="s">
        <v>46</v>
      </c>
      <c r="E432" s="5" t="s">
        <v>63</v>
      </c>
      <c r="F432" s="5" t="s">
        <v>18</v>
      </c>
      <c r="G432" s="5" t="s">
        <v>28</v>
      </c>
      <c r="H432" s="5">
        <v>27</v>
      </c>
      <c r="I432" s="5">
        <v>794</v>
      </c>
      <c r="J432" s="5">
        <v>905</v>
      </c>
      <c r="K432" s="6">
        <f t="shared" si="24"/>
        <v>21438</v>
      </c>
      <c r="L432" s="6">
        <f t="shared" si="25"/>
        <v>24435</v>
      </c>
      <c r="M432" s="6">
        <f t="shared" si="26"/>
        <v>2997</v>
      </c>
      <c r="N432" s="6" t="str">
        <f t="shared" si="27"/>
        <v>profit</v>
      </c>
    </row>
    <row r="433" spans="1:14" ht="15.6" thickTop="1" thickBot="1" x14ac:dyDescent="0.35">
      <c r="A433" s="4">
        <v>45415</v>
      </c>
      <c r="B433" s="4" t="s">
        <v>97</v>
      </c>
      <c r="C433" s="5" t="s">
        <v>157</v>
      </c>
      <c r="D433" s="5" t="s">
        <v>46</v>
      </c>
      <c r="E433" s="5" t="s">
        <v>63</v>
      </c>
      <c r="F433" s="5" t="s">
        <v>21</v>
      </c>
      <c r="G433" s="5" t="s">
        <v>28</v>
      </c>
      <c r="H433" s="5">
        <v>20</v>
      </c>
      <c r="I433" s="5">
        <v>812</v>
      </c>
      <c r="J433" s="5">
        <v>1248</v>
      </c>
      <c r="K433" s="6">
        <f t="shared" si="24"/>
        <v>16240</v>
      </c>
      <c r="L433" s="6">
        <f t="shared" si="25"/>
        <v>24960</v>
      </c>
      <c r="M433" s="6">
        <f t="shared" si="26"/>
        <v>8720</v>
      </c>
      <c r="N433" s="6" t="str">
        <f t="shared" si="27"/>
        <v>profit</v>
      </c>
    </row>
    <row r="434" spans="1:14" ht="15.6" thickTop="1" thickBot="1" x14ac:dyDescent="0.35">
      <c r="A434" s="4">
        <v>45416</v>
      </c>
      <c r="B434" s="4" t="s">
        <v>97</v>
      </c>
      <c r="C434" s="5" t="s">
        <v>158</v>
      </c>
      <c r="D434" s="5" t="s">
        <v>46</v>
      </c>
      <c r="E434" s="5" t="s">
        <v>63</v>
      </c>
      <c r="F434" s="5" t="s">
        <v>23</v>
      </c>
      <c r="G434" s="5" t="s">
        <v>28</v>
      </c>
      <c r="H434" s="5">
        <v>20</v>
      </c>
      <c r="I434" s="5">
        <v>908</v>
      </c>
      <c r="J434" s="5">
        <v>1130</v>
      </c>
      <c r="K434" s="6">
        <f t="shared" si="24"/>
        <v>18160</v>
      </c>
      <c r="L434" s="6">
        <f t="shared" si="25"/>
        <v>22600</v>
      </c>
      <c r="M434" s="6">
        <f t="shared" si="26"/>
        <v>4440</v>
      </c>
      <c r="N434" s="6" t="str">
        <f t="shared" si="27"/>
        <v>profit</v>
      </c>
    </row>
    <row r="435" spans="1:14" ht="15.6" thickTop="1" thickBot="1" x14ac:dyDescent="0.35">
      <c r="A435" s="4">
        <v>45417</v>
      </c>
      <c r="B435" s="4" t="s">
        <v>97</v>
      </c>
      <c r="C435" s="5" t="s">
        <v>159</v>
      </c>
      <c r="D435" s="5" t="s">
        <v>46</v>
      </c>
      <c r="E435" s="5" t="s">
        <v>63</v>
      </c>
      <c r="F435" s="5" t="s">
        <v>25</v>
      </c>
      <c r="G435" s="5" t="s">
        <v>28</v>
      </c>
      <c r="H435" s="5">
        <v>23</v>
      </c>
      <c r="I435" s="5">
        <v>846</v>
      </c>
      <c r="J435" s="5">
        <v>1143</v>
      </c>
      <c r="K435" s="6">
        <f t="shared" si="24"/>
        <v>19458</v>
      </c>
      <c r="L435" s="6">
        <f t="shared" si="25"/>
        <v>26289</v>
      </c>
      <c r="M435" s="6">
        <f t="shared" si="26"/>
        <v>6831</v>
      </c>
      <c r="N435" s="6" t="str">
        <f t="shared" si="27"/>
        <v>profit</v>
      </c>
    </row>
    <row r="436" spans="1:14" ht="15.6" thickTop="1" thickBot="1" x14ac:dyDescent="0.35">
      <c r="A436" s="4">
        <v>45418</v>
      </c>
      <c r="B436" s="4" t="s">
        <v>97</v>
      </c>
      <c r="C436" s="5" t="s">
        <v>160</v>
      </c>
      <c r="D436" s="5" t="s">
        <v>46</v>
      </c>
      <c r="E436" s="5" t="s">
        <v>63</v>
      </c>
      <c r="F436" s="5" t="s">
        <v>25</v>
      </c>
      <c r="G436" s="5" t="s">
        <v>19</v>
      </c>
      <c r="H436" s="5">
        <v>25</v>
      </c>
      <c r="I436" s="5">
        <v>627</v>
      </c>
      <c r="J436" s="5">
        <v>1071</v>
      </c>
      <c r="K436" s="6">
        <f t="shared" si="24"/>
        <v>15675</v>
      </c>
      <c r="L436" s="6">
        <f t="shared" si="25"/>
        <v>26775</v>
      </c>
      <c r="M436" s="6">
        <f t="shared" si="26"/>
        <v>11100</v>
      </c>
      <c r="N436" s="6" t="str">
        <f t="shared" si="27"/>
        <v>profit</v>
      </c>
    </row>
    <row r="437" spans="1:14" ht="15.6" thickTop="1" thickBot="1" x14ac:dyDescent="0.35">
      <c r="A437" s="4">
        <v>45419</v>
      </c>
      <c r="B437" s="4" t="s">
        <v>97</v>
      </c>
      <c r="C437" s="5" t="s">
        <v>164</v>
      </c>
      <c r="D437" s="5" t="s">
        <v>46</v>
      </c>
      <c r="E437" s="5" t="s">
        <v>118</v>
      </c>
      <c r="F437" s="5" t="s">
        <v>27</v>
      </c>
      <c r="G437" s="5" t="s">
        <v>19</v>
      </c>
      <c r="H437" s="5">
        <v>27</v>
      </c>
      <c r="I437" s="5">
        <v>817</v>
      </c>
      <c r="J437" s="5">
        <v>977</v>
      </c>
      <c r="K437" s="6">
        <f t="shared" si="24"/>
        <v>22059</v>
      </c>
      <c r="L437" s="6">
        <f t="shared" si="25"/>
        <v>26379</v>
      </c>
      <c r="M437" s="6">
        <f t="shared" si="26"/>
        <v>4320</v>
      </c>
      <c r="N437" s="6" t="str">
        <f t="shared" si="27"/>
        <v>profit</v>
      </c>
    </row>
    <row r="438" spans="1:14" ht="15.6" thickTop="1" thickBot="1" x14ac:dyDescent="0.35">
      <c r="A438" s="4">
        <v>45488</v>
      </c>
      <c r="B438" s="4" t="s">
        <v>40</v>
      </c>
      <c r="C438" s="5" t="s">
        <v>117</v>
      </c>
      <c r="D438" s="5" t="s">
        <v>46</v>
      </c>
      <c r="E438" s="5" t="s">
        <v>118</v>
      </c>
      <c r="F438" s="5" t="s">
        <v>39</v>
      </c>
      <c r="G438" s="5" t="s">
        <v>19</v>
      </c>
      <c r="H438" s="5">
        <v>29</v>
      </c>
      <c r="I438" s="5">
        <v>929</v>
      </c>
      <c r="J438" s="5">
        <v>1429</v>
      </c>
      <c r="K438" s="6">
        <f t="shared" si="24"/>
        <v>26941</v>
      </c>
      <c r="L438" s="6">
        <f t="shared" si="25"/>
        <v>41441</v>
      </c>
      <c r="M438" s="6">
        <f t="shared" si="26"/>
        <v>14500</v>
      </c>
      <c r="N438" s="6" t="str">
        <f t="shared" si="27"/>
        <v>profit</v>
      </c>
    </row>
    <row r="439" spans="1:14" ht="15.6" thickTop="1" thickBot="1" x14ac:dyDescent="0.35">
      <c r="A439" s="4">
        <v>45420</v>
      </c>
      <c r="B439" s="4" t="s">
        <v>97</v>
      </c>
      <c r="C439" s="5" t="s">
        <v>165</v>
      </c>
      <c r="D439" s="5" t="s">
        <v>46</v>
      </c>
      <c r="E439" s="5" t="s">
        <v>118</v>
      </c>
      <c r="F439" s="5" t="s">
        <v>30</v>
      </c>
      <c r="G439" s="5" t="s">
        <v>19</v>
      </c>
      <c r="H439" s="5">
        <v>27</v>
      </c>
      <c r="I439" s="5">
        <v>675</v>
      </c>
      <c r="J439" s="5">
        <v>1138</v>
      </c>
      <c r="K439" s="6">
        <f t="shared" si="24"/>
        <v>18225</v>
      </c>
      <c r="L439" s="6">
        <f t="shared" si="25"/>
        <v>30726</v>
      </c>
      <c r="M439" s="6">
        <f t="shared" si="26"/>
        <v>12501</v>
      </c>
      <c r="N439" s="6" t="str">
        <f t="shared" si="27"/>
        <v>profit</v>
      </c>
    </row>
    <row r="440" spans="1:14" ht="15.6" thickTop="1" thickBot="1" x14ac:dyDescent="0.35">
      <c r="A440" s="4">
        <v>45421</v>
      </c>
      <c r="B440" s="4" t="s">
        <v>97</v>
      </c>
      <c r="C440" s="5" t="s">
        <v>167</v>
      </c>
      <c r="D440" s="5" t="s">
        <v>46</v>
      </c>
      <c r="E440" s="5" t="s">
        <v>118</v>
      </c>
      <c r="F440" s="5" t="s">
        <v>25</v>
      </c>
      <c r="G440" s="5" t="s">
        <v>19</v>
      </c>
      <c r="H440" s="5">
        <v>22</v>
      </c>
      <c r="I440" s="5">
        <v>695</v>
      </c>
      <c r="J440" s="5">
        <v>830</v>
      </c>
      <c r="K440" s="6">
        <f t="shared" si="24"/>
        <v>15290</v>
      </c>
      <c r="L440" s="6">
        <f t="shared" si="25"/>
        <v>18260</v>
      </c>
      <c r="M440" s="6">
        <f t="shared" si="26"/>
        <v>2970</v>
      </c>
      <c r="N440" s="6" t="str">
        <f t="shared" si="27"/>
        <v>profit</v>
      </c>
    </row>
    <row r="441" spans="1:14" ht="15.6" thickTop="1" thickBot="1" x14ac:dyDescent="0.35">
      <c r="A441" s="4">
        <v>45422</v>
      </c>
      <c r="B441" s="4" t="s">
        <v>97</v>
      </c>
      <c r="C441" s="5" t="s">
        <v>168</v>
      </c>
      <c r="D441" s="5" t="s">
        <v>46</v>
      </c>
      <c r="E441" s="5" t="s">
        <v>118</v>
      </c>
      <c r="F441" s="5" t="s">
        <v>76</v>
      </c>
      <c r="G441" s="5" t="s">
        <v>19</v>
      </c>
      <c r="H441" s="5">
        <v>21</v>
      </c>
      <c r="I441" s="5">
        <v>781</v>
      </c>
      <c r="J441" s="5">
        <v>816</v>
      </c>
      <c r="K441" s="6">
        <f t="shared" si="24"/>
        <v>16401</v>
      </c>
      <c r="L441" s="6">
        <f t="shared" si="25"/>
        <v>17136</v>
      </c>
      <c r="M441" s="6">
        <f t="shared" si="26"/>
        <v>735</v>
      </c>
      <c r="N441" s="6" t="str">
        <f t="shared" si="27"/>
        <v>profit</v>
      </c>
    </row>
    <row r="442" spans="1:14" ht="15.6" thickTop="1" thickBot="1" x14ac:dyDescent="0.35">
      <c r="A442" s="4">
        <v>45423</v>
      </c>
      <c r="B442" s="4" t="s">
        <v>97</v>
      </c>
      <c r="C442" s="5" t="s">
        <v>169</v>
      </c>
      <c r="D442" s="5" t="s">
        <v>46</v>
      </c>
      <c r="E442" s="5" t="s">
        <v>118</v>
      </c>
      <c r="F442" s="5" t="s">
        <v>71</v>
      </c>
      <c r="G442" s="5" t="s">
        <v>19</v>
      </c>
      <c r="H442" s="5">
        <v>25</v>
      </c>
      <c r="I442" s="5">
        <v>517</v>
      </c>
      <c r="J442" s="5">
        <v>939</v>
      </c>
      <c r="K442" s="6">
        <f t="shared" si="24"/>
        <v>12925</v>
      </c>
      <c r="L442" s="6">
        <f t="shared" si="25"/>
        <v>23475</v>
      </c>
      <c r="M442" s="6">
        <f t="shared" si="26"/>
        <v>10550</v>
      </c>
      <c r="N442" s="6" t="str">
        <f t="shared" si="27"/>
        <v>profit</v>
      </c>
    </row>
    <row r="443" spans="1:14" ht="15.6" thickTop="1" thickBot="1" x14ac:dyDescent="0.35">
      <c r="A443" s="4">
        <v>45424</v>
      </c>
      <c r="B443" s="4" t="s">
        <v>97</v>
      </c>
      <c r="C443" s="5" t="s">
        <v>170</v>
      </c>
      <c r="D443" s="5" t="s">
        <v>46</v>
      </c>
      <c r="E443" s="5" t="s">
        <v>118</v>
      </c>
      <c r="F443" s="5" t="s">
        <v>44</v>
      </c>
      <c r="G443" s="5" t="s">
        <v>19</v>
      </c>
      <c r="H443" s="5">
        <v>24</v>
      </c>
      <c r="I443" s="5">
        <v>730</v>
      </c>
      <c r="J443" s="5">
        <v>886</v>
      </c>
      <c r="K443" s="6">
        <f t="shared" si="24"/>
        <v>17520</v>
      </c>
      <c r="L443" s="6">
        <f t="shared" si="25"/>
        <v>21264</v>
      </c>
      <c r="M443" s="6">
        <f t="shared" si="26"/>
        <v>3744</v>
      </c>
      <c r="N443" s="6" t="str">
        <f t="shared" si="27"/>
        <v>profit</v>
      </c>
    </row>
    <row r="444" spans="1:14" ht="15.6" thickTop="1" thickBot="1" x14ac:dyDescent="0.35">
      <c r="A444" s="4">
        <v>45425</v>
      </c>
      <c r="B444" s="4" t="s">
        <v>97</v>
      </c>
      <c r="C444" s="5" t="s">
        <v>172</v>
      </c>
      <c r="D444" s="5" t="s">
        <v>46</v>
      </c>
      <c r="E444" s="5" t="s">
        <v>118</v>
      </c>
      <c r="F444" s="5" t="s">
        <v>25</v>
      </c>
      <c r="G444" s="5" t="s">
        <v>19</v>
      </c>
      <c r="H444" s="5">
        <v>23</v>
      </c>
      <c r="I444" s="5">
        <v>811</v>
      </c>
      <c r="J444" s="5">
        <v>1142</v>
      </c>
      <c r="K444" s="6">
        <f t="shared" si="24"/>
        <v>18653</v>
      </c>
      <c r="L444" s="6">
        <f t="shared" si="25"/>
        <v>26266</v>
      </c>
      <c r="M444" s="6">
        <f t="shared" si="26"/>
        <v>7613</v>
      </c>
      <c r="N444" s="6" t="str">
        <f t="shared" si="27"/>
        <v>profit</v>
      </c>
    </row>
    <row r="445" spans="1:14" ht="15.6" thickTop="1" thickBot="1" x14ac:dyDescent="0.35">
      <c r="A445" s="4">
        <v>45426</v>
      </c>
      <c r="B445" s="4" t="s">
        <v>97</v>
      </c>
      <c r="C445" s="5" t="s">
        <v>173</v>
      </c>
      <c r="D445" s="5" t="s">
        <v>46</v>
      </c>
      <c r="E445" s="5" t="s">
        <v>118</v>
      </c>
      <c r="F445" s="5" t="s">
        <v>64</v>
      </c>
      <c r="G445" s="5" t="s">
        <v>19</v>
      </c>
      <c r="H445" s="5">
        <v>21</v>
      </c>
      <c r="I445" s="5">
        <v>967</v>
      </c>
      <c r="J445" s="5">
        <v>888</v>
      </c>
      <c r="K445" s="6">
        <f t="shared" si="24"/>
        <v>20307</v>
      </c>
      <c r="L445" s="6">
        <f t="shared" si="25"/>
        <v>18648</v>
      </c>
      <c r="M445" s="6">
        <f t="shared" si="26"/>
        <v>-1659</v>
      </c>
      <c r="N445" s="6" t="str">
        <f t="shared" si="27"/>
        <v>loss</v>
      </c>
    </row>
    <row r="446" spans="1:14" ht="15.6" thickTop="1" thickBot="1" x14ac:dyDescent="0.35">
      <c r="A446" s="4">
        <v>45427</v>
      </c>
      <c r="B446" s="4" t="s">
        <v>97</v>
      </c>
      <c r="C446" s="5" t="s">
        <v>174</v>
      </c>
      <c r="D446" s="5" t="s">
        <v>46</v>
      </c>
      <c r="E446" s="5" t="s">
        <v>118</v>
      </c>
      <c r="F446" s="5" t="s">
        <v>76</v>
      </c>
      <c r="G446" s="5" t="s">
        <v>19</v>
      </c>
      <c r="H446" s="5">
        <v>29</v>
      </c>
      <c r="I446" s="5">
        <v>655</v>
      </c>
      <c r="J446" s="5">
        <v>950</v>
      </c>
      <c r="K446" s="6">
        <f t="shared" si="24"/>
        <v>18995</v>
      </c>
      <c r="L446" s="6">
        <f t="shared" si="25"/>
        <v>27550</v>
      </c>
      <c r="M446" s="6">
        <f t="shared" si="26"/>
        <v>8555</v>
      </c>
      <c r="N446" s="6" t="str">
        <f t="shared" si="27"/>
        <v>profit</v>
      </c>
    </row>
    <row r="447" spans="1:14" ht="15.6" thickTop="1" thickBot="1" x14ac:dyDescent="0.35">
      <c r="A447" s="4">
        <v>45428</v>
      </c>
      <c r="B447" s="4" t="s">
        <v>97</v>
      </c>
      <c r="C447" s="5" t="s">
        <v>176</v>
      </c>
      <c r="D447" s="5" t="s">
        <v>46</v>
      </c>
      <c r="E447" s="5" t="s">
        <v>118</v>
      </c>
      <c r="F447" s="5" t="s">
        <v>78</v>
      </c>
      <c r="G447" s="5" t="s">
        <v>28</v>
      </c>
      <c r="H447" s="5">
        <v>30</v>
      </c>
      <c r="I447" s="5">
        <v>616</v>
      </c>
      <c r="J447" s="5">
        <v>804</v>
      </c>
      <c r="K447" s="6">
        <f t="shared" si="24"/>
        <v>18480</v>
      </c>
      <c r="L447" s="6">
        <f t="shared" si="25"/>
        <v>24120</v>
      </c>
      <c r="M447" s="6">
        <f t="shared" si="26"/>
        <v>5640</v>
      </c>
      <c r="N447" s="6" t="str">
        <f t="shared" si="27"/>
        <v>profit</v>
      </c>
    </row>
    <row r="448" spans="1:14" ht="15.6" thickTop="1" thickBot="1" x14ac:dyDescent="0.35">
      <c r="A448" s="4">
        <v>45429</v>
      </c>
      <c r="B448" s="4" t="s">
        <v>97</v>
      </c>
      <c r="C448" s="5" t="s">
        <v>178</v>
      </c>
      <c r="D448" s="5" t="s">
        <v>46</v>
      </c>
      <c r="E448" s="5" t="s">
        <v>118</v>
      </c>
      <c r="F448" s="5" t="s">
        <v>35</v>
      </c>
      <c r="G448" s="5" t="s">
        <v>28</v>
      </c>
      <c r="H448" s="5">
        <v>30</v>
      </c>
      <c r="I448" s="5">
        <v>709</v>
      </c>
      <c r="J448" s="5">
        <v>1209</v>
      </c>
      <c r="K448" s="6">
        <f t="shared" si="24"/>
        <v>21270</v>
      </c>
      <c r="L448" s="6">
        <f t="shared" si="25"/>
        <v>36270</v>
      </c>
      <c r="M448" s="6">
        <f t="shared" si="26"/>
        <v>15000</v>
      </c>
      <c r="N448" s="6" t="str">
        <f t="shared" si="27"/>
        <v>profit</v>
      </c>
    </row>
    <row r="449" spans="1:14" ht="15.6" thickTop="1" thickBot="1" x14ac:dyDescent="0.35">
      <c r="A449" s="4">
        <v>45430</v>
      </c>
      <c r="B449" s="4" t="s">
        <v>97</v>
      </c>
      <c r="C449" s="5" t="s">
        <v>179</v>
      </c>
      <c r="D449" s="5" t="s">
        <v>46</v>
      </c>
      <c r="E449" s="5" t="s">
        <v>118</v>
      </c>
      <c r="F449" s="5" t="s">
        <v>44</v>
      </c>
      <c r="G449" s="5" t="s">
        <v>28</v>
      </c>
      <c r="H449" s="5">
        <v>23</v>
      </c>
      <c r="I449" s="5">
        <v>875</v>
      </c>
      <c r="J449" s="5">
        <v>843</v>
      </c>
      <c r="K449" s="6">
        <f t="shared" si="24"/>
        <v>20125</v>
      </c>
      <c r="L449" s="6">
        <f t="shared" si="25"/>
        <v>19389</v>
      </c>
      <c r="M449" s="6">
        <f t="shared" si="26"/>
        <v>-736</v>
      </c>
      <c r="N449" s="6" t="str">
        <f t="shared" si="27"/>
        <v>loss</v>
      </c>
    </row>
    <row r="450" spans="1:14" ht="15.6" thickTop="1" thickBot="1" x14ac:dyDescent="0.35">
      <c r="A450" s="4">
        <v>45484</v>
      </c>
      <c r="B450" s="4" t="s">
        <v>40</v>
      </c>
      <c r="C450" s="5" t="s">
        <v>180</v>
      </c>
      <c r="D450" s="5" t="s">
        <v>46</v>
      </c>
      <c r="E450" s="5" t="s">
        <v>118</v>
      </c>
      <c r="F450" s="5" t="s">
        <v>39</v>
      </c>
      <c r="G450" s="5" t="s">
        <v>28</v>
      </c>
      <c r="H450" s="5">
        <v>26</v>
      </c>
      <c r="I450" s="5">
        <v>766</v>
      </c>
      <c r="J450" s="5">
        <v>836</v>
      </c>
      <c r="K450" s="6">
        <f t="shared" ref="K450:K513" si="28">H450*I450</f>
        <v>19916</v>
      </c>
      <c r="L450" s="6">
        <f t="shared" ref="L450:L513" si="29">H450*J450</f>
        <v>21736</v>
      </c>
      <c r="M450" s="6">
        <f t="shared" ref="M450:M513" si="30">L450-K450</f>
        <v>1820</v>
      </c>
      <c r="N450" s="6" t="str">
        <f t="shared" ref="N450:N513" si="31">IF(M450&gt;0,"profit","loss")</f>
        <v>profit</v>
      </c>
    </row>
    <row r="451" spans="1:14" ht="15.6" thickTop="1" thickBot="1" x14ac:dyDescent="0.35">
      <c r="A451" s="4">
        <v>45485</v>
      </c>
      <c r="B451" s="4" t="s">
        <v>40</v>
      </c>
      <c r="C451" s="5" t="s">
        <v>181</v>
      </c>
      <c r="D451" s="5" t="s">
        <v>46</v>
      </c>
      <c r="E451" s="5" t="s">
        <v>118</v>
      </c>
      <c r="F451" s="5" t="s">
        <v>64</v>
      </c>
      <c r="G451" s="5" t="s">
        <v>28</v>
      </c>
      <c r="H451" s="5">
        <v>23</v>
      </c>
      <c r="I451" s="5">
        <v>589</v>
      </c>
      <c r="J451" s="5">
        <v>982</v>
      </c>
      <c r="K451" s="6">
        <f t="shared" si="28"/>
        <v>13547</v>
      </c>
      <c r="L451" s="6">
        <f t="shared" si="29"/>
        <v>22586</v>
      </c>
      <c r="M451" s="6">
        <f t="shared" si="30"/>
        <v>9039</v>
      </c>
      <c r="N451" s="6" t="str">
        <f t="shared" si="31"/>
        <v>profit</v>
      </c>
    </row>
    <row r="452" spans="1:14" ht="15.6" thickTop="1" thickBot="1" x14ac:dyDescent="0.35">
      <c r="A452" s="4">
        <v>45486</v>
      </c>
      <c r="B452" s="4" t="s">
        <v>40</v>
      </c>
      <c r="C452" s="5" t="s">
        <v>182</v>
      </c>
      <c r="D452" s="5" t="s">
        <v>46</v>
      </c>
      <c r="E452" s="5" t="s">
        <v>118</v>
      </c>
      <c r="F452" s="5" t="s">
        <v>64</v>
      </c>
      <c r="G452" s="5" t="s">
        <v>28</v>
      </c>
      <c r="H452" s="5">
        <v>24</v>
      </c>
      <c r="I452" s="5">
        <v>718</v>
      </c>
      <c r="J452" s="5">
        <v>1218</v>
      </c>
      <c r="K452" s="6">
        <f t="shared" si="28"/>
        <v>17232</v>
      </c>
      <c r="L452" s="6">
        <f t="shared" si="29"/>
        <v>29232</v>
      </c>
      <c r="M452" s="6">
        <f t="shared" si="30"/>
        <v>12000</v>
      </c>
      <c r="N452" s="6" t="str">
        <f t="shared" si="31"/>
        <v>profit</v>
      </c>
    </row>
    <row r="453" spans="1:14" ht="15.6" thickTop="1" thickBot="1" x14ac:dyDescent="0.35">
      <c r="A453" s="4">
        <v>45487</v>
      </c>
      <c r="B453" s="4" t="s">
        <v>40</v>
      </c>
      <c r="C453" s="5" t="s">
        <v>183</v>
      </c>
      <c r="D453" s="5" t="s">
        <v>46</v>
      </c>
      <c r="E453" s="5" t="s">
        <v>118</v>
      </c>
      <c r="F453" s="5" t="s">
        <v>60</v>
      </c>
      <c r="G453" s="5" t="s">
        <v>28</v>
      </c>
      <c r="H453" s="5">
        <v>22</v>
      </c>
      <c r="I453" s="5">
        <v>877</v>
      </c>
      <c r="J453" s="5">
        <v>1120</v>
      </c>
      <c r="K453" s="6">
        <f t="shared" si="28"/>
        <v>19294</v>
      </c>
      <c r="L453" s="6">
        <f t="shared" si="29"/>
        <v>24640</v>
      </c>
      <c r="M453" s="6">
        <f t="shared" si="30"/>
        <v>5346</v>
      </c>
      <c r="N453" s="6" t="str">
        <f t="shared" si="31"/>
        <v>profit</v>
      </c>
    </row>
    <row r="454" spans="1:14" ht="15.6" thickTop="1" thickBot="1" x14ac:dyDescent="0.35">
      <c r="A454" s="4">
        <v>45489</v>
      </c>
      <c r="B454" s="4" t="s">
        <v>40</v>
      </c>
      <c r="C454" s="5" t="s">
        <v>184</v>
      </c>
      <c r="D454" s="5" t="s">
        <v>46</v>
      </c>
      <c r="E454" s="5" t="s">
        <v>118</v>
      </c>
      <c r="F454" s="5" t="s">
        <v>30</v>
      </c>
      <c r="G454" s="5" t="s">
        <v>19</v>
      </c>
      <c r="H454" s="5">
        <v>23</v>
      </c>
      <c r="I454" s="5">
        <v>641</v>
      </c>
      <c r="J454" s="5">
        <v>1445</v>
      </c>
      <c r="K454" s="6">
        <f t="shared" si="28"/>
        <v>14743</v>
      </c>
      <c r="L454" s="6">
        <f t="shared" si="29"/>
        <v>33235</v>
      </c>
      <c r="M454" s="6">
        <f t="shared" si="30"/>
        <v>18492</v>
      </c>
      <c r="N454" s="6" t="str">
        <f t="shared" si="31"/>
        <v>profit</v>
      </c>
    </row>
    <row r="455" spans="1:14" ht="15.6" thickTop="1" thickBot="1" x14ac:dyDescent="0.35">
      <c r="A455" s="4">
        <v>45490</v>
      </c>
      <c r="B455" s="4" t="s">
        <v>40</v>
      </c>
      <c r="C455" s="5" t="s">
        <v>185</v>
      </c>
      <c r="D455" s="5" t="s">
        <v>46</v>
      </c>
      <c r="E455" s="5" t="s">
        <v>118</v>
      </c>
      <c r="F455" s="5" t="s">
        <v>113</v>
      </c>
      <c r="G455" s="5" t="s">
        <v>19</v>
      </c>
      <c r="H455" s="5">
        <v>30</v>
      </c>
      <c r="I455" s="5">
        <v>916</v>
      </c>
      <c r="J455" s="5">
        <v>1497</v>
      </c>
      <c r="K455" s="6">
        <f t="shared" si="28"/>
        <v>27480</v>
      </c>
      <c r="L455" s="6">
        <f t="shared" si="29"/>
        <v>44910</v>
      </c>
      <c r="M455" s="6">
        <f t="shared" si="30"/>
        <v>17430</v>
      </c>
      <c r="N455" s="6" t="str">
        <f t="shared" si="31"/>
        <v>profit</v>
      </c>
    </row>
    <row r="456" spans="1:14" ht="15.6" thickTop="1" thickBot="1" x14ac:dyDescent="0.35">
      <c r="A456" s="4">
        <v>45491</v>
      </c>
      <c r="B456" s="4" t="s">
        <v>40</v>
      </c>
      <c r="C456" s="5" t="s">
        <v>186</v>
      </c>
      <c r="D456" s="5" t="s">
        <v>46</v>
      </c>
      <c r="E456" s="5" t="s">
        <v>118</v>
      </c>
      <c r="F456" s="5" t="s">
        <v>44</v>
      </c>
      <c r="G456" s="5" t="s">
        <v>19</v>
      </c>
      <c r="H456" s="5">
        <v>28</v>
      </c>
      <c r="I456" s="5">
        <v>588</v>
      </c>
      <c r="J456" s="5">
        <v>784</v>
      </c>
      <c r="K456" s="6">
        <f t="shared" si="28"/>
        <v>16464</v>
      </c>
      <c r="L456" s="6">
        <f t="shared" si="29"/>
        <v>21952</v>
      </c>
      <c r="M456" s="6">
        <f t="shared" si="30"/>
        <v>5488</v>
      </c>
      <c r="N456" s="6" t="str">
        <f t="shared" si="31"/>
        <v>profit</v>
      </c>
    </row>
    <row r="457" spans="1:14" ht="15.6" thickTop="1" thickBot="1" x14ac:dyDescent="0.35">
      <c r="A457" s="4">
        <v>45507</v>
      </c>
      <c r="B457" s="4" t="s">
        <v>57</v>
      </c>
      <c r="C457" s="5" t="s">
        <v>119</v>
      </c>
      <c r="D457" s="5" t="s">
        <v>33</v>
      </c>
      <c r="E457" s="5" t="s">
        <v>120</v>
      </c>
      <c r="F457" s="5" t="s">
        <v>76</v>
      </c>
      <c r="G457" s="5" t="s">
        <v>28</v>
      </c>
      <c r="H457" s="5">
        <v>60</v>
      </c>
      <c r="I457" s="5">
        <v>642</v>
      </c>
      <c r="J457" s="5">
        <v>1497</v>
      </c>
      <c r="K457" s="6">
        <f t="shared" si="28"/>
        <v>38520</v>
      </c>
      <c r="L457" s="6">
        <f t="shared" si="29"/>
        <v>89820</v>
      </c>
      <c r="M457" s="6">
        <f t="shared" si="30"/>
        <v>51300</v>
      </c>
      <c r="N457" s="6" t="str">
        <f t="shared" si="31"/>
        <v>profit</v>
      </c>
    </row>
    <row r="458" spans="1:14" ht="15.6" thickTop="1" thickBot="1" x14ac:dyDescent="0.35">
      <c r="A458" s="4">
        <v>45492</v>
      </c>
      <c r="B458" s="4" t="s">
        <v>40</v>
      </c>
      <c r="C458" s="5" t="s">
        <v>188</v>
      </c>
      <c r="D458" s="5" t="s">
        <v>46</v>
      </c>
      <c r="E458" s="5" t="s">
        <v>118</v>
      </c>
      <c r="F458" s="5" t="s">
        <v>153</v>
      </c>
      <c r="G458" s="5" t="s">
        <v>19</v>
      </c>
      <c r="H458" s="5">
        <v>26</v>
      </c>
      <c r="I458" s="5">
        <v>969</v>
      </c>
      <c r="J458" s="5">
        <v>1087</v>
      </c>
      <c r="K458" s="6">
        <f t="shared" si="28"/>
        <v>25194</v>
      </c>
      <c r="L458" s="6">
        <f t="shared" si="29"/>
        <v>28262</v>
      </c>
      <c r="M458" s="6">
        <f t="shared" si="30"/>
        <v>3068</v>
      </c>
      <c r="N458" s="6" t="str">
        <f t="shared" si="31"/>
        <v>profit</v>
      </c>
    </row>
    <row r="459" spans="1:14" ht="15.6" thickTop="1" thickBot="1" x14ac:dyDescent="0.35">
      <c r="A459" s="4">
        <v>45493</v>
      </c>
      <c r="B459" s="4" t="s">
        <v>40</v>
      </c>
      <c r="C459" s="5" t="s">
        <v>189</v>
      </c>
      <c r="D459" s="5" t="s">
        <v>46</v>
      </c>
      <c r="E459" s="5" t="s">
        <v>118</v>
      </c>
      <c r="F459" s="5" t="s">
        <v>155</v>
      </c>
      <c r="G459" s="5" t="s">
        <v>19</v>
      </c>
      <c r="H459" s="5">
        <v>25</v>
      </c>
      <c r="I459" s="5">
        <v>839</v>
      </c>
      <c r="J459" s="5">
        <v>1233</v>
      </c>
      <c r="K459" s="6">
        <f t="shared" si="28"/>
        <v>20975</v>
      </c>
      <c r="L459" s="6">
        <f t="shared" si="29"/>
        <v>30825</v>
      </c>
      <c r="M459" s="6">
        <f t="shared" si="30"/>
        <v>9850</v>
      </c>
      <c r="N459" s="6" t="str">
        <f t="shared" si="31"/>
        <v>profit</v>
      </c>
    </row>
    <row r="460" spans="1:14" ht="15.6" thickTop="1" thickBot="1" x14ac:dyDescent="0.35">
      <c r="A460" s="4">
        <v>45494</v>
      </c>
      <c r="B460" s="4" t="s">
        <v>40</v>
      </c>
      <c r="C460" s="5" t="s">
        <v>192</v>
      </c>
      <c r="D460" s="5" t="s">
        <v>46</v>
      </c>
      <c r="E460" s="5" t="s">
        <v>118</v>
      </c>
      <c r="F460" s="5" t="s">
        <v>18</v>
      </c>
      <c r="G460" s="5" t="s">
        <v>19</v>
      </c>
      <c r="H460" s="5">
        <v>25</v>
      </c>
      <c r="I460" s="5">
        <v>536</v>
      </c>
      <c r="J460" s="5">
        <v>1407</v>
      </c>
      <c r="K460" s="6">
        <f t="shared" si="28"/>
        <v>13400</v>
      </c>
      <c r="L460" s="6">
        <f t="shared" si="29"/>
        <v>35175</v>
      </c>
      <c r="M460" s="6">
        <f t="shared" si="30"/>
        <v>21775</v>
      </c>
      <c r="N460" s="6" t="str">
        <f t="shared" si="31"/>
        <v>profit</v>
      </c>
    </row>
    <row r="461" spans="1:14" ht="15.6" thickTop="1" thickBot="1" x14ac:dyDescent="0.35">
      <c r="A461" s="4">
        <v>45517</v>
      </c>
      <c r="B461" s="4" t="s">
        <v>57</v>
      </c>
      <c r="C461" s="5" t="s">
        <v>193</v>
      </c>
      <c r="D461" s="5" t="s">
        <v>46</v>
      </c>
      <c r="E461" s="5" t="s">
        <v>118</v>
      </c>
      <c r="F461" s="5" t="s">
        <v>44</v>
      </c>
      <c r="G461" s="5" t="s">
        <v>28</v>
      </c>
      <c r="H461" s="5">
        <v>27</v>
      </c>
      <c r="I461" s="5">
        <v>966</v>
      </c>
      <c r="J461" s="5">
        <v>1255</v>
      </c>
      <c r="K461" s="6">
        <f t="shared" si="28"/>
        <v>26082</v>
      </c>
      <c r="L461" s="6">
        <f t="shared" si="29"/>
        <v>33885</v>
      </c>
      <c r="M461" s="6">
        <f t="shared" si="30"/>
        <v>7803</v>
      </c>
      <c r="N461" s="6" t="str">
        <f t="shared" si="31"/>
        <v>profit</v>
      </c>
    </row>
    <row r="462" spans="1:14" ht="15.6" thickTop="1" thickBot="1" x14ac:dyDescent="0.35">
      <c r="A462" s="4">
        <v>45512</v>
      </c>
      <c r="B462" s="4" t="s">
        <v>57</v>
      </c>
      <c r="C462" s="5" t="s">
        <v>121</v>
      </c>
      <c r="D462" s="5" t="s">
        <v>16</v>
      </c>
      <c r="E462" s="5" t="s">
        <v>37</v>
      </c>
      <c r="F462" s="5" t="s">
        <v>35</v>
      </c>
      <c r="G462" s="5" t="s">
        <v>19</v>
      </c>
      <c r="H462" s="5">
        <v>20</v>
      </c>
      <c r="I462" s="5">
        <v>525</v>
      </c>
      <c r="J462" s="5">
        <v>1122</v>
      </c>
      <c r="K462" s="6">
        <f t="shared" si="28"/>
        <v>10500</v>
      </c>
      <c r="L462" s="6">
        <f t="shared" si="29"/>
        <v>22440</v>
      </c>
      <c r="M462" s="6">
        <f t="shared" si="30"/>
        <v>11940</v>
      </c>
      <c r="N462" s="6" t="str">
        <f t="shared" si="31"/>
        <v>profit</v>
      </c>
    </row>
    <row r="463" spans="1:14" ht="15.6" thickTop="1" thickBot="1" x14ac:dyDescent="0.35">
      <c r="A463" s="4">
        <v>45518</v>
      </c>
      <c r="B463" s="4" t="s">
        <v>57</v>
      </c>
      <c r="C463" s="5" t="s">
        <v>194</v>
      </c>
      <c r="D463" s="5" t="s">
        <v>46</v>
      </c>
      <c r="E463" s="5" t="s">
        <v>118</v>
      </c>
      <c r="F463" s="5" t="s">
        <v>49</v>
      </c>
      <c r="G463" s="5" t="s">
        <v>28</v>
      </c>
      <c r="H463" s="5">
        <v>23</v>
      </c>
      <c r="I463" s="5">
        <v>694</v>
      </c>
      <c r="J463" s="5">
        <v>1309</v>
      </c>
      <c r="K463" s="6">
        <f t="shared" si="28"/>
        <v>15962</v>
      </c>
      <c r="L463" s="6">
        <f t="shared" si="29"/>
        <v>30107</v>
      </c>
      <c r="M463" s="6">
        <f t="shared" si="30"/>
        <v>14145</v>
      </c>
      <c r="N463" s="6" t="str">
        <f t="shared" si="31"/>
        <v>profit</v>
      </c>
    </row>
    <row r="464" spans="1:14" ht="15.6" thickTop="1" thickBot="1" x14ac:dyDescent="0.35">
      <c r="A464" s="4">
        <v>45519</v>
      </c>
      <c r="B464" s="4" t="s">
        <v>57</v>
      </c>
      <c r="C464" s="5" t="s">
        <v>195</v>
      </c>
      <c r="D464" s="5" t="s">
        <v>46</v>
      </c>
      <c r="E464" s="5" t="s">
        <v>118</v>
      </c>
      <c r="F464" s="5" t="s">
        <v>27</v>
      </c>
      <c r="G464" s="5" t="s">
        <v>19</v>
      </c>
      <c r="H464" s="5">
        <v>22</v>
      </c>
      <c r="I464" s="5">
        <v>749</v>
      </c>
      <c r="J464" s="5">
        <v>850</v>
      </c>
      <c r="K464" s="6">
        <f t="shared" si="28"/>
        <v>16478</v>
      </c>
      <c r="L464" s="6">
        <f t="shared" si="29"/>
        <v>18700</v>
      </c>
      <c r="M464" s="6">
        <f t="shared" si="30"/>
        <v>2222</v>
      </c>
      <c r="N464" s="6" t="str">
        <f t="shared" si="31"/>
        <v>profit</v>
      </c>
    </row>
    <row r="465" spans="1:14" ht="15.6" thickTop="1" thickBot="1" x14ac:dyDescent="0.35">
      <c r="A465" s="4">
        <v>45521</v>
      </c>
      <c r="B465" s="4" t="s">
        <v>57</v>
      </c>
      <c r="C465" s="5" t="s">
        <v>197</v>
      </c>
      <c r="D465" s="5" t="s">
        <v>46</v>
      </c>
      <c r="E465" s="5" t="s">
        <v>118</v>
      </c>
      <c r="F465" s="5" t="s">
        <v>54</v>
      </c>
      <c r="G465" s="5" t="s">
        <v>28</v>
      </c>
      <c r="H465" s="5">
        <v>24</v>
      </c>
      <c r="I465" s="5">
        <v>845</v>
      </c>
      <c r="J465" s="5">
        <v>1429</v>
      </c>
      <c r="K465" s="6">
        <f t="shared" si="28"/>
        <v>20280</v>
      </c>
      <c r="L465" s="6">
        <f t="shared" si="29"/>
        <v>34296</v>
      </c>
      <c r="M465" s="6">
        <f t="shared" si="30"/>
        <v>14016</v>
      </c>
      <c r="N465" s="6" t="str">
        <f t="shared" si="31"/>
        <v>profit</v>
      </c>
    </row>
    <row r="466" spans="1:14" ht="15.6" thickTop="1" thickBot="1" x14ac:dyDescent="0.35">
      <c r="A466" s="4">
        <v>45522</v>
      </c>
      <c r="B466" s="4" t="s">
        <v>57</v>
      </c>
      <c r="C466" s="5" t="s">
        <v>107</v>
      </c>
      <c r="D466" s="5" t="s">
        <v>46</v>
      </c>
      <c r="E466" s="5" t="s">
        <v>118</v>
      </c>
      <c r="F466" s="5" t="s">
        <v>35</v>
      </c>
      <c r="G466" s="5" t="s">
        <v>28</v>
      </c>
      <c r="H466" s="5">
        <v>29</v>
      </c>
      <c r="I466" s="5">
        <v>872</v>
      </c>
      <c r="J466" s="5">
        <v>1351</v>
      </c>
      <c r="K466" s="6">
        <f t="shared" si="28"/>
        <v>25288</v>
      </c>
      <c r="L466" s="6">
        <f t="shared" si="29"/>
        <v>39179</v>
      </c>
      <c r="M466" s="6">
        <f t="shared" si="30"/>
        <v>13891</v>
      </c>
      <c r="N466" s="6" t="str">
        <f t="shared" si="31"/>
        <v>profit</v>
      </c>
    </row>
    <row r="467" spans="1:14" ht="15.6" thickTop="1" thickBot="1" x14ac:dyDescent="0.35">
      <c r="A467" s="4">
        <v>45523</v>
      </c>
      <c r="B467" s="4" t="s">
        <v>57</v>
      </c>
      <c r="C467" s="5" t="s">
        <v>199</v>
      </c>
      <c r="D467" s="5" t="s">
        <v>46</v>
      </c>
      <c r="E467" s="5" t="s">
        <v>118</v>
      </c>
      <c r="F467" s="5" t="s">
        <v>39</v>
      </c>
      <c r="G467" s="5" t="s">
        <v>28</v>
      </c>
      <c r="H467" s="5">
        <v>27</v>
      </c>
      <c r="I467" s="5">
        <v>674</v>
      </c>
      <c r="J467" s="5">
        <v>1119</v>
      </c>
      <c r="K467" s="6">
        <f t="shared" si="28"/>
        <v>18198</v>
      </c>
      <c r="L467" s="6">
        <f t="shared" si="29"/>
        <v>30213</v>
      </c>
      <c r="M467" s="6">
        <f t="shared" si="30"/>
        <v>12015</v>
      </c>
      <c r="N467" s="6" t="str">
        <f t="shared" si="31"/>
        <v>profit</v>
      </c>
    </row>
    <row r="468" spans="1:14" ht="15.6" thickTop="1" thickBot="1" x14ac:dyDescent="0.35">
      <c r="A468" s="4">
        <v>45524</v>
      </c>
      <c r="B468" s="4" t="s">
        <v>57</v>
      </c>
      <c r="C468" s="5" t="s">
        <v>105</v>
      </c>
      <c r="D468" s="5" t="s">
        <v>46</v>
      </c>
      <c r="E468" s="5" t="s">
        <v>118</v>
      </c>
      <c r="F468" s="5" t="s">
        <v>39</v>
      </c>
      <c r="G468" s="5" t="s">
        <v>19</v>
      </c>
      <c r="H468" s="5">
        <v>27</v>
      </c>
      <c r="I468" s="5">
        <v>583</v>
      </c>
      <c r="J468" s="5">
        <v>1379</v>
      </c>
      <c r="K468" s="6">
        <f t="shared" si="28"/>
        <v>15741</v>
      </c>
      <c r="L468" s="6">
        <f t="shared" si="29"/>
        <v>37233</v>
      </c>
      <c r="M468" s="6">
        <f t="shared" si="30"/>
        <v>21492</v>
      </c>
      <c r="N468" s="6" t="str">
        <f t="shared" si="31"/>
        <v>profit</v>
      </c>
    </row>
    <row r="469" spans="1:14" ht="15.6" thickTop="1" thickBot="1" x14ac:dyDescent="0.35">
      <c r="A469" s="4">
        <v>45525</v>
      </c>
      <c r="B469" s="4" t="s">
        <v>57</v>
      </c>
      <c r="C469" s="5" t="s">
        <v>200</v>
      </c>
      <c r="D469" s="5" t="s">
        <v>46</v>
      </c>
      <c r="E469" s="5" t="s">
        <v>118</v>
      </c>
      <c r="F469" s="5" t="s">
        <v>64</v>
      </c>
      <c r="G469" s="5" t="s">
        <v>19</v>
      </c>
      <c r="H469" s="5">
        <v>21</v>
      </c>
      <c r="I469" s="5">
        <v>929</v>
      </c>
      <c r="J469" s="5">
        <v>910</v>
      </c>
      <c r="K469" s="6">
        <f t="shared" si="28"/>
        <v>19509</v>
      </c>
      <c r="L469" s="6">
        <f t="shared" si="29"/>
        <v>19110</v>
      </c>
      <c r="M469" s="6">
        <f t="shared" si="30"/>
        <v>-399</v>
      </c>
      <c r="N469" s="6" t="str">
        <f t="shared" si="31"/>
        <v>loss</v>
      </c>
    </row>
    <row r="470" spans="1:14" ht="15.6" thickTop="1" thickBot="1" x14ac:dyDescent="0.35">
      <c r="A470" s="4">
        <v>45520</v>
      </c>
      <c r="B470" s="4" t="s">
        <v>57</v>
      </c>
      <c r="C470" s="5" t="s">
        <v>122</v>
      </c>
      <c r="D470" s="5" t="s">
        <v>46</v>
      </c>
      <c r="E470" s="5" t="s">
        <v>118</v>
      </c>
      <c r="F470" s="5" t="s">
        <v>52</v>
      </c>
      <c r="G470" s="5" t="s">
        <v>28</v>
      </c>
      <c r="H470" s="5">
        <v>23</v>
      </c>
      <c r="I470" s="5">
        <v>884</v>
      </c>
      <c r="J470" s="5">
        <v>1392</v>
      </c>
      <c r="K470" s="6">
        <f t="shared" si="28"/>
        <v>20332</v>
      </c>
      <c r="L470" s="6">
        <f t="shared" si="29"/>
        <v>32016</v>
      </c>
      <c r="M470" s="6">
        <f t="shared" si="30"/>
        <v>11684</v>
      </c>
      <c r="N470" s="6" t="str">
        <f t="shared" si="31"/>
        <v>profit</v>
      </c>
    </row>
    <row r="471" spans="1:14" ht="15.6" thickTop="1" thickBot="1" x14ac:dyDescent="0.35">
      <c r="A471" s="4">
        <v>45527</v>
      </c>
      <c r="B471" s="4" t="s">
        <v>57</v>
      </c>
      <c r="C471" s="5" t="s">
        <v>201</v>
      </c>
      <c r="D471" s="5" t="s">
        <v>46</v>
      </c>
      <c r="E471" s="5" t="s">
        <v>118</v>
      </c>
      <c r="F471" s="5" t="s">
        <v>60</v>
      </c>
      <c r="G471" s="5" t="s">
        <v>19</v>
      </c>
      <c r="H471" s="5">
        <v>28</v>
      </c>
      <c r="I471" s="5">
        <v>873</v>
      </c>
      <c r="J471" s="5">
        <v>809</v>
      </c>
      <c r="K471" s="6">
        <f t="shared" si="28"/>
        <v>24444</v>
      </c>
      <c r="L471" s="6">
        <f t="shared" si="29"/>
        <v>22652</v>
      </c>
      <c r="M471" s="6">
        <f t="shared" si="30"/>
        <v>-1792</v>
      </c>
      <c r="N471" s="6" t="str">
        <f t="shared" si="31"/>
        <v>loss</v>
      </c>
    </row>
    <row r="472" spans="1:14" ht="15.6" thickTop="1" thickBot="1" x14ac:dyDescent="0.35">
      <c r="A472" s="4">
        <v>45589</v>
      </c>
      <c r="B472" s="4" t="s">
        <v>85</v>
      </c>
      <c r="C472" s="5" t="s">
        <v>203</v>
      </c>
      <c r="D472" s="5" t="s">
        <v>46</v>
      </c>
      <c r="E472" s="5" t="s">
        <v>133</v>
      </c>
      <c r="F472" s="5" t="s">
        <v>60</v>
      </c>
      <c r="G472" s="5" t="s">
        <v>19</v>
      </c>
      <c r="H472" s="5">
        <v>21</v>
      </c>
      <c r="I472" s="5">
        <v>541</v>
      </c>
      <c r="J472" s="5">
        <v>1339</v>
      </c>
      <c r="K472" s="6">
        <f t="shared" si="28"/>
        <v>11361</v>
      </c>
      <c r="L472" s="6">
        <f t="shared" si="29"/>
        <v>28119</v>
      </c>
      <c r="M472" s="6">
        <f t="shared" si="30"/>
        <v>16758</v>
      </c>
      <c r="N472" s="6" t="str">
        <f t="shared" si="31"/>
        <v>profit</v>
      </c>
    </row>
    <row r="473" spans="1:14" ht="15.6" thickTop="1" thickBot="1" x14ac:dyDescent="0.35">
      <c r="A473" s="4">
        <v>45591</v>
      </c>
      <c r="B473" s="4" t="s">
        <v>85</v>
      </c>
      <c r="C473" s="5" t="s">
        <v>204</v>
      </c>
      <c r="D473" s="5" t="s">
        <v>46</v>
      </c>
      <c r="E473" s="5" t="s">
        <v>133</v>
      </c>
      <c r="F473" s="5" t="s">
        <v>30</v>
      </c>
      <c r="G473" s="5" t="s">
        <v>28</v>
      </c>
      <c r="H473" s="5">
        <v>22</v>
      </c>
      <c r="I473" s="5">
        <v>725</v>
      </c>
      <c r="J473" s="5">
        <v>1268</v>
      </c>
      <c r="K473" s="6">
        <f t="shared" si="28"/>
        <v>15950</v>
      </c>
      <c r="L473" s="6">
        <f t="shared" si="29"/>
        <v>27896</v>
      </c>
      <c r="M473" s="6">
        <f t="shared" si="30"/>
        <v>11946</v>
      </c>
      <c r="N473" s="6" t="str">
        <f t="shared" si="31"/>
        <v>profit</v>
      </c>
    </row>
    <row r="474" spans="1:14" ht="15.6" thickTop="1" thickBot="1" x14ac:dyDescent="0.35">
      <c r="A474" s="4">
        <v>45596</v>
      </c>
      <c r="B474" s="4" t="s">
        <v>85</v>
      </c>
      <c r="C474" s="5" t="s">
        <v>205</v>
      </c>
      <c r="D474" s="5" t="s">
        <v>46</v>
      </c>
      <c r="E474" s="5" t="s">
        <v>47</v>
      </c>
      <c r="F474" s="5" t="s">
        <v>18</v>
      </c>
      <c r="G474" s="5" t="s">
        <v>28</v>
      </c>
      <c r="H474" s="5">
        <v>21</v>
      </c>
      <c r="I474" s="5">
        <v>596</v>
      </c>
      <c r="J474" s="5">
        <v>838</v>
      </c>
      <c r="K474" s="6">
        <f t="shared" si="28"/>
        <v>12516</v>
      </c>
      <c r="L474" s="6">
        <f t="shared" si="29"/>
        <v>17598</v>
      </c>
      <c r="M474" s="6">
        <f t="shared" si="30"/>
        <v>5082</v>
      </c>
      <c r="N474" s="6" t="str">
        <f t="shared" si="31"/>
        <v>profit</v>
      </c>
    </row>
    <row r="475" spans="1:14" ht="15.6" thickTop="1" thickBot="1" x14ac:dyDescent="0.35">
      <c r="A475" s="4">
        <v>45597</v>
      </c>
      <c r="B475" s="4" t="s">
        <v>161</v>
      </c>
      <c r="C475" s="5" t="s">
        <v>207</v>
      </c>
      <c r="D475" s="5" t="s">
        <v>46</v>
      </c>
      <c r="E475" s="5" t="s">
        <v>47</v>
      </c>
      <c r="F475" s="5" t="s">
        <v>21</v>
      </c>
      <c r="G475" s="5" t="s">
        <v>28</v>
      </c>
      <c r="H475" s="5">
        <v>30</v>
      </c>
      <c r="I475" s="5">
        <v>910</v>
      </c>
      <c r="J475" s="5">
        <v>1290</v>
      </c>
      <c r="K475" s="6">
        <f t="shared" si="28"/>
        <v>27300</v>
      </c>
      <c r="L475" s="6">
        <f t="shared" si="29"/>
        <v>38700</v>
      </c>
      <c r="M475" s="6">
        <f t="shared" si="30"/>
        <v>11400</v>
      </c>
      <c r="N475" s="6" t="str">
        <f t="shared" si="31"/>
        <v>profit</v>
      </c>
    </row>
    <row r="476" spans="1:14" ht="15.6" thickTop="1" thickBot="1" x14ac:dyDescent="0.35">
      <c r="A476" s="4">
        <v>45526</v>
      </c>
      <c r="B476" s="4" t="s">
        <v>57</v>
      </c>
      <c r="C476" s="5" t="s">
        <v>123</v>
      </c>
      <c r="D476" s="5" t="s">
        <v>46</v>
      </c>
      <c r="E476" s="5" t="s">
        <v>118</v>
      </c>
      <c r="F476" s="5" t="s">
        <v>64</v>
      </c>
      <c r="G476" s="5" t="s">
        <v>19</v>
      </c>
      <c r="H476" s="5">
        <v>20</v>
      </c>
      <c r="I476" s="5">
        <v>997</v>
      </c>
      <c r="J476" s="5">
        <v>784</v>
      </c>
      <c r="K476" s="6">
        <f t="shared" si="28"/>
        <v>19940</v>
      </c>
      <c r="L476" s="6">
        <f t="shared" si="29"/>
        <v>15680</v>
      </c>
      <c r="M476" s="6">
        <f t="shared" si="30"/>
        <v>-4260</v>
      </c>
      <c r="N476" s="6" t="str">
        <f t="shared" si="31"/>
        <v>loss</v>
      </c>
    </row>
    <row r="477" spans="1:14" ht="15.6" thickTop="1" thickBot="1" x14ac:dyDescent="0.35">
      <c r="A477" s="4">
        <v>45598</v>
      </c>
      <c r="B477" s="4" t="s">
        <v>161</v>
      </c>
      <c r="C477" s="5" t="s">
        <v>209</v>
      </c>
      <c r="D477" s="5" t="s">
        <v>46</v>
      </c>
      <c r="E477" s="5" t="s">
        <v>47</v>
      </c>
      <c r="F477" s="5" t="s">
        <v>23</v>
      </c>
      <c r="G477" s="5" t="s">
        <v>28</v>
      </c>
      <c r="H477" s="5">
        <v>25</v>
      </c>
      <c r="I477" s="5">
        <v>532</v>
      </c>
      <c r="J477" s="5">
        <v>1358</v>
      </c>
      <c r="K477" s="6">
        <f t="shared" si="28"/>
        <v>13300</v>
      </c>
      <c r="L477" s="6">
        <f t="shared" si="29"/>
        <v>33950</v>
      </c>
      <c r="M477" s="6">
        <f t="shared" si="30"/>
        <v>20650</v>
      </c>
      <c r="N477" s="6" t="str">
        <f t="shared" si="31"/>
        <v>profit</v>
      </c>
    </row>
    <row r="478" spans="1:14" ht="15.6" thickTop="1" thickBot="1" x14ac:dyDescent="0.35">
      <c r="A478" s="4">
        <v>45599</v>
      </c>
      <c r="B478" s="4" t="s">
        <v>161</v>
      </c>
      <c r="C478" s="5" t="s">
        <v>210</v>
      </c>
      <c r="D478" s="5" t="s">
        <v>46</v>
      </c>
      <c r="E478" s="5" t="s">
        <v>47</v>
      </c>
      <c r="F478" s="5" t="s">
        <v>25</v>
      </c>
      <c r="G478" s="5" t="s">
        <v>19</v>
      </c>
      <c r="H478" s="5">
        <v>29</v>
      </c>
      <c r="I478" s="5">
        <v>813</v>
      </c>
      <c r="J478" s="5">
        <v>1241</v>
      </c>
      <c r="K478" s="6">
        <f t="shared" si="28"/>
        <v>23577</v>
      </c>
      <c r="L478" s="6">
        <f t="shared" si="29"/>
        <v>35989</v>
      </c>
      <c r="M478" s="6">
        <f t="shared" si="30"/>
        <v>12412</v>
      </c>
      <c r="N478" s="6" t="str">
        <f t="shared" si="31"/>
        <v>profit</v>
      </c>
    </row>
    <row r="479" spans="1:14" ht="15.6" thickTop="1" thickBot="1" x14ac:dyDescent="0.35">
      <c r="A479" s="4">
        <v>45600</v>
      </c>
      <c r="B479" s="4" t="s">
        <v>161</v>
      </c>
      <c r="C479" s="5" t="s">
        <v>211</v>
      </c>
      <c r="D479" s="5" t="s">
        <v>46</v>
      </c>
      <c r="E479" s="5" t="s">
        <v>47</v>
      </c>
      <c r="F479" s="5" t="s">
        <v>25</v>
      </c>
      <c r="G479" s="5" t="s">
        <v>19</v>
      </c>
      <c r="H479" s="5">
        <v>28</v>
      </c>
      <c r="I479" s="5">
        <v>858</v>
      </c>
      <c r="J479" s="5">
        <v>1127</v>
      </c>
      <c r="K479" s="6">
        <f t="shared" si="28"/>
        <v>24024</v>
      </c>
      <c r="L479" s="6">
        <f t="shared" si="29"/>
        <v>31556</v>
      </c>
      <c r="M479" s="6">
        <f t="shared" si="30"/>
        <v>7532</v>
      </c>
      <c r="N479" s="6" t="str">
        <f t="shared" si="31"/>
        <v>profit</v>
      </c>
    </row>
    <row r="480" spans="1:14" ht="15.6" thickTop="1" thickBot="1" x14ac:dyDescent="0.35">
      <c r="A480" s="4">
        <v>45601</v>
      </c>
      <c r="B480" s="4" t="s">
        <v>161</v>
      </c>
      <c r="C480" s="5" t="s">
        <v>212</v>
      </c>
      <c r="D480" s="5" t="s">
        <v>46</v>
      </c>
      <c r="E480" s="5" t="s">
        <v>47</v>
      </c>
      <c r="F480" s="5" t="s">
        <v>27</v>
      </c>
      <c r="G480" s="5" t="s">
        <v>19</v>
      </c>
      <c r="H480" s="5">
        <v>24</v>
      </c>
      <c r="I480" s="5">
        <v>641</v>
      </c>
      <c r="J480" s="5">
        <v>1337</v>
      </c>
      <c r="K480" s="6">
        <f t="shared" si="28"/>
        <v>15384</v>
      </c>
      <c r="L480" s="6">
        <f t="shared" si="29"/>
        <v>32088</v>
      </c>
      <c r="M480" s="6">
        <f t="shared" si="30"/>
        <v>16704</v>
      </c>
      <c r="N480" s="6" t="str">
        <f t="shared" si="31"/>
        <v>profit</v>
      </c>
    </row>
    <row r="481" spans="1:14" ht="15.6" thickTop="1" thickBot="1" x14ac:dyDescent="0.35">
      <c r="A481" s="4">
        <v>45609</v>
      </c>
      <c r="B481" s="4" t="s">
        <v>161</v>
      </c>
      <c r="C481" s="5" t="s">
        <v>214</v>
      </c>
      <c r="D481" s="5" t="s">
        <v>46</v>
      </c>
      <c r="E481" s="5" t="s">
        <v>63</v>
      </c>
      <c r="F481" s="5" t="s">
        <v>76</v>
      </c>
      <c r="G481" s="5" t="s">
        <v>28</v>
      </c>
      <c r="H481" s="5">
        <v>25</v>
      </c>
      <c r="I481" s="5">
        <v>709</v>
      </c>
      <c r="J481" s="5">
        <v>1386</v>
      </c>
      <c r="K481" s="6">
        <f t="shared" si="28"/>
        <v>17725</v>
      </c>
      <c r="L481" s="6">
        <f t="shared" si="29"/>
        <v>34650</v>
      </c>
      <c r="M481" s="6">
        <f t="shared" si="30"/>
        <v>16925</v>
      </c>
      <c r="N481" s="6" t="str">
        <f t="shared" si="31"/>
        <v>profit</v>
      </c>
    </row>
    <row r="482" spans="1:14" ht="15.6" thickTop="1" thickBot="1" x14ac:dyDescent="0.35">
      <c r="A482" s="4">
        <v>45611</v>
      </c>
      <c r="B482" s="4" t="s">
        <v>161</v>
      </c>
      <c r="C482" s="5" t="s">
        <v>215</v>
      </c>
      <c r="D482" s="5" t="s">
        <v>46</v>
      </c>
      <c r="E482" s="5" t="s">
        <v>63</v>
      </c>
      <c r="F482" s="5" t="s">
        <v>35</v>
      </c>
      <c r="G482" s="5" t="s">
        <v>28</v>
      </c>
      <c r="H482" s="5">
        <v>25</v>
      </c>
      <c r="I482" s="5">
        <v>802</v>
      </c>
      <c r="J482" s="5">
        <v>1126</v>
      </c>
      <c r="K482" s="6">
        <f t="shared" si="28"/>
        <v>20050</v>
      </c>
      <c r="L482" s="6">
        <f t="shared" si="29"/>
        <v>28150</v>
      </c>
      <c r="M482" s="6">
        <f t="shared" si="30"/>
        <v>8100</v>
      </c>
      <c r="N482" s="6" t="str">
        <f t="shared" si="31"/>
        <v>profit</v>
      </c>
    </row>
    <row r="483" spans="1:14" ht="15.6" thickTop="1" thickBot="1" x14ac:dyDescent="0.35">
      <c r="A483" s="4">
        <v>45612</v>
      </c>
      <c r="B483" s="4" t="s">
        <v>161</v>
      </c>
      <c r="C483" s="5" t="s">
        <v>216</v>
      </c>
      <c r="D483" s="5" t="s">
        <v>46</v>
      </c>
      <c r="E483" s="5" t="s">
        <v>63</v>
      </c>
      <c r="F483" s="5" t="s">
        <v>44</v>
      </c>
      <c r="G483" s="5" t="s">
        <v>28</v>
      </c>
      <c r="H483" s="5">
        <v>23</v>
      </c>
      <c r="I483" s="5">
        <v>893</v>
      </c>
      <c r="J483" s="5">
        <v>761</v>
      </c>
      <c r="K483" s="6">
        <f t="shared" si="28"/>
        <v>20539</v>
      </c>
      <c r="L483" s="6">
        <f t="shared" si="29"/>
        <v>17503</v>
      </c>
      <c r="M483" s="6">
        <f t="shared" si="30"/>
        <v>-3036</v>
      </c>
      <c r="N483" s="6" t="str">
        <f t="shared" si="31"/>
        <v>loss</v>
      </c>
    </row>
    <row r="484" spans="1:14" ht="15.6" thickTop="1" thickBot="1" x14ac:dyDescent="0.35">
      <c r="A484" s="4">
        <v>45613</v>
      </c>
      <c r="B484" s="4" t="s">
        <v>161</v>
      </c>
      <c r="C484" s="5" t="s">
        <v>217</v>
      </c>
      <c r="D484" s="5" t="s">
        <v>46</v>
      </c>
      <c r="E484" s="5" t="s">
        <v>63</v>
      </c>
      <c r="F484" s="5" t="s">
        <v>60</v>
      </c>
      <c r="G484" s="5" t="s">
        <v>28</v>
      </c>
      <c r="H484" s="5">
        <v>29</v>
      </c>
      <c r="I484" s="5">
        <v>852</v>
      </c>
      <c r="J484" s="5">
        <v>1452</v>
      </c>
      <c r="K484" s="6">
        <f t="shared" si="28"/>
        <v>24708</v>
      </c>
      <c r="L484" s="6">
        <f t="shared" si="29"/>
        <v>42108</v>
      </c>
      <c r="M484" s="6">
        <f t="shared" si="30"/>
        <v>17400</v>
      </c>
      <c r="N484" s="6" t="str">
        <f t="shared" si="31"/>
        <v>profit</v>
      </c>
    </row>
    <row r="485" spans="1:14" ht="15.6" thickTop="1" thickBot="1" x14ac:dyDescent="0.35">
      <c r="A485" s="4">
        <v>45535</v>
      </c>
      <c r="B485" s="4" t="s">
        <v>57</v>
      </c>
      <c r="C485" s="5" t="s">
        <v>124</v>
      </c>
      <c r="D485" s="5" t="s">
        <v>33</v>
      </c>
      <c r="E485" s="5" t="s">
        <v>99</v>
      </c>
      <c r="F485" s="5" t="s">
        <v>21</v>
      </c>
      <c r="G485" s="5" t="s">
        <v>28</v>
      </c>
      <c r="H485" s="5">
        <v>64</v>
      </c>
      <c r="I485" s="5">
        <v>580</v>
      </c>
      <c r="J485" s="5">
        <v>1164</v>
      </c>
      <c r="K485" s="6">
        <f t="shared" si="28"/>
        <v>37120</v>
      </c>
      <c r="L485" s="6">
        <f t="shared" si="29"/>
        <v>74496</v>
      </c>
      <c r="M485" s="6">
        <f t="shared" si="30"/>
        <v>37376</v>
      </c>
      <c r="N485" s="6" t="str">
        <f t="shared" si="31"/>
        <v>profit</v>
      </c>
    </row>
    <row r="486" spans="1:14" ht="15.6" thickTop="1" thickBot="1" x14ac:dyDescent="0.35">
      <c r="A486" s="4">
        <v>45615</v>
      </c>
      <c r="B486" s="4" t="s">
        <v>161</v>
      </c>
      <c r="C486" s="5" t="s">
        <v>218</v>
      </c>
      <c r="D486" s="5" t="s">
        <v>46</v>
      </c>
      <c r="E486" s="5" t="s">
        <v>63</v>
      </c>
      <c r="F486" s="5" t="s">
        <v>39</v>
      </c>
      <c r="G486" s="5" t="s">
        <v>19</v>
      </c>
      <c r="H486" s="5">
        <v>23</v>
      </c>
      <c r="I486" s="5">
        <v>747</v>
      </c>
      <c r="J486" s="5">
        <v>1340</v>
      </c>
      <c r="K486" s="6">
        <f t="shared" si="28"/>
        <v>17181</v>
      </c>
      <c r="L486" s="6">
        <f t="shared" si="29"/>
        <v>30820</v>
      </c>
      <c r="M486" s="6">
        <f t="shared" si="30"/>
        <v>13639</v>
      </c>
      <c r="N486" s="6" t="str">
        <f t="shared" si="31"/>
        <v>profit</v>
      </c>
    </row>
    <row r="487" spans="1:14" ht="15.6" thickTop="1" thickBot="1" x14ac:dyDescent="0.35">
      <c r="A487" s="4">
        <v>45617</v>
      </c>
      <c r="B487" s="4" t="s">
        <v>161</v>
      </c>
      <c r="C487" s="5" t="s">
        <v>219</v>
      </c>
      <c r="D487" s="5" t="s">
        <v>46</v>
      </c>
      <c r="E487" s="5" t="s">
        <v>63</v>
      </c>
      <c r="F487" s="5" t="s">
        <v>44</v>
      </c>
      <c r="G487" s="5" t="s">
        <v>28</v>
      </c>
      <c r="H487" s="5">
        <v>26</v>
      </c>
      <c r="I487" s="5">
        <v>625</v>
      </c>
      <c r="J487" s="5">
        <v>1298</v>
      </c>
      <c r="K487" s="6">
        <f t="shared" si="28"/>
        <v>16250</v>
      </c>
      <c r="L487" s="6">
        <f t="shared" si="29"/>
        <v>33748</v>
      </c>
      <c r="M487" s="6">
        <f t="shared" si="30"/>
        <v>17498</v>
      </c>
      <c r="N487" s="6" t="str">
        <f t="shared" si="31"/>
        <v>profit</v>
      </c>
    </row>
    <row r="488" spans="1:14" ht="15.6" thickTop="1" thickBot="1" x14ac:dyDescent="0.35">
      <c r="A488" s="4">
        <v>45618</v>
      </c>
      <c r="B488" s="4" t="s">
        <v>161</v>
      </c>
      <c r="C488" s="5" t="s">
        <v>221</v>
      </c>
      <c r="D488" s="5" t="s">
        <v>46</v>
      </c>
      <c r="E488" s="5" t="s">
        <v>63</v>
      </c>
      <c r="F488" s="5" t="s">
        <v>27</v>
      </c>
      <c r="G488" s="5" t="s">
        <v>28</v>
      </c>
      <c r="H488" s="5">
        <v>23</v>
      </c>
      <c r="I488" s="5">
        <v>706</v>
      </c>
      <c r="J488" s="5">
        <v>988</v>
      </c>
      <c r="K488" s="6">
        <f t="shared" si="28"/>
        <v>16238</v>
      </c>
      <c r="L488" s="6">
        <f t="shared" si="29"/>
        <v>22724</v>
      </c>
      <c r="M488" s="6">
        <f t="shared" si="30"/>
        <v>6486</v>
      </c>
      <c r="N488" s="6" t="str">
        <f t="shared" si="31"/>
        <v>profit</v>
      </c>
    </row>
    <row r="489" spans="1:14" ht="15.6" thickTop="1" thickBot="1" x14ac:dyDescent="0.35">
      <c r="A489" s="4">
        <v>45619</v>
      </c>
      <c r="B489" s="4" t="s">
        <v>161</v>
      </c>
      <c r="C489" s="5" t="s">
        <v>223</v>
      </c>
      <c r="D489" s="5" t="s">
        <v>46</v>
      </c>
      <c r="E489" s="5" t="s">
        <v>63</v>
      </c>
      <c r="F489" s="5" t="s">
        <v>44</v>
      </c>
      <c r="G489" s="5" t="s">
        <v>28</v>
      </c>
      <c r="H489" s="5">
        <v>28</v>
      </c>
      <c r="I489" s="5">
        <v>858</v>
      </c>
      <c r="J489" s="5">
        <v>1113</v>
      </c>
      <c r="K489" s="6">
        <f t="shared" si="28"/>
        <v>24024</v>
      </c>
      <c r="L489" s="6">
        <f t="shared" si="29"/>
        <v>31164</v>
      </c>
      <c r="M489" s="6">
        <f t="shared" si="30"/>
        <v>7140</v>
      </c>
      <c r="N489" s="6" t="str">
        <f t="shared" si="31"/>
        <v>profit</v>
      </c>
    </row>
    <row r="490" spans="1:14" ht="15.6" thickTop="1" thickBot="1" x14ac:dyDescent="0.35">
      <c r="A490" s="4">
        <v>45540</v>
      </c>
      <c r="B490" s="4" t="s">
        <v>69</v>
      </c>
      <c r="C490" s="5" t="s">
        <v>125</v>
      </c>
      <c r="D490" s="5" t="s">
        <v>33</v>
      </c>
      <c r="E490" s="5" t="s">
        <v>120</v>
      </c>
      <c r="F490" s="5" t="s">
        <v>30</v>
      </c>
      <c r="G490" s="5" t="s">
        <v>19</v>
      </c>
      <c r="H490" s="5">
        <v>52</v>
      </c>
      <c r="I490" s="5">
        <v>893</v>
      </c>
      <c r="J490" s="5">
        <v>1055</v>
      </c>
      <c r="K490" s="6">
        <f t="shared" si="28"/>
        <v>46436</v>
      </c>
      <c r="L490" s="6">
        <f t="shared" si="29"/>
        <v>54860</v>
      </c>
      <c r="M490" s="6">
        <f t="shared" si="30"/>
        <v>8424</v>
      </c>
      <c r="N490" s="6" t="str">
        <f t="shared" si="31"/>
        <v>profit</v>
      </c>
    </row>
    <row r="491" spans="1:14" ht="15.6" thickTop="1" thickBot="1" x14ac:dyDescent="0.35">
      <c r="A491" s="4">
        <v>45620</v>
      </c>
      <c r="B491" s="4" t="s">
        <v>161</v>
      </c>
      <c r="C491" s="5" t="s">
        <v>225</v>
      </c>
      <c r="D491" s="5" t="s">
        <v>46</v>
      </c>
      <c r="E491" s="5" t="s">
        <v>63</v>
      </c>
      <c r="F491" s="5" t="s">
        <v>49</v>
      </c>
      <c r="G491" s="5" t="s">
        <v>28</v>
      </c>
      <c r="H491" s="5">
        <v>24</v>
      </c>
      <c r="I491" s="5">
        <v>736</v>
      </c>
      <c r="J491" s="5">
        <v>1406</v>
      </c>
      <c r="K491" s="6">
        <f t="shared" si="28"/>
        <v>17664</v>
      </c>
      <c r="L491" s="6">
        <f t="shared" si="29"/>
        <v>33744</v>
      </c>
      <c r="M491" s="6">
        <f t="shared" si="30"/>
        <v>16080</v>
      </c>
      <c r="N491" s="6" t="str">
        <f t="shared" si="31"/>
        <v>profit</v>
      </c>
    </row>
    <row r="492" spans="1:14" ht="15.6" thickTop="1" thickBot="1" x14ac:dyDescent="0.35">
      <c r="A492" s="4">
        <v>45621</v>
      </c>
      <c r="B492" s="4" t="s">
        <v>161</v>
      </c>
      <c r="C492" s="5" t="s">
        <v>226</v>
      </c>
      <c r="D492" s="5" t="s">
        <v>46</v>
      </c>
      <c r="E492" s="5" t="s">
        <v>63</v>
      </c>
      <c r="F492" s="5" t="s">
        <v>27</v>
      </c>
      <c r="G492" s="5" t="s">
        <v>28</v>
      </c>
      <c r="H492" s="5">
        <v>20</v>
      </c>
      <c r="I492" s="5">
        <v>599</v>
      </c>
      <c r="J492" s="5">
        <v>1023</v>
      </c>
      <c r="K492" s="6">
        <f t="shared" si="28"/>
        <v>11980</v>
      </c>
      <c r="L492" s="6">
        <f t="shared" si="29"/>
        <v>20460</v>
      </c>
      <c r="M492" s="6">
        <f t="shared" si="30"/>
        <v>8480</v>
      </c>
      <c r="N492" s="6" t="str">
        <f t="shared" si="31"/>
        <v>profit</v>
      </c>
    </row>
    <row r="493" spans="1:14" ht="15.6" thickTop="1" thickBot="1" x14ac:dyDescent="0.35">
      <c r="A493" s="4">
        <v>45622</v>
      </c>
      <c r="B493" s="4" t="s">
        <v>161</v>
      </c>
      <c r="C493" s="5" t="s">
        <v>227</v>
      </c>
      <c r="D493" s="5" t="s">
        <v>46</v>
      </c>
      <c r="E493" s="5" t="s">
        <v>63</v>
      </c>
      <c r="F493" s="5" t="s">
        <v>52</v>
      </c>
      <c r="G493" s="5" t="s">
        <v>19</v>
      </c>
      <c r="H493" s="5">
        <v>22</v>
      </c>
      <c r="I493" s="5">
        <v>524</v>
      </c>
      <c r="J493" s="5">
        <v>1147</v>
      </c>
      <c r="K493" s="6">
        <f t="shared" si="28"/>
        <v>11528</v>
      </c>
      <c r="L493" s="6">
        <f t="shared" si="29"/>
        <v>25234</v>
      </c>
      <c r="M493" s="6">
        <f t="shared" si="30"/>
        <v>13706</v>
      </c>
      <c r="N493" s="6" t="str">
        <f t="shared" si="31"/>
        <v>profit</v>
      </c>
    </row>
    <row r="494" spans="1:14" ht="15.6" thickTop="1" thickBot="1" x14ac:dyDescent="0.35">
      <c r="A494" s="4">
        <v>45623</v>
      </c>
      <c r="B494" s="4" t="s">
        <v>161</v>
      </c>
      <c r="C494" s="5" t="s">
        <v>228</v>
      </c>
      <c r="D494" s="5" t="s">
        <v>46</v>
      </c>
      <c r="E494" s="5" t="s">
        <v>63</v>
      </c>
      <c r="F494" s="5" t="s">
        <v>54</v>
      </c>
      <c r="G494" s="5" t="s">
        <v>19</v>
      </c>
      <c r="H494" s="5">
        <v>27</v>
      </c>
      <c r="I494" s="5">
        <v>744</v>
      </c>
      <c r="J494" s="5">
        <v>1253</v>
      </c>
      <c r="K494" s="6">
        <f t="shared" si="28"/>
        <v>20088</v>
      </c>
      <c r="L494" s="6">
        <f t="shared" si="29"/>
        <v>33831</v>
      </c>
      <c r="M494" s="6">
        <f t="shared" si="30"/>
        <v>13743</v>
      </c>
      <c r="N494" s="6" t="str">
        <f t="shared" si="31"/>
        <v>profit</v>
      </c>
    </row>
    <row r="495" spans="1:14" ht="15.6" thickTop="1" thickBot="1" x14ac:dyDescent="0.35">
      <c r="A495" s="4">
        <v>45624</v>
      </c>
      <c r="B495" s="4" t="s">
        <v>161</v>
      </c>
      <c r="C495" s="5" t="s">
        <v>229</v>
      </c>
      <c r="D495" s="5" t="s">
        <v>46</v>
      </c>
      <c r="E495" s="5" t="s">
        <v>118</v>
      </c>
      <c r="F495" s="5" t="s">
        <v>35</v>
      </c>
      <c r="G495" s="5" t="s">
        <v>19</v>
      </c>
      <c r="H495" s="5">
        <v>27</v>
      </c>
      <c r="I495" s="5">
        <v>826</v>
      </c>
      <c r="J495" s="5">
        <v>917</v>
      </c>
      <c r="K495" s="6">
        <f t="shared" si="28"/>
        <v>22302</v>
      </c>
      <c r="L495" s="6">
        <f t="shared" si="29"/>
        <v>24759</v>
      </c>
      <c r="M495" s="6">
        <f t="shared" si="30"/>
        <v>2457</v>
      </c>
      <c r="N495" s="6" t="str">
        <f t="shared" si="31"/>
        <v>profit</v>
      </c>
    </row>
    <row r="496" spans="1:14" ht="15.6" thickTop="1" thickBot="1" x14ac:dyDescent="0.35">
      <c r="A496" s="4">
        <v>45625</v>
      </c>
      <c r="B496" s="4" t="s">
        <v>161</v>
      </c>
      <c r="C496" s="5" t="s">
        <v>230</v>
      </c>
      <c r="D496" s="5" t="s">
        <v>46</v>
      </c>
      <c r="E496" s="5" t="s">
        <v>118</v>
      </c>
      <c r="F496" s="5" t="s">
        <v>39</v>
      </c>
      <c r="G496" s="5" t="s">
        <v>19</v>
      </c>
      <c r="H496" s="5">
        <v>27</v>
      </c>
      <c r="I496" s="5">
        <v>573</v>
      </c>
      <c r="J496" s="5">
        <v>1266</v>
      </c>
      <c r="K496" s="6">
        <f t="shared" si="28"/>
        <v>15471</v>
      </c>
      <c r="L496" s="6">
        <f t="shared" si="29"/>
        <v>34182</v>
      </c>
      <c r="M496" s="6">
        <f t="shared" si="30"/>
        <v>18711</v>
      </c>
      <c r="N496" s="6" t="str">
        <f t="shared" si="31"/>
        <v>profit</v>
      </c>
    </row>
    <row r="497" spans="1:14" ht="15.6" thickTop="1" thickBot="1" x14ac:dyDescent="0.35">
      <c r="A497" s="4">
        <v>45627</v>
      </c>
      <c r="B497" s="4" t="s">
        <v>190</v>
      </c>
      <c r="C497" s="5" t="s">
        <v>232</v>
      </c>
      <c r="D497" s="5" t="s">
        <v>46</v>
      </c>
      <c r="E497" s="5" t="s">
        <v>118</v>
      </c>
      <c r="F497" s="5" t="s">
        <v>64</v>
      </c>
      <c r="G497" s="5" t="s">
        <v>19</v>
      </c>
      <c r="H497" s="5">
        <v>28</v>
      </c>
      <c r="I497" s="5">
        <v>798</v>
      </c>
      <c r="J497" s="5">
        <v>1131</v>
      </c>
      <c r="K497" s="6">
        <f t="shared" si="28"/>
        <v>22344</v>
      </c>
      <c r="L497" s="6">
        <f t="shared" si="29"/>
        <v>31668</v>
      </c>
      <c r="M497" s="6">
        <f t="shared" si="30"/>
        <v>9324</v>
      </c>
      <c r="N497" s="6" t="str">
        <f t="shared" si="31"/>
        <v>profit</v>
      </c>
    </row>
    <row r="498" spans="1:14" ht="15.6" thickTop="1" thickBot="1" x14ac:dyDescent="0.35">
      <c r="A498" s="4">
        <v>45628</v>
      </c>
      <c r="B498" s="4" t="s">
        <v>190</v>
      </c>
      <c r="C498" s="5" t="s">
        <v>233</v>
      </c>
      <c r="D498" s="5" t="s">
        <v>46</v>
      </c>
      <c r="E498" s="5" t="s">
        <v>118</v>
      </c>
      <c r="F498" s="5" t="s">
        <v>64</v>
      </c>
      <c r="G498" s="5" t="s">
        <v>19</v>
      </c>
      <c r="H498" s="5">
        <v>25</v>
      </c>
      <c r="I498" s="5">
        <v>982</v>
      </c>
      <c r="J498" s="5">
        <v>1479</v>
      </c>
      <c r="K498" s="6">
        <f t="shared" si="28"/>
        <v>24550</v>
      </c>
      <c r="L498" s="6">
        <f t="shared" si="29"/>
        <v>36975</v>
      </c>
      <c r="M498" s="6">
        <f t="shared" si="30"/>
        <v>12425</v>
      </c>
      <c r="N498" s="6" t="str">
        <f t="shared" si="31"/>
        <v>profit</v>
      </c>
    </row>
    <row r="499" spans="1:14" ht="15.6" thickTop="1" thickBot="1" x14ac:dyDescent="0.35">
      <c r="A499" s="4">
        <v>45549</v>
      </c>
      <c r="B499" s="4" t="s">
        <v>69</v>
      </c>
      <c r="C499" s="5" t="s">
        <v>126</v>
      </c>
      <c r="D499" s="5" t="s">
        <v>16</v>
      </c>
      <c r="E499" s="5" t="s">
        <v>37</v>
      </c>
      <c r="F499" s="5" t="s">
        <v>35</v>
      </c>
      <c r="G499" s="5" t="s">
        <v>19</v>
      </c>
      <c r="H499" s="5">
        <v>19</v>
      </c>
      <c r="I499" s="5">
        <v>938</v>
      </c>
      <c r="J499" s="5">
        <v>1348</v>
      </c>
      <c r="K499" s="6">
        <f t="shared" si="28"/>
        <v>17822</v>
      </c>
      <c r="L499" s="6">
        <f t="shared" si="29"/>
        <v>25612</v>
      </c>
      <c r="M499" s="6">
        <f t="shared" si="30"/>
        <v>7790</v>
      </c>
      <c r="N499" s="6" t="str">
        <f t="shared" si="31"/>
        <v>profit</v>
      </c>
    </row>
    <row r="500" spans="1:14" ht="15.6" thickTop="1" thickBot="1" x14ac:dyDescent="0.35">
      <c r="A500" s="4">
        <v>45630</v>
      </c>
      <c r="B500" s="4" t="s">
        <v>190</v>
      </c>
      <c r="C500" s="5" t="s">
        <v>234</v>
      </c>
      <c r="D500" s="5" t="s">
        <v>46</v>
      </c>
      <c r="E500" s="5" t="s">
        <v>118</v>
      </c>
      <c r="F500" s="5" t="s">
        <v>39</v>
      </c>
      <c r="G500" s="5" t="s">
        <v>28</v>
      </c>
      <c r="H500" s="5">
        <v>29</v>
      </c>
      <c r="I500" s="5">
        <v>841</v>
      </c>
      <c r="J500" s="5">
        <v>854</v>
      </c>
      <c r="K500" s="6">
        <f t="shared" si="28"/>
        <v>24389</v>
      </c>
      <c r="L500" s="6">
        <f t="shared" si="29"/>
        <v>24766</v>
      </c>
      <c r="M500" s="6">
        <f t="shared" si="30"/>
        <v>377</v>
      </c>
      <c r="N500" s="6" t="str">
        <f t="shared" si="31"/>
        <v>profit</v>
      </c>
    </row>
    <row r="501" spans="1:14" ht="15.6" thickTop="1" thickBot="1" x14ac:dyDescent="0.35">
      <c r="A501" s="4">
        <v>45631</v>
      </c>
      <c r="B501" s="4" t="s">
        <v>190</v>
      </c>
      <c r="C501" s="5" t="s">
        <v>235</v>
      </c>
      <c r="D501" s="5" t="s">
        <v>46</v>
      </c>
      <c r="E501" s="5" t="s">
        <v>118</v>
      </c>
      <c r="F501" s="5" t="s">
        <v>30</v>
      </c>
      <c r="G501" s="5" t="s">
        <v>28</v>
      </c>
      <c r="H501" s="5">
        <v>21</v>
      </c>
      <c r="I501" s="5">
        <v>691</v>
      </c>
      <c r="J501" s="5">
        <v>1142</v>
      </c>
      <c r="K501" s="6">
        <f t="shared" si="28"/>
        <v>14511</v>
      </c>
      <c r="L501" s="6">
        <f t="shared" si="29"/>
        <v>23982</v>
      </c>
      <c r="M501" s="6">
        <f t="shared" si="30"/>
        <v>9471</v>
      </c>
      <c r="N501" s="6" t="str">
        <f t="shared" si="31"/>
        <v>profit</v>
      </c>
    </row>
    <row r="502" spans="1:14" ht="15.6" thickTop="1" thickBot="1" x14ac:dyDescent="0.35">
      <c r="A502" s="4">
        <v>45632</v>
      </c>
      <c r="B502" s="4" t="s">
        <v>190</v>
      </c>
      <c r="C502" s="5" t="s">
        <v>236</v>
      </c>
      <c r="D502" s="5" t="s">
        <v>46</v>
      </c>
      <c r="E502" s="5" t="s">
        <v>118</v>
      </c>
      <c r="F502" s="5" t="s">
        <v>113</v>
      </c>
      <c r="G502" s="5" t="s">
        <v>28</v>
      </c>
      <c r="H502" s="5">
        <v>24</v>
      </c>
      <c r="I502" s="5">
        <v>526</v>
      </c>
      <c r="J502" s="5">
        <v>808</v>
      </c>
      <c r="K502" s="6">
        <f t="shared" si="28"/>
        <v>12624</v>
      </c>
      <c r="L502" s="6">
        <f t="shared" si="29"/>
        <v>19392</v>
      </c>
      <c r="M502" s="6">
        <f t="shared" si="30"/>
        <v>6768</v>
      </c>
      <c r="N502" s="6" t="str">
        <f t="shared" si="31"/>
        <v>profit</v>
      </c>
    </row>
    <row r="503" spans="1:14" ht="15.6" thickTop="1" thickBot="1" x14ac:dyDescent="0.35">
      <c r="A503" s="4">
        <v>45633</v>
      </c>
      <c r="B503" s="4" t="s">
        <v>190</v>
      </c>
      <c r="C503" s="5" t="s">
        <v>237</v>
      </c>
      <c r="D503" s="5" t="s">
        <v>46</v>
      </c>
      <c r="E503" s="5" t="s">
        <v>118</v>
      </c>
      <c r="F503" s="5" t="s">
        <v>44</v>
      </c>
      <c r="G503" s="5" t="s">
        <v>19</v>
      </c>
      <c r="H503" s="5">
        <v>29</v>
      </c>
      <c r="I503" s="5">
        <v>932</v>
      </c>
      <c r="J503" s="5">
        <v>1316</v>
      </c>
      <c r="K503" s="6">
        <f t="shared" si="28"/>
        <v>27028</v>
      </c>
      <c r="L503" s="6">
        <f t="shared" si="29"/>
        <v>38164</v>
      </c>
      <c r="M503" s="6">
        <f t="shared" si="30"/>
        <v>11136</v>
      </c>
      <c r="N503" s="6" t="str">
        <f t="shared" si="31"/>
        <v>profit</v>
      </c>
    </row>
    <row r="504" spans="1:14" ht="15.6" thickTop="1" thickBot="1" x14ac:dyDescent="0.35">
      <c r="A504" s="4">
        <v>45554</v>
      </c>
      <c r="B504" s="4" t="s">
        <v>69</v>
      </c>
      <c r="C504" s="5" t="s">
        <v>127</v>
      </c>
      <c r="D504" s="5" t="s">
        <v>16</v>
      </c>
      <c r="E504" s="5" t="s">
        <v>37</v>
      </c>
      <c r="F504" s="5" t="s">
        <v>39</v>
      </c>
      <c r="G504" s="5" t="s">
        <v>28</v>
      </c>
      <c r="H504" s="5">
        <v>17</v>
      </c>
      <c r="I504" s="5">
        <v>614</v>
      </c>
      <c r="J504" s="5">
        <v>1273</v>
      </c>
      <c r="K504" s="6">
        <f t="shared" si="28"/>
        <v>10438</v>
      </c>
      <c r="L504" s="6">
        <f t="shared" si="29"/>
        <v>21641</v>
      </c>
      <c r="M504" s="6">
        <f t="shared" si="30"/>
        <v>11203</v>
      </c>
      <c r="N504" s="6" t="str">
        <f t="shared" si="31"/>
        <v>profit</v>
      </c>
    </row>
    <row r="505" spans="1:14" ht="15.6" thickTop="1" thickBot="1" x14ac:dyDescent="0.35">
      <c r="A505" s="4">
        <v>45635</v>
      </c>
      <c r="B505" s="4" t="s">
        <v>190</v>
      </c>
      <c r="C505" s="5" t="s">
        <v>238</v>
      </c>
      <c r="D505" s="5" t="s">
        <v>46</v>
      </c>
      <c r="E505" s="5" t="s">
        <v>118</v>
      </c>
      <c r="F505" s="5" t="s">
        <v>155</v>
      </c>
      <c r="G505" s="5" t="s">
        <v>28</v>
      </c>
      <c r="H505" s="5">
        <v>22</v>
      </c>
      <c r="I505" s="5">
        <v>603</v>
      </c>
      <c r="J505" s="5">
        <v>794</v>
      </c>
      <c r="K505" s="6">
        <f t="shared" si="28"/>
        <v>13266</v>
      </c>
      <c r="L505" s="6">
        <f t="shared" si="29"/>
        <v>17468</v>
      </c>
      <c r="M505" s="6">
        <f t="shared" si="30"/>
        <v>4202</v>
      </c>
      <c r="N505" s="6" t="str">
        <f t="shared" si="31"/>
        <v>profit</v>
      </c>
    </row>
    <row r="506" spans="1:14" ht="15.6" thickTop="1" thickBot="1" x14ac:dyDescent="0.35">
      <c r="A506" s="4">
        <v>45689</v>
      </c>
      <c r="B506" s="4" t="s">
        <v>239</v>
      </c>
      <c r="C506" s="5" t="s">
        <v>240</v>
      </c>
      <c r="D506" s="5" t="s">
        <v>46</v>
      </c>
      <c r="E506" s="5" t="s">
        <v>118</v>
      </c>
      <c r="F506" s="5" t="s">
        <v>44</v>
      </c>
      <c r="G506" s="5" t="s">
        <v>19</v>
      </c>
      <c r="H506" s="5">
        <v>30</v>
      </c>
      <c r="I506" s="5">
        <v>946</v>
      </c>
      <c r="J506" s="5">
        <v>1109</v>
      </c>
      <c r="K506" s="6">
        <f t="shared" si="28"/>
        <v>28380</v>
      </c>
      <c r="L506" s="6">
        <f t="shared" si="29"/>
        <v>33270</v>
      </c>
      <c r="M506" s="6">
        <f t="shared" si="30"/>
        <v>4890</v>
      </c>
      <c r="N506" s="6" t="str">
        <f t="shared" si="31"/>
        <v>profit</v>
      </c>
    </row>
    <row r="507" spans="1:14" ht="15.6" thickTop="1" thickBot="1" x14ac:dyDescent="0.35">
      <c r="A507" s="4">
        <v>45690</v>
      </c>
      <c r="B507" s="4" t="s">
        <v>239</v>
      </c>
      <c r="C507" s="5" t="s">
        <v>241</v>
      </c>
      <c r="D507" s="5" t="s">
        <v>46</v>
      </c>
      <c r="E507" s="5" t="s">
        <v>118</v>
      </c>
      <c r="F507" s="5" t="s">
        <v>153</v>
      </c>
      <c r="G507" s="5" t="s">
        <v>19</v>
      </c>
      <c r="H507" s="5">
        <v>24</v>
      </c>
      <c r="I507" s="5">
        <v>580</v>
      </c>
      <c r="J507" s="5">
        <v>809</v>
      </c>
      <c r="K507" s="6">
        <f t="shared" si="28"/>
        <v>13920</v>
      </c>
      <c r="L507" s="6">
        <f t="shared" si="29"/>
        <v>19416</v>
      </c>
      <c r="M507" s="6">
        <f t="shared" si="30"/>
        <v>5496</v>
      </c>
      <c r="N507" s="6" t="str">
        <f t="shared" si="31"/>
        <v>profit</v>
      </c>
    </row>
    <row r="508" spans="1:14" ht="15.6" thickTop="1" thickBot="1" x14ac:dyDescent="0.35">
      <c r="A508" s="4">
        <v>45691</v>
      </c>
      <c r="B508" s="4" t="s">
        <v>239</v>
      </c>
      <c r="C508" s="5" t="s">
        <v>242</v>
      </c>
      <c r="D508" s="5" t="s">
        <v>46</v>
      </c>
      <c r="E508" s="5" t="s">
        <v>118</v>
      </c>
      <c r="F508" s="5" t="s">
        <v>155</v>
      </c>
      <c r="G508" s="5" t="s">
        <v>19</v>
      </c>
      <c r="H508" s="5">
        <v>30</v>
      </c>
      <c r="I508" s="5">
        <v>732</v>
      </c>
      <c r="J508" s="5">
        <v>944</v>
      </c>
      <c r="K508" s="6">
        <f t="shared" si="28"/>
        <v>21960</v>
      </c>
      <c r="L508" s="6">
        <f t="shared" si="29"/>
        <v>28320</v>
      </c>
      <c r="M508" s="6">
        <f t="shared" si="30"/>
        <v>6360</v>
      </c>
      <c r="N508" s="6" t="str">
        <f t="shared" si="31"/>
        <v>profit</v>
      </c>
    </row>
    <row r="509" spans="1:14" ht="15.6" thickTop="1" thickBot="1" x14ac:dyDescent="0.35">
      <c r="A509" s="4">
        <v>45692</v>
      </c>
      <c r="B509" s="4" t="s">
        <v>239</v>
      </c>
      <c r="C509" s="5" t="s">
        <v>244</v>
      </c>
      <c r="D509" s="5" t="s">
        <v>46</v>
      </c>
      <c r="E509" s="5" t="s">
        <v>118</v>
      </c>
      <c r="F509" s="5" t="s">
        <v>18</v>
      </c>
      <c r="G509" s="5" t="s">
        <v>28</v>
      </c>
      <c r="H509" s="5">
        <v>20</v>
      </c>
      <c r="I509" s="5">
        <v>552</v>
      </c>
      <c r="J509" s="5">
        <v>1261</v>
      </c>
      <c r="K509" s="6">
        <f t="shared" si="28"/>
        <v>11040</v>
      </c>
      <c r="L509" s="6">
        <f t="shared" si="29"/>
        <v>25220</v>
      </c>
      <c r="M509" s="6">
        <f t="shared" si="30"/>
        <v>14180</v>
      </c>
      <c r="N509" s="6" t="str">
        <f t="shared" si="31"/>
        <v>profit</v>
      </c>
    </row>
    <row r="510" spans="1:14" ht="15.6" thickTop="1" thickBot="1" x14ac:dyDescent="0.35">
      <c r="A510" s="4">
        <v>45693</v>
      </c>
      <c r="B510" s="4" t="s">
        <v>239</v>
      </c>
      <c r="C510" s="5" t="s">
        <v>245</v>
      </c>
      <c r="D510" s="5" t="s">
        <v>46</v>
      </c>
      <c r="E510" s="5" t="s">
        <v>118</v>
      </c>
      <c r="F510" s="5" t="s">
        <v>21</v>
      </c>
      <c r="G510" s="5" t="s">
        <v>28</v>
      </c>
      <c r="H510" s="5">
        <v>21</v>
      </c>
      <c r="I510" s="5">
        <v>876</v>
      </c>
      <c r="J510" s="5">
        <v>1452</v>
      </c>
      <c r="K510" s="6">
        <f t="shared" si="28"/>
        <v>18396</v>
      </c>
      <c r="L510" s="6">
        <f t="shared" si="29"/>
        <v>30492</v>
      </c>
      <c r="M510" s="6">
        <f t="shared" si="30"/>
        <v>12096</v>
      </c>
      <c r="N510" s="6" t="str">
        <f t="shared" si="31"/>
        <v>profit</v>
      </c>
    </row>
    <row r="511" spans="1:14" ht="15.6" thickTop="1" thickBot="1" x14ac:dyDescent="0.35">
      <c r="A511" s="4">
        <v>45694</v>
      </c>
      <c r="B511" s="4" t="s">
        <v>239</v>
      </c>
      <c r="C511" s="5" t="s">
        <v>246</v>
      </c>
      <c r="D511" s="5" t="s">
        <v>46</v>
      </c>
      <c r="E511" s="5" t="s">
        <v>118</v>
      </c>
      <c r="F511" s="5" t="s">
        <v>23</v>
      </c>
      <c r="G511" s="5" t="s">
        <v>28</v>
      </c>
      <c r="H511" s="5">
        <v>27</v>
      </c>
      <c r="I511" s="5">
        <v>636</v>
      </c>
      <c r="J511" s="5">
        <v>1284</v>
      </c>
      <c r="K511" s="6">
        <f t="shared" si="28"/>
        <v>17172</v>
      </c>
      <c r="L511" s="6">
        <f t="shared" si="29"/>
        <v>34668</v>
      </c>
      <c r="M511" s="6">
        <f t="shared" si="30"/>
        <v>17496</v>
      </c>
      <c r="N511" s="6" t="str">
        <f t="shared" si="31"/>
        <v>profit</v>
      </c>
    </row>
    <row r="512" spans="1:14" ht="15.6" thickTop="1" thickBot="1" x14ac:dyDescent="0.35">
      <c r="A512" s="4">
        <v>45695</v>
      </c>
      <c r="B512" s="4" t="s">
        <v>239</v>
      </c>
      <c r="C512" s="5" t="s">
        <v>248</v>
      </c>
      <c r="D512" s="5" t="s">
        <v>46</v>
      </c>
      <c r="E512" s="5" t="s">
        <v>118</v>
      </c>
      <c r="F512" s="5" t="s">
        <v>25</v>
      </c>
      <c r="G512" s="5" t="s">
        <v>28</v>
      </c>
      <c r="H512" s="5">
        <v>21</v>
      </c>
      <c r="I512" s="5">
        <v>974</v>
      </c>
      <c r="J512" s="5">
        <v>1363</v>
      </c>
      <c r="K512" s="6">
        <f t="shared" si="28"/>
        <v>20454</v>
      </c>
      <c r="L512" s="6">
        <f t="shared" si="29"/>
        <v>28623</v>
      </c>
      <c r="M512" s="6">
        <f t="shared" si="30"/>
        <v>8169</v>
      </c>
      <c r="N512" s="6" t="str">
        <f t="shared" si="31"/>
        <v>profit</v>
      </c>
    </row>
    <row r="513" spans="1:14" ht="15.6" thickTop="1" thickBot="1" x14ac:dyDescent="0.35">
      <c r="A513" s="4">
        <v>45563</v>
      </c>
      <c r="B513" s="4" t="s">
        <v>69</v>
      </c>
      <c r="C513" s="5" t="s">
        <v>128</v>
      </c>
      <c r="D513" s="5" t="s">
        <v>16</v>
      </c>
      <c r="E513" s="5" t="s">
        <v>17</v>
      </c>
      <c r="F513" s="5" t="s">
        <v>39</v>
      </c>
      <c r="G513" s="5" t="s">
        <v>19</v>
      </c>
      <c r="H513" s="5">
        <v>10</v>
      </c>
      <c r="I513" s="5">
        <v>572</v>
      </c>
      <c r="J513" s="5">
        <v>801</v>
      </c>
      <c r="K513" s="6">
        <f t="shared" si="28"/>
        <v>5720</v>
      </c>
      <c r="L513" s="6">
        <f t="shared" si="29"/>
        <v>8010</v>
      </c>
      <c r="M513" s="6">
        <f t="shared" si="30"/>
        <v>2290</v>
      </c>
      <c r="N513" s="6" t="str">
        <f t="shared" si="31"/>
        <v>profit</v>
      </c>
    </row>
    <row r="514" spans="1:14" ht="15.6" thickTop="1" thickBot="1" x14ac:dyDescent="0.35">
      <c r="A514" s="4">
        <v>45696</v>
      </c>
      <c r="B514" s="4" t="s">
        <v>239</v>
      </c>
      <c r="C514" s="5" t="s">
        <v>249</v>
      </c>
      <c r="D514" s="5" t="s">
        <v>46</v>
      </c>
      <c r="E514" s="5" t="s">
        <v>118</v>
      </c>
      <c r="F514" s="5" t="s">
        <v>25</v>
      </c>
      <c r="G514" s="5" t="s">
        <v>28</v>
      </c>
      <c r="H514" s="5">
        <v>30</v>
      </c>
      <c r="I514" s="5">
        <v>518</v>
      </c>
      <c r="J514" s="5">
        <v>858</v>
      </c>
      <c r="K514" s="6">
        <f t="shared" ref="K514:K577" si="32">H514*I514</f>
        <v>15540</v>
      </c>
      <c r="L514" s="6">
        <f t="shared" ref="L514:L577" si="33">H514*J514</f>
        <v>25740</v>
      </c>
      <c r="M514" s="6">
        <f t="shared" ref="M514:M577" si="34">L514-K514</f>
        <v>10200</v>
      </c>
      <c r="N514" s="6" t="str">
        <f t="shared" ref="N514:N577" si="35">IF(M514&gt;0,"profit","loss")</f>
        <v>profit</v>
      </c>
    </row>
    <row r="515" spans="1:14" ht="15.6" thickTop="1" thickBot="1" x14ac:dyDescent="0.35">
      <c r="A515" s="4">
        <v>45565</v>
      </c>
      <c r="B515" s="4" t="s">
        <v>69</v>
      </c>
      <c r="C515" s="5" t="s">
        <v>129</v>
      </c>
      <c r="D515" s="5" t="s">
        <v>16</v>
      </c>
      <c r="E515" s="5" t="s">
        <v>17</v>
      </c>
      <c r="F515" s="5" t="s">
        <v>64</v>
      </c>
      <c r="G515" s="5" t="s">
        <v>19</v>
      </c>
      <c r="H515" s="5">
        <v>12</v>
      </c>
      <c r="I515" s="5">
        <v>674</v>
      </c>
      <c r="J515" s="5">
        <v>1265</v>
      </c>
      <c r="K515" s="6">
        <f t="shared" si="32"/>
        <v>8088</v>
      </c>
      <c r="L515" s="6">
        <f t="shared" si="33"/>
        <v>15180</v>
      </c>
      <c r="M515" s="6">
        <f t="shared" si="34"/>
        <v>7092</v>
      </c>
      <c r="N515" s="6" t="str">
        <f t="shared" si="35"/>
        <v>profit</v>
      </c>
    </row>
    <row r="516" spans="1:14" ht="15.6" thickTop="1" thickBot="1" x14ac:dyDescent="0.35">
      <c r="A516" s="4">
        <v>45697</v>
      </c>
      <c r="B516" s="4" t="s">
        <v>239</v>
      </c>
      <c r="C516" s="5" t="s">
        <v>250</v>
      </c>
      <c r="D516" s="5" t="s">
        <v>46</v>
      </c>
      <c r="E516" s="5" t="s">
        <v>118</v>
      </c>
      <c r="F516" s="5" t="s">
        <v>27</v>
      </c>
      <c r="G516" s="5" t="s">
        <v>19</v>
      </c>
      <c r="H516" s="5">
        <v>21</v>
      </c>
      <c r="I516" s="5">
        <v>531</v>
      </c>
      <c r="J516" s="5">
        <v>955</v>
      </c>
      <c r="K516" s="6">
        <f t="shared" si="32"/>
        <v>11151</v>
      </c>
      <c r="L516" s="6">
        <f t="shared" si="33"/>
        <v>20055</v>
      </c>
      <c r="M516" s="6">
        <f t="shared" si="34"/>
        <v>8904</v>
      </c>
      <c r="N516" s="6" t="str">
        <f t="shared" si="35"/>
        <v>profit</v>
      </c>
    </row>
    <row r="517" spans="1:14" ht="15.6" thickTop="1" thickBot="1" x14ac:dyDescent="0.35">
      <c r="A517" s="4">
        <v>45699</v>
      </c>
      <c r="B517" s="4" t="s">
        <v>239</v>
      </c>
      <c r="C517" s="5" t="s">
        <v>251</v>
      </c>
      <c r="D517" s="5" t="s">
        <v>46</v>
      </c>
      <c r="E517" s="5" t="s">
        <v>118</v>
      </c>
      <c r="F517" s="5" t="s">
        <v>35</v>
      </c>
      <c r="G517" s="5" t="s">
        <v>19</v>
      </c>
      <c r="H517" s="5">
        <v>26</v>
      </c>
      <c r="I517" s="5">
        <v>842</v>
      </c>
      <c r="J517" s="5">
        <v>1074</v>
      </c>
      <c r="K517" s="6">
        <f t="shared" si="32"/>
        <v>21892</v>
      </c>
      <c r="L517" s="6">
        <f t="shared" si="33"/>
        <v>27924</v>
      </c>
      <c r="M517" s="6">
        <f t="shared" si="34"/>
        <v>6032</v>
      </c>
      <c r="N517" s="6" t="str">
        <f t="shared" si="35"/>
        <v>profit</v>
      </c>
    </row>
    <row r="518" spans="1:14" ht="15.6" thickTop="1" thickBot="1" x14ac:dyDescent="0.35">
      <c r="A518" s="4">
        <v>45387</v>
      </c>
      <c r="B518" s="4" t="s">
        <v>31</v>
      </c>
      <c r="C518" s="5" t="s">
        <v>255</v>
      </c>
      <c r="D518" s="5" t="s">
        <v>33</v>
      </c>
      <c r="E518" s="5" t="s">
        <v>34</v>
      </c>
      <c r="F518" s="5" t="s">
        <v>76</v>
      </c>
      <c r="G518" s="5" t="s">
        <v>28</v>
      </c>
      <c r="H518" s="5">
        <v>95</v>
      </c>
      <c r="I518" s="5">
        <v>936</v>
      </c>
      <c r="J518" s="5">
        <v>1350</v>
      </c>
      <c r="K518" s="6">
        <f t="shared" si="32"/>
        <v>88920</v>
      </c>
      <c r="L518" s="6">
        <f t="shared" si="33"/>
        <v>128250</v>
      </c>
      <c r="M518" s="6">
        <f t="shared" si="34"/>
        <v>39330</v>
      </c>
      <c r="N518" s="6" t="str">
        <f t="shared" si="35"/>
        <v>profit</v>
      </c>
    </row>
    <row r="519" spans="1:14" ht="15.6" thickTop="1" thickBot="1" x14ac:dyDescent="0.35">
      <c r="A519" s="4">
        <v>45388</v>
      </c>
      <c r="B519" s="4" t="s">
        <v>31</v>
      </c>
      <c r="C519" s="5" t="s">
        <v>256</v>
      </c>
      <c r="D519" s="5" t="s">
        <v>33</v>
      </c>
      <c r="E519" s="5" t="s">
        <v>34</v>
      </c>
      <c r="F519" s="5" t="s">
        <v>78</v>
      </c>
      <c r="G519" s="5" t="s">
        <v>28</v>
      </c>
      <c r="H519" s="5">
        <v>84</v>
      </c>
      <c r="I519" s="5">
        <v>784</v>
      </c>
      <c r="J519" s="5">
        <v>965</v>
      </c>
      <c r="K519" s="6">
        <f t="shared" si="32"/>
        <v>65856</v>
      </c>
      <c r="L519" s="6">
        <f t="shared" si="33"/>
        <v>81060</v>
      </c>
      <c r="M519" s="6">
        <f t="shared" si="34"/>
        <v>15204</v>
      </c>
      <c r="N519" s="6" t="str">
        <f t="shared" si="35"/>
        <v>profit</v>
      </c>
    </row>
    <row r="520" spans="1:14" ht="15.6" thickTop="1" thickBot="1" x14ac:dyDescent="0.35">
      <c r="A520" s="4">
        <v>45390</v>
      </c>
      <c r="B520" s="4" t="s">
        <v>31</v>
      </c>
      <c r="C520" s="5" t="s">
        <v>257</v>
      </c>
      <c r="D520" s="5" t="s">
        <v>33</v>
      </c>
      <c r="E520" s="5" t="s">
        <v>34</v>
      </c>
      <c r="F520" s="5" t="s">
        <v>44</v>
      </c>
      <c r="G520" s="5" t="s">
        <v>28</v>
      </c>
      <c r="H520" s="5">
        <v>51</v>
      </c>
      <c r="I520" s="5">
        <v>847</v>
      </c>
      <c r="J520" s="5">
        <v>972</v>
      </c>
      <c r="K520" s="6">
        <f t="shared" si="32"/>
        <v>43197</v>
      </c>
      <c r="L520" s="6">
        <f t="shared" si="33"/>
        <v>49572</v>
      </c>
      <c r="M520" s="6">
        <f t="shared" si="34"/>
        <v>6375</v>
      </c>
      <c r="N520" s="6" t="str">
        <f t="shared" si="35"/>
        <v>profit</v>
      </c>
    </row>
    <row r="521" spans="1:14" ht="15.6" thickTop="1" thickBot="1" x14ac:dyDescent="0.35">
      <c r="A521" s="4">
        <v>45571</v>
      </c>
      <c r="B521" s="4" t="s">
        <v>85</v>
      </c>
      <c r="C521" s="5" t="s">
        <v>130</v>
      </c>
      <c r="D521" s="5" t="s">
        <v>33</v>
      </c>
      <c r="E521" s="5" t="s">
        <v>99</v>
      </c>
      <c r="F521" s="5" t="s">
        <v>44</v>
      </c>
      <c r="G521" s="5" t="s">
        <v>19</v>
      </c>
      <c r="H521" s="5">
        <v>52</v>
      </c>
      <c r="I521" s="5">
        <v>546</v>
      </c>
      <c r="J521" s="5">
        <v>1482</v>
      </c>
      <c r="K521" s="6">
        <f t="shared" si="32"/>
        <v>28392</v>
      </c>
      <c r="L521" s="6">
        <f t="shared" si="33"/>
        <v>77064</v>
      </c>
      <c r="M521" s="6">
        <f t="shared" si="34"/>
        <v>48672</v>
      </c>
      <c r="N521" s="6" t="str">
        <f t="shared" si="35"/>
        <v>profit</v>
      </c>
    </row>
    <row r="522" spans="1:14" ht="15.6" thickTop="1" thickBot="1" x14ac:dyDescent="0.35">
      <c r="A522" s="4">
        <v>45397</v>
      </c>
      <c r="B522" s="4" t="s">
        <v>31</v>
      </c>
      <c r="C522" s="5" t="s">
        <v>258</v>
      </c>
      <c r="D522" s="5" t="s">
        <v>33</v>
      </c>
      <c r="E522" s="5" t="s">
        <v>163</v>
      </c>
      <c r="F522" s="5" t="s">
        <v>44</v>
      </c>
      <c r="G522" s="5" t="s">
        <v>19</v>
      </c>
      <c r="H522" s="5">
        <v>68</v>
      </c>
      <c r="I522" s="5">
        <v>534</v>
      </c>
      <c r="J522" s="5">
        <v>1085</v>
      </c>
      <c r="K522" s="6">
        <f t="shared" si="32"/>
        <v>36312</v>
      </c>
      <c r="L522" s="6">
        <f t="shared" si="33"/>
        <v>73780</v>
      </c>
      <c r="M522" s="6">
        <f t="shared" si="34"/>
        <v>37468</v>
      </c>
      <c r="N522" s="6" t="str">
        <f t="shared" si="35"/>
        <v>profit</v>
      </c>
    </row>
    <row r="523" spans="1:14" ht="15.6" thickTop="1" thickBot="1" x14ac:dyDescent="0.35">
      <c r="A523" s="4">
        <v>45398</v>
      </c>
      <c r="B523" s="4" t="s">
        <v>31</v>
      </c>
      <c r="C523" s="5" t="s">
        <v>259</v>
      </c>
      <c r="D523" s="5" t="s">
        <v>33</v>
      </c>
      <c r="E523" s="5" t="s">
        <v>163</v>
      </c>
      <c r="F523" s="5" t="s">
        <v>49</v>
      </c>
      <c r="G523" s="5" t="s">
        <v>19</v>
      </c>
      <c r="H523" s="5">
        <v>68</v>
      </c>
      <c r="I523" s="5">
        <v>575</v>
      </c>
      <c r="J523" s="5">
        <v>1242</v>
      </c>
      <c r="K523" s="6">
        <f t="shared" si="32"/>
        <v>39100</v>
      </c>
      <c r="L523" s="6">
        <f t="shared" si="33"/>
        <v>84456</v>
      </c>
      <c r="M523" s="6">
        <f t="shared" si="34"/>
        <v>45356</v>
      </c>
      <c r="N523" s="6" t="str">
        <f t="shared" si="35"/>
        <v>profit</v>
      </c>
    </row>
    <row r="524" spans="1:14" ht="15.6" thickTop="1" thickBot="1" x14ac:dyDescent="0.35">
      <c r="A524" s="4">
        <v>45399</v>
      </c>
      <c r="B524" s="4" t="s">
        <v>31</v>
      </c>
      <c r="C524" s="5" t="s">
        <v>260</v>
      </c>
      <c r="D524" s="5" t="s">
        <v>33</v>
      </c>
      <c r="E524" s="5" t="s">
        <v>163</v>
      </c>
      <c r="F524" s="5" t="s">
        <v>27</v>
      </c>
      <c r="G524" s="5" t="s">
        <v>19</v>
      </c>
      <c r="H524" s="5">
        <v>79</v>
      </c>
      <c r="I524" s="5">
        <v>537</v>
      </c>
      <c r="J524" s="5">
        <v>850</v>
      </c>
      <c r="K524" s="6">
        <f t="shared" si="32"/>
        <v>42423</v>
      </c>
      <c r="L524" s="6">
        <f t="shared" si="33"/>
        <v>67150</v>
      </c>
      <c r="M524" s="6">
        <f t="shared" si="34"/>
        <v>24727</v>
      </c>
      <c r="N524" s="6" t="str">
        <f t="shared" si="35"/>
        <v>profit</v>
      </c>
    </row>
    <row r="525" spans="1:14" ht="15.6" thickTop="1" thickBot="1" x14ac:dyDescent="0.35">
      <c r="A525" s="4">
        <v>45400</v>
      </c>
      <c r="B525" s="4" t="s">
        <v>31</v>
      </c>
      <c r="C525" s="5" t="s">
        <v>261</v>
      </c>
      <c r="D525" s="5" t="s">
        <v>33</v>
      </c>
      <c r="E525" s="5" t="s">
        <v>163</v>
      </c>
      <c r="F525" s="5" t="s">
        <v>52</v>
      </c>
      <c r="G525" s="5" t="s">
        <v>19</v>
      </c>
      <c r="H525" s="5">
        <v>65</v>
      </c>
      <c r="I525" s="5">
        <v>935</v>
      </c>
      <c r="J525" s="5">
        <v>752</v>
      </c>
      <c r="K525" s="6">
        <f t="shared" si="32"/>
        <v>60775</v>
      </c>
      <c r="L525" s="6">
        <f t="shared" si="33"/>
        <v>48880</v>
      </c>
      <c r="M525" s="6">
        <f t="shared" si="34"/>
        <v>-11895</v>
      </c>
      <c r="N525" s="6" t="str">
        <f t="shared" si="35"/>
        <v>loss</v>
      </c>
    </row>
    <row r="526" spans="1:14" ht="15.6" thickTop="1" thickBot="1" x14ac:dyDescent="0.35">
      <c r="A526" s="4">
        <v>45401</v>
      </c>
      <c r="B526" s="4" t="s">
        <v>31</v>
      </c>
      <c r="C526" s="5" t="s">
        <v>262</v>
      </c>
      <c r="D526" s="5" t="s">
        <v>33</v>
      </c>
      <c r="E526" s="5" t="s">
        <v>163</v>
      </c>
      <c r="F526" s="5" t="s">
        <v>54</v>
      </c>
      <c r="G526" s="5" t="s">
        <v>19</v>
      </c>
      <c r="H526" s="5">
        <v>66</v>
      </c>
      <c r="I526" s="5">
        <v>709</v>
      </c>
      <c r="J526" s="5">
        <v>1021</v>
      </c>
      <c r="K526" s="6">
        <f t="shared" si="32"/>
        <v>46794</v>
      </c>
      <c r="L526" s="6">
        <f t="shared" si="33"/>
        <v>67386</v>
      </c>
      <c r="M526" s="6">
        <f t="shared" si="34"/>
        <v>20592</v>
      </c>
      <c r="N526" s="6" t="str">
        <f t="shared" si="35"/>
        <v>profit</v>
      </c>
    </row>
    <row r="527" spans="1:14" ht="15.6" thickTop="1" thickBot="1" x14ac:dyDescent="0.35">
      <c r="A527" s="4">
        <v>45402</v>
      </c>
      <c r="B527" s="4" t="s">
        <v>31</v>
      </c>
      <c r="C527" s="5" t="s">
        <v>263</v>
      </c>
      <c r="D527" s="5" t="s">
        <v>33</v>
      </c>
      <c r="E527" s="5" t="s">
        <v>163</v>
      </c>
      <c r="F527" s="5" t="s">
        <v>35</v>
      </c>
      <c r="G527" s="5" t="s">
        <v>28</v>
      </c>
      <c r="H527" s="5">
        <v>70</v>
      </c>
      <c r="I527" s="5">
        <v>751</v>
      </c>
      <c r="J527" s="5">
        <v>1485</v>
      </c>
      <c r="K527" s="6">
        <f t="shared" si="32"/>
        <v>52570</v>
      </c>
      <c r="L527" s="6">
        <f t="shared" si="33"/>
        <v>103950</v>
      </c>
      <c r="M527" s="6">
        <f t="shared" si="34"/>
        <v>51380</v>
      </c>
      <c r="N527" s="6" t="str">
        <f t="shared" si="35"/>
        <v>profit</v>
      </c>
    </row>
    <row r="528" spans="1:14" ht="15.6" thickTop="1" thickBot="1" x14ac:dyDescent="0.35">
      <c r="A528" s="4">
        <v>45578</v>
      </c>
      <c r="B528" s="4" t="s">
        <v>85</v>
      </c>
      <c r="C528" s="5" t="s">
        <v>135</v>
      </c>
      <c r="D528" s="5" t="s">
        <v>33</v>
      </c>
      <c r="E528" s="5" t="s">
        <v>120</v>
      </c>
      <c r="F528" s="5" t="s">
        <v>25</v>
      </c>
      <c r="G528" s="5" t="s">
        <v>28</v>
      </c>
      <c r="H528" s="5">
        <v>86</v>
      </c>
      <c r="I528" s="5">
        <v>717</v>
      </c>
      <c r="J528" s="5">
        <v>1445</v>
      </c>
      <c r="K528" s="6">
        <f t="shared" si="32"/>
        <v>61662</v>
      </c>
      <c r="L528" s="6">
        <f t="shared" si="33"/>
        <v>124270</v>
      </c>
      <c r="M528" s="6">
        <f t="shared" si="34"/>
        <v>62608</v>
      </c>
      <c r="N528" s="6" t="str">
        <f t="shared" si="35"/>
        <v>profit</v>
      </c>
    </row>
    <row r="529" spans="1:14" ht="15.6" thickTop="1" thickBot="1" x14ac:dyDescent="0.35">
      <c r="A529" s="4">
        <v>45403</v>
      </c>
      <c r="B529" s="4" t="s">
        <v>31</v>
      </c>
      <c r="C529" s="5" t="s">
        <v>264</v>
      </c>
      <c r="D529" s="5" t="s">
        <v>33</v>
      </c>
      <c r="E529" s="5" t="s">
        <v>163</v>
      </c>
      <c r="F529" s="5" t="s">
        <v>39</v>
      </c>
      <c r="G529" s="5" t="s">
        <v>28</v>
      </c>
      <c r="H529" s="5">
        <v>75</v>
      </c>
      <c r="I529" s="5">
        <v>686</v>
      </c>
      <c r="J529" s="5">
        <v>1254</v>
      </c>
      <c r="K529" s="6">
        <f t="shared" si="32"/>
        <v>51450</v>
      </c>
      <c r="L529" s="6">
        <f t="shared" si="33"/>
        <v>94050</v>
      </c>
      <c r="M529" s="6">
        <f t="shared" si="34"/>
        <v>42600</v>
      </c>
      <c r="N529" s="6" t="str">
        <f t="shared" si="35"/>
        <v>profit</v>
      </c>
    </row>
    <row r="530" spans="1:14" ht="15.6" thickTop="1" thickBot="1" x14ac:dyDescent="0.35">
      <c r="A530" s="4">
        <v>45431</v>
      </c>
      <c r="B530" s="4" t="s">
        <v>97</v>
      </c>
      <c r="C530" s="5" t="s">
        <v>265</v>
      </c>
      <c r="D530" s="5" t="s">
        <v>33</v>
      </c>
      <c r="E530" s="5" t="s">
        <v>99</v>
      </c>
      <c r="F530" s="5" t="s">
        <v>60</v>
      </c>
      <c r="G530" s="5" t="s">
        <v>28</v>
      </c>
      <c r="H530" s="5">
        <v>91</v>
      </c>
      <c r="I530" s="5">
        <v>518</v>
      </c>
      <c r="J530" s="5">
        <v>1465</v>
      </c>
      <c r="K530" s="6">
        <f t="shared" si="32"/>
        <v>47138</v>
      </c>
      <c r="L530" s="6">
        <f t="shared" si="33"/>
        <v>133315</v>
      </c>
      <c r="M530" s="6">
        <f t="shared" si="34"/>
        <v>86177</v>
      </c>
      <c r="N530" s="6" t="str">
        <f t="shared" si="35"/>
        <v>profit</v>
      </c>
    </row>
    <row r="531" spans="1:14" ht="15.6" thickTop="1" thickBot="1" x14ac:dyDescent="0.35">
      <c r="A531" s="4">
        <v>45433</v>
      </c>
      <c r="B531" s="4" t="s">
        <v>97</v>
      </c>
      <c r="C531" s="5" t="s">
        <v>266</v>
      </c>
      <c r="D531" s="5" t="s">
        <v>33</v>
      </c>
      <c r="E531" s="5" t="s">
        <v>99</v>
      </c>
      <c r="F531" s="5" t="s">
        <v>39</v>
      </c>
      <c r="G531" s="5" t="s">
        <v>19</v>
      </c>
      <c r="H531" s="5">
        <v>96</v>
      </c>
      <c r="I531" s="5">
        <v>791</v>
      </c>
      <c r="J531" s="5">
        <v>931</v>
      </c>
      <c r="K531" s="6">
        <f t="shared" si="32"/>
        <v>75936</v>
      </c>
      <c r="L531" s="6">
        <f t="shared" si="33"/>
        <v>89376</v>
      </c>
      <c r="M531" s="6">
        <f t="shared" si="34"/>
        <v>13440</v>
      </c>
      <c r="N531" s="6" t="str">
        <f t="shared" si="35"/>
        <v>profit</v>
      </c>
    </row>
    <row r="532" spans="1:14" ht="15.6" thickTop="1" thickBot="1" x14ac:dyDescent="0.35">
      <c r="A532" s="4">
        <v>45434</v>
      </c>
      <c r="B532" s="4" t="s">
        <v>97</v>
      </c>
      <c r="C532" s="5" t="s">
        <v>267</v>
      </c>
      <c r="D532" s="5" t="s">
        <v>33</v>
      </c>
      <c r="E532" s="5" t="s">
        <v>99</v>
      </c>
      <c r="F532" s="5" t="s">
        <v>39</v>
      </c>
      <c r="G532" s="5" t="s">
        <v>19</v>
      </c>
      <c r="H532" s="5">
        <v>69</v>
      </c>
      <c r="I532" s="5">
        <v>864</v>
      </c>
      <c r="J532" s="5">
        <v>935</v>
      </c>
      <c r="K532" s="6">
        <f t="shared" si="32"/>
        <v>59616</v>
      </c>
      <c r="L532" s="6">
        <f t="shared" si="33"/>
        <v>64515</v>
      </c>
      <c r="M532" s="6">
        <f t="shared" si="34"/>
        <v>4899</v>
      </c>
      <c r="N532" s="6" t="str">
        <f t="shared" si="35"/>
        <v>profit</v>
      </c>
    </row>
    <row r="533" spans="1:14" ht="15.6" thickTop="1" thickBot="1" x14ac:dyDescent="0.35">
      <c r="A533" s="4">
        <v>45583</v>
      </c>
      <c r="B533" s="4" t="s">
        <v>85</v>
      </c>
      <c r="C533" s="5" t="s">
        <v>140</v>
      </c>
      <c r="D533" s="5" t="s">
        <v>16</v>
      </c>
      <c r="E533" s="5" t="s">
        <v>37</v>
      </c>
      <c r="F533" s="5" t="s">
        <v>54</v>
      </c>
      <c r="G533" s="5" t="s">
        <v>19</v>
      </c>
      <c r="H533" s="5">
        <v>20</v>
      </c>
      <c r="I533" s="5">
        <v>784</v>
      </c>
      <c r="J533" s="5">
        <v>1320</v>
      </c>
      <c r="K533" s="6">
        <f t="shared" si="32"/>
        <v>15680</v>
      </c>
      <c r="L533" s="6">
        <f t="shared" si="33"/>
        <v>26400</v>
      </c>
      <c r="M533" s="6">
        <f t="shared" si="34"/>
        <v>10720</v>
      </c>
      <c r="N533" s="6" t="str">
        <f t="shared" si="35"/>
        <v>profit</v>
      </c>
    </row>
    <row r="534" spans="1:14" ht="15.6" thickTop="1" thickBot="1" x14ac:dyDescent="0.35">
      <c r="A534" s="4">
        <v>45435</v>
      </c>
      <c r="B534" s="4" t="s">
        <v>97</v>
      </c>
      <c r="C534" s="5" t="s">
        <v>268</v>
      </c>
      <c r="D534" s="5" t="s">
        <v>33</v>
      </c>
      <c r="E534" s="5" t="s">
        <v>99</v>
      </c>
      <c r="F534" s="5" t="s">
        <v>44</v>
      </c>
      <c r="G534" s="5" t="s">
        <v>19</v>
      </c>
      <c r="H534" s="5">
        <v>55</v>
      </c>
      <c r="I534" s="5">
        <v>782</v>
      </c>
      <c r="J534" s="5">
        <v>1335</v>
      </c>
      <c r="K534" s="6">
        <f t="shared" si="32"/>
        <v>43010</v>
      </c>
      <c r="L534" s="6">
        <f t="shared" si="33"/>
        <v>73425</v>
      </c>
      <c r="M534" s="6">
        <f t="shared" si="34"/>
        <v>30415</v>
      </c>
      <c r="N534" s="6" t="str">
        <f t="shared" si="35"/>
        <v>profit</v>
      </c>
    </row>
    <row r="535" spans="1:14" ht="15.6" thickTop="1" thickBot="1" x14ac:dyDescent="0.35">
      <c r="A535" s="4">
        <v>45436</v>
      </c>
      <c r="B535" s="4" t="s">
        <v>97</v>
      </c>
      <c r="C535" s="5" t="s">
        <v>269</v>
      </c>
      <c r="D535" s="5" t="s">
        <v>33</v>
      </c>
      <c r="E535" s="5" t="s">
        <v>99</v>
      </c>
      <c r="F535" s="5" t="s">
        <v>27</v>
      </c>
      <c r="G535" s="5" t="s">
        <v>19</v>
      </c>
      <c r="H535" s="5">
        <v>71</v>
      </c>
      <c r="I535" s="5">
        <v>653</v>
      </c>
      <c r="J535" s="5">
        <v>963</v>
      </c>
      <c r="K535" s="6">
        <f t="shared" si="32"/>
        <v>46363</v>
      </c>
      <c r="L535" s="6">
        <f t="shared" si="33"/>
        <v>68373</v>
      </c>
      <c r="M535" s="6">
        <f t="shared" si="34"/>
        <v>22010</v>
      </c>
      <c r="N535" s="6" t="str">
        <f t="shared" si="35"/>
        <v>profit</v>
      </c>
    </row>
    <row r="536" spans="1:14" ht="15.6" thickTop="1" thickBot="1" x14ac:dyDescent="0.35">
      <c r="A536" s="4">
        <v>45586</v>
      </c>
      <c r="B536" s="4" t="s">
        <v>85</v>
      </c>
      <c r="C536" s="5" t="s">
        <v>143</v>
      </c>
      <c r="D536" s="5" t="s">
        <v>16</v>
      </c>
      <c r="E536" s="5" t="s">
        <v>37</v>
      </c>
      <c r="F536" s="5" t="s">
        <v>39</v>
      </c>
      <c r="G536" s="5" t="s">
        <v>19</v>
      </c>
      <c r="H536" s="5">
        <v>19</v>
      </c>
      <c r="I536" s="5">
        <v>664</v>
      </c>
      <c r="J536" s="5">
        <v>1091</v>
      </c>
      <c r="K536" s="6">
        <f t="shared" si="32"/>
        <v>12616</v>
      </c>
      <c r="L536" s="6">
        <f t="shared" si="33"/>
        <v>20729</v>
      </c>
      <c r="M536" s="6">
        <f t="shared" si="34"/>
        <v>8113</v>
      </c>
      <c r="N536" s="6" t="str">
        <f t="shared" si="35"/>
        <v>profit</v>
      </c>
    </row>
    <row r="537" spans="1:14" ht="15.6" thickTop="1" thickBot="1" x14ac:dyDescent="0.35">
      <c r="A537" s="4">
        <v>45437</v>
      </c>
      <c r="B537" s="4" t="s">
        <v>97</v>
      </c>
      <c r="C537" s="5" t="s">
        <v>270</v>
      </c>
      <c r="D537" s="5" t="s">
        <v>33</v>
      </c>
      <c r="E537" s="5" t="s">
        <v>99</v>
      </c>
      <c r="F537" s="5" t="s">
        <v>44</v>
      </c>
      <c r="G537" s="5" t="s">
        <v>19</v>
      </c>
      <c r="H537" s="5">
        <v>88</v>
      </c>
      <c r="I537" s="5">
        <v>959</v>
      </c>
      <c r="J537" s="5">
        <v>985</v>
      </c>
      <c r="K537" s="6">
        <f t="shared" si="32"/>
        <v>84392</v>
      </c>
      <c r="L537" s="6">
        <f t="shared" si="33"/>
        <v>86680</v>
      </c>
      <c r="M537" s="6">
        <f t="shared" si="34"/>
        <v>2288</v>
      </c>
      <c r="N537" s="6" t="str">
        <f t="shared" si="35"/>
        <v>profit</v>
      </c>
    </row>
    <row r="538" spans="1:14" ht="15.6" thickTop="1" thickBot="1" x14ac:dyDescent="0.35">
      <c r="A538" s="4">
        <v>45588</v>
      </c>
      <c r="B538" s="4" t="s">
        <v>85</v>
      </c>
      <c r="C538" s="5" t="s">
        <v>145</v>
      </c>
      <c r="D538" s="5" t="s">
        <v>46</v>
      </c>
      <c r="E538" s="5" t="s">
        <v>47</v>
      </c>
      <c r="F538" s="5" t="s">
        <v>64</v>
      </c>
      <c r="G538" s="5" t="s">
        <v>19</v>
      </c>
      <c r="H538" s="5">
        <v>26</v>
      </c>
      <c r="I538" s="5">
        <v>674</v>
      </c>
      <c r="J538" s="5">
        <v>857</v>
      </c>
      <c r="K538" s="6">
        <f t="shared" si="32"/>
        <v>17524</v>
      </c>
      <c r="L538" s="6">
        <f t="shared" si="33"/>
        <v>22282</v>
      </c>
      <c r="M538" s="6">
        <f t="shared" si="34"/>
        <v>4758</v>
      </c>
      <c r="N538" s="6" t="str">
        <f t="shared" si="35"/>
        <v>profit</v>
      </c>
    </row>
    <row r="539" spans="1:14" ht="15.6" thickTop="1" thickBot="1" x14ac:dyDescent="0.35">
      <c r="A539" s="4">
        <v>45438</v>
      </c>
      <c r="B539" s="4" t="s">
        <v>97</v>
      </c>
      <c r="C539" s="5" t="s">
        <v>271</v>
      </c>
      <c r="D539" s="5" t="s">
        <v>33</v>
      </c>
      <c r="E539" s="5" t="s">
        <v>99</v>
      </c>
      <c r="F539" s="5" t="s">
        <v>49</v>
      </c>
      <c r="G539" s="5" t="s">
        <v>19</v>
      </c>
      <c r="H539" s="5">
        <v>72</v>
      </c>
      <c r="I539" s="5">
        <v>805</v>
      </c>
      <c r="J539" s="5">
        <v>826</v>
      </c>
      <c r="K539" s="6">
        <f t="shared" si="32"/>
        <v>57960</v>
      </c>
      <c r="L539" s="6">
        <f t="shared" si="33"/>
        <v>59472</v>
      </c>
      <c r="M539" s="6">
        <f t="shared" si="34"/>
        <v>1512</v>
      </c>
      <c r="N539" s="6" t="str">
        <f t="shared" si="35"/>
        <v>profit</v>
      </c>
    </row>
    <row r="540" spans="1:14" ht="15.6" thickTop="1" thickBot="1" x14ac:dyDescent="0.35">
      <c r="A540" s="4">
        <v>45590</v>
      </c>
      <c r="B540" s="4" t="s">
        <v>85</v>
      </c>
      <c r="C540" s="5" t="s">
        <v>147</v>
      </c>
      <c r="D540" s="5" t="s">
        <v>46</v>
      </c>
      <c r="E540" s="5" t="s">
        <v>133</v>
      </c>
      <c r="F540" s="5" t="s">
        <v>39</v>
      </c>
      <c r="G540" s="5" t="s">
        <v>28</v>
      </c>
      <c r="H540" s="5">
        <v>29</v>
      </c>
      <c r="I540" s="5">
        <v>774</v>
      </c>
      <c r="J540" s="5">
        <v>793</v>
      </c>
      <c r="K540" s="6">
        <f t="shared" si="32"/>
        <v>22446</v>
      </c>
      <c r="L540" s="6">
        <f t="shared" si="33"/>
        <v>22997</v>
      </c>
      <c r="M540" s="6">
        <f t="shared" si="34"/>
        <v>551</v>
      </c>
      <c r="N540" s="6" t="str">
        <f t="shared" si="35"/>
        <v>profit</v>
      </c>
    </row>
    <row r="541" spans="1:14" ht="15.6" thickTop="1" thickBot="1" x14ac:dyDescent="0.35">
      <c r="A541" s="4">
        <v>45439</v>
      </c>
      <c r="B541" s="4" t="s">
        <v>97</v>
      </c>
      <c r="C541" s="5" t="s">
        <v>272</v>
      </c>
      <c r="D541" s="5" t="s">
        <v>33</v>
      </c>
      <c r="E541" s="5" t="s">
        <v>99</v>
      </c>
      <c r="F541" s="5" t="s">
        <v>27</v>
      </c>
      <c r="G541" s="5" t="s">
        <v>19</v>
      </c>
      <c r="H541" s="5">
        <v>53</v>
      </c>
      <c r="I541" s="5">
        <v>665</v>
      </c>
      <c r="J541" s="5">
        <v>1206</v>
      </c>
      <c r="K541" s="6">
        <f t="shared" si="32"/>
        <v>35245</v>
      </c>
      <c r="L541" s="6">
        <f t="shared" si="33"/>
        <v>63918</v>
      </c>
      <c r="M541" s="6">
        <f t="shared" si="34"/>
        <v>28673</v>
      </c>
      <c r="N541" s="6" t="str">
        <f t="shared" si="35"/>
        <v>profit</v>
      </c>
    </row>
    <row r="542" spans="1:14" ht="15.6" thickTop="1" thickBot="1" x14ac:dyDescent="0.35">
      <c r="A542" s="4">
        <v>45440</v>
      </c>
      <c r="B542" s="4" t="s">
        <v>97</v>
      </c>
      <c r="C542" s="5" t="s">
        <v>273</v>
      </c>
      <c r="D542" s="5" t="s">
        <v>33</v>
      </c>
      <c r="E542" s="5" t="s">
        <v>99</v>
      </c>
      <c r="F542" s="5" t="s">
        <v>52</v>
      </c>
      <c r="G542" s="5" t="s">
        <v>28</v>
      </c>
      <c r="H542" s="5">
        <v>88</v>
      </c>
      <c r="I542" s="5">
        <v>607</v>
      </c>
      <c r="J542" s="5">
        <v>1268</v>
      </c>
      <c r="K542" s="6">
        <f t="shared" si="32"/>
        <v>53416</v>
      </c>
      <c r="L542" s="6">
        <f t="shared" si="33"/>
        <v>111584</v>
      </c>
      <c r="M542" s="6">
        <f t="shared" si="34"/>
        <v>58168</v>
      </c>
      <c r="N542" s="6" t="str">
        <f t="shared" si="35"/>
        <v>profit</v>
      </c>
    </row>
    <row r="543" spans="1:14" ht="15.6" thickTop="1" thickBot="1" x14ac:dyDescent="0.35">
      <c r="A543" s="4">
        <v>45442</v>
      </c>
      <c r="B543" s="4" t="s">
        <v>97</v>
      </c>
      <c r="C543" s="5" t="s">
        <v>274</v>
      </c>
      <c r="D543" s="5" t="s">
        <v>33</v>
      </c>
      <c r="E543" s="5" t="s">
        <v>99</v>
      </c>
      <c r="F543" s="5" t="s">
        <v>35</v>
      </c>
      <c r="G543" s="5" t="s">
        <v>28</v>
      </c>
      <c r="H543" s="5">
        <v>99</v>
      </c>
      <c r="I543" s="5">
        <v>657</v>
      </c>
      <c r="J543" s="5">
        <v>1033</v>
      </c>
      <c r="K543" s="6">
        <f t="shared" si="32"/>
        <v>65043</v>
      </c>
      <c r="L543" s="6">
        <f t="shared" si="33"/>
        <v>102267</v>
      </c>
      <c r="M543" s="6">
        <f t="shared" si="34"/>
        <v>37224</v>
      </c>
      <c r="N543" s="6" t="str">
        <f t="shared" si="35"/>
        <v>profit</v>
      </c>
    </row>
    <row r="544" spans="1:14" ht="15.6" thickTop="1" thickBot="1" x14ac:dyDescent="0.35">
      <c r="A544" s="4">
        <v>45443</v>
      </c>
      <c r="B544" s="4" t="s">
        <v>97</v>
      </c>
      <c r="C544" s="5" t="s">
        <v>275</v>
      </c>
      <c r="D544" s="5" t="s">
        <v>33</v>
      </c>
      <c r="E544" s="5" t="s">
        <v>120</v>
      </c>
      <c r="F544" s="5" t="s">
        <v>39</v>
      </c>
      <c r="G544" s="5" t="s">
        <v>28</v>
      </c>
      <c r="H544" s="5">
        <v>88</v>
      </c>
      <c r="I544" s="5">
        <v>977</v>
      </c>
      <c r="J544" s="5">
        <v>1402</v>
      </c>
      <c r="K544" s="6">
        <f t="shared" si="32"/>
        <v>85976</v>
      </c>
      <c r="L544" s="6">
        <f t="shared" si="33"/>
        <v>123376</v>
      </c>
      <c r="M544" s="6">
        <f t="shared" si="34"/>
        <v>37400</v>
      </c>
      <c r="N544" s="6" t="str">
        <f t="shared" si="35"/>
        <v>profit</v>
      </c>
    </row>
    <row r="545" spans="1:14" ht="15.6" thickTop="1" thickBot="1" x14ac:dyDescent="0.35">
      <c r="A545" s="4">
        <v>45444</v>
      </c>
      <c r="B545" s="4" t="s">
        <v>14</v>
      </c>
      <c r="C545" s="5" t="s">
        <v>276</v>
      </c>
      <c r="D545" s="5" t="s">
        <v>33</v>
      </c>
      <c r="E545" s="5" t="s">
        <v>120</v>
      </c>
      <c r="F545" s="5" t="s">
        <v>39</v>
      </c>
      <c r="G545" s="5" t="s">
        <v>19</v>
      </c>
      <c r="H545" s="5">
        <v>81</v>
      </c>
      <c r="I545" s="5">
        <v>528</v>
      </c>
      <c r="J545" s="5">
        <v>872</v>
      </c>
      <c r="K545" s="6">
        <f t="shared" si="32"/>
        <v>42768</v>
      </c>
      <c r="L545" s="6">
        <f t="shared" si="33"/>
        <v>70632</v>
      </c>
      <c r="M545" s="6">
        <f t="shared" si="34"/>
        <v>27864</v>
      </c>
      <c r="N545" s="6" t="str">
        <f t="shared" si="35"/>
        <v>profit</v>
      </c>
    </row>
    <row r="546" spans="1:14" ht="15.6" thickTop="1" thickBot="1" x14ac:dyDescent="0.35">
      <c r="A546" s="4">
        <v>45445</v>
      </c>
      <c r="B546" s="4" t="s">
        <v>14</v>
      </c>
      <c r="C546" s="5" t="s">
        <v>277</v>
      </c>
      <c r="D546" s="5" t="s">
        <v>33</v>
      </c>
      <c r="E546" s="5" t="s">
        <v>120</v>
      </c>
      <c r="F546" s="5" t="s">
        <v>64</v>
      </c>
      <c r="G546" s="5" t="s">
        <v>28</v>
      </c>
      <c r="H546" s="5">
        <v>74</v>
      </c>
      <c r="I546" s="5">
        <v>870</v>
      </c>
      <c r="J546" s="5">
        <v>1490</v>
      </c>
      <c r="K546" s="6">
        <f t="shared" si="32"/>
        <v>64380</v>
      </c>
      <c r="L546" s="6">
        <f t="shared" si="33"/>
        <v>110260</v>
      </c>
      <c r="M546" s="6">
        <f t="shared" si="34"/>
        <v>45880</v>
      </c>
      <c r="N546" s="6" t="str">
        <f t="shared" si="35"/>
        <v>profit</v>
      </c>
    </row>
    <row r="547" spans="1:14" ht="15.6" thickTop="1" thickBot="1" x14ac:dyDescent="0.35">
      <c r="A547" s="4">
        <v>45446</v>
      </c>
      <c r="B547" s="4" t="s">
        <v>14</v>
      </c>
      <c r="C547" s="5" t="s">
        <v>278</v>
      </c>
      <c r="D547" s="5" t="s">
        <v>33</v>
      </c>
      <c r="E547" s="5" t="s">
        <v>120</v>
      </c>
      <c r="F547" s="5" t="s">
        <v>64</v>
      </c>
      <c r="G547" s="5" t="s">
        <v>28</v>
      </c>
      <c r="H547" s="5">
        <v>83</v>
      </c>
      <c r="I547" s="5">
        <v>655</v>
      </c>
      <c r="J547" s="5">
        <v>1422</v>
      </c>
      <c r="K547" s="6">
        <f t="shared" si="32"/>
        <v>54365</v>
      </c>
      <c r="L547" s="6">
        <f t="shared" si="33"/>
        <v>118026</v>
      </c>
      <c r="M547" s="6">
        <f t="shared" si="34"/>
        <v>63661</v>
      </c>
      <c r="N547" s="6" t="str">
        <f t="shared" si="35"/>
        <v>profit</v>
      </c>
    </row>
    <row r="548" spans="1:14" ht="15.6" thickTop="1" thickBot="1" x14ac:dyDescent="0.35">
      <c r="A548" s="4">
        <v>45447</v>
      </c>
      <c r="B548" s="4" t="s">
        <v>14</v>
      </c>
      <c r="C548" s="5" t="s">
        <v>279</v>
      </c>
      <c r="D548" s="5" t="s">
        <v>33</v>
      </c>
      <c r="E548" s="5" t="s">
        <v>120</v>
      </c>
      <c r="F548" s="5" t="s">
        <v>60</v>
      </c>
      <c r="G548" s="5" t="s">
        <v>28</v>
      </c>
      <c r="H548" s="5">
        <v>99</v>
      </c>
      <c r="I548" s="5">
        <v>649</v>
      </c>
      <c r="J548" s="5">
        <v>1415</v>
      </c>
      <c r="K548" s="6">
        <f t="shared" si="32"/>
        <v>64251</v>
      </c>
      <c r="L548" s="6">
        <f t="shared" si="33"/>
        <v>140085</v>
      </c>
      <c r="M548" s="6">
        <f t="shared" si="34"/>
        <v>75834</v>
      </c>
      <c r="N548" s="6" t="str">
        <f t="shared" si="35"/>
        <v>profit</v>
      </c>
    </row>
    <row r="549" spans="1:14" ht="15.6" thickTop="1" thickBot="1" x14ac:dyDescent="0.35">
      <c r="A549" s="4">
        <v>45448</v>
      </c>
      <c r="B549" s="4" t="s">
        <v>14</v>
      </c>
      <c r="C549" s="5" t="s">
        <v>280</v>
      </c>
      <c r="D549" s="5" t="s">
        <v>33</v>
      </c>
      <c r="E549" s="5" t="s">
        <v>120</v>
      </c>
      <c r="F549" s="5" t="s">
        <v>39</v>
      </c>
      <c r="G549" s="5" t="s">
        <v>28</v>
      </c>
      <c r="H549" s="5">
        <v>97</v>
      </c>
      <c r="I549" s="5">
        <v>917</v>
      </c>
      <c r="J549" s="5">
        <v>844</v>
      </c>
      <c r="K549" s="6">
        <f t="shared" si="32"/>
        <v>88949</v>
      </c>
      <c r="L549" s="6">
        <f t="shared" si="33"/>
        <v>81868</v>
      </c>
      <c r="M549" s="6">
        <f t="shared" si="34"/>
        <v>-7081</v>
      </c>
      <c r="N549" s="6" t="str">
        <f t="shared" si="35"/>
        <v>loss</v>
      </c>
    </row>
    <row r="550" spans="1:14" ht="15.6" thickTop="1" thickBot="1" x14ac:dyDescent="0.35">
      <c r="A550" s="4">
        <v>45449</v>
      </c>
      <c r="B550" s="4" t="s">
        <v>14</v>
      </c>
      <c r="C550" s="5" t="s">
        <v>281</v>
      </c>
      <c r="D550" s="5" t="s">
        <v>33</v>
      </c>
      <c r="E550" s="5" t="s">
        <v>120</v>
      </c>
      <c r="F550" s="5" t="s">
        <v>30</v>
      </c>
      <c r="G550" s="5" t="s">
        <v>19</v>
      </c>
      <c r="H550" s="5">
        <v>57</v>
      </c>
      <c r="I550" s="5">
        <v>793</v>
      </c>
      <c r="J550" s="5">
        <v>761</v>
      </c>
      <c r="K550" s="6">
        <f t="shared" si="32"/>
        <v>45201</v>
      </c>
      <c r="L550" s="6">
        <f t="shared" si="33"/>
        <v>43377</v>
      </c>
      <c r="M550" s="6">
        <f t="shared" si="34"/>
        <v>-1824</v>
      </c>
      <c r="N550" s="6" t="str">
        <f t="shared" si="35"/>
        <v>loss</v>
      </c>
    </row>
    <row r="551" spans="1:14" ht="15.6" thickTop="1" thickBot="1" x14ac:dyDescent="0.35">
      <c r="A551" s="4">
        <v>45450</v>
      </c>
      <c r="B551" s="4" t="s">
        <v>14</v>
      </c>
      <c r="C551" s="5" t="s">
        <v>282</v>
      </c>
      <c r="D551" s="5" t="s">
        <v>33</v>
      </c>
      <c r="E551" s="5" t="s">
        <v>120</v>
      </c>
      <c r="F551" s="5" t="s">
        <v>113</v>
      </c>
      <c r="G551" s="5" t="s">
        <v>19</v>
      </c>
      <c r="H551" s="5">
        <v>84</v>
      </c>
      <c r="I551" s="5">
        <v>931</v>
      </c>
      <c r="J551" s="5">
        <v>1475</v>
      </c>
      <c r="K551" s="6">
        <f t="shared" si="32"/>
        <v>78204</v>
      </c>
      <c r="L551" s="6">
        <f t="shared" si="33"/>
        <v>123900</v>
      </c>
      <c r="M551" s="6">
        <f t="shared" si="34"/>
        <v>45696</v>
      </c>
      <c r="N551" s="6" t="str">
        <f t="shared" si="35"/>
        <v>profit</v>
      </c>
    </row>
    <row r="552" spans="1:14" ht="15.6" thickTop="1" thickBot="1" x14ac:dyDescent="0.35">
      <c r="A552" s="4">
        <v>45602</v>
      </c>
      <c r="B552" s="4" t="s">
        <v>161</v>
      </c>
      <c r="C552" s="5" t="s">
        <v>162</v>
      </c>
      <c r="D552" s="5" t="s">
        <v>33</v>
      </c>
      <c r="E552" s="5" t="s">
        <v>163</v>
      </c>
      <c r="F552" s="5" t="s">
        <v>30</v>
      </c>
      <c r="G552" s="5" t="s">
        <v>19</v>
      </c>
      <c r="H552" s="5">
        <v>74</v>
      </c>
      <c r="I552" s="5">
        <v>714</v>
      </c>
      <c r="J552" s="5">
        <v>1148</v>
      </c>
      <c r="K552" s="6">
        <f t="shared" si="32"/>
        <v>52836</v>
      </c>
      <c r="L552" s="6">
        <f t="shared" si="33"/>
        <v>84952</v>
      </c>
      <c r="M552" s="6">
        <f t="shared" si="34"/>
        <v>32116</v>
      </c>
      <c r="N552" s="6" t="str">
        <f t="shared" si="35"/>
        <v>profit</v>
      </c>
    </row>
    <row r="553" spans="1:14" ht="15.6" thickTop="1" thickBot="1" x14ac:dyDescent="0.35">
      <c r="A553" s="4">
        <v>45451</v>
      </c>
      <c r="B553" s="4" t="s">
        <v>14</v>
      </c>
      <c r="C553" s="5" t="s">
        <v>283</v>
      </c>
      <c r="D553" s="5" t="s">
        <v>33</v>
      </c>
      <c r="E553" s="5" t="s">
        <v>120</v>
      </c>
      <c r="F553" s="5" t="s">
        <v>44</v>
      </c>
      <c r="G553" s="5" t="s">
        <v>19</v>
      </c>
      <c r="H553" s="5">
        <v>76</v>
      </c>
      <c r="I553" s="5">
        <v>901</v>
      </c>
      <c r="J553" s="5">
        <v>1471</v>
      </c>
      <c r="K553" s="6">
        <f t="shared" si="32"/>
        <v>68476</v>
      </c>
      <c r="L553" s="6">
        <f t="shared" si="33"/>
        <v>111796</v>
      </c>
      <c r="M553" s="6">
        <f t="shared" si="34"/>
        <v>43320</v>
      </c>
      <c r="N553" s="6" t="str">
        <f t="shared" si="35"/>
        <v>profit</v>
      </c>
    </row>
    <row r="554" spans="1:14" ht="15.6" thickTop="1" thickBot="1" x14ac:dyDescent="0.35">
      <c r="A554" s="4">
        <v>45452</v>
      </c>
      <c r="B554" s="4" t="s">
        <v>14</v>
      </c>
      <c r="C554" s="5" t="s">
        <v>284</v>
      </c>
      <c r="D554" s="5" t="s">
        <v>33</v>
      </c>
      <c r="E554" s="5" t="s">
        <v>120</v>
      </c>
      <c r="F554" s="5" t="s">
        <v>153</v>
      </c>
      <c r="G554" s="5" t="s">
        <v>19</v>
      </c>
      <c r="H554" s="5">
        <v>93</v>
      </c>
      <c r="I554" s="5">
        <v>658</v>
      </c>
      <c r="J554" s="5">
        <v>1303</v>
      </c>
      <c r="K554" s="6">
        <f t="shared" si="32"/>
        <v>61194</v>
      </c>
      <c r="L554" s="6">
        <f t="shared" si="33"/>
        <v>121179</v>
      </c>
      <c r="M554" s="6">
        <f t="shared" si="34"/>
        <v>59985</v>
      </c>
      <c r="N554" s="6" t="str">
        <f t="shared" si="35"/>
        <v>profit</v>
      </c>
    </row>
    <row r="555" spans="1:14" ht="15.6" thickTop="1" thickBot="1" x14ac:dyDescent="0.35">
      <c r="A555" s="4">
        <v>45605</v>
      </c>
      <c r="B555" s="4" t="s">
        <v>161</v>
      </c>
      <c r="C555" s="5" t="s">
        <v>166</v>
      </c>
      <c r="D555" s="5" t="s">
        <v>33</v>
      </c>
      <c r="E555" s="5" t="s">
        <v>163</v>
      </c>
      <c r="F555" s="5" t="s">
        <v>71</v>
      </c>
      <c r="G555" s="5" t="s">
        <v>19</v>
      </c>
      <c r="H555" s="5">
        <v>73</v>
      </c>
      <c r="I555" s="5">
        <v>957</v>
      </c>
      <c r="J555" s="5">
        <v>814</v>
      </c>
      <c r="K555" s="6">
        <f t="shared" si="32"/>
        <v>69861</v>
      </c>
      <c r="L555" s="6">
        <f t="shared" si="33"/>
        <v>59422</v>
      </c>
      <c r="M555" s="6">
        <f t="shared" si="34"/>
        <v>-10439</v>
      </c>
      <c r="N555" s="6" t="str">
        <f t="shared" si="35"/>
        <v>loss</v>
      </c>
    </row>
    <row r="556" spans="1:14" ht="15.6" thickTop="1" thickBot="1" x14ac:dyDescent="0.35">
      <c r="A556" s="4">
        <v>45453</v>
      </c>
      <c r="B556" s="4" t="s">
        <v>14</v>
      </c>
      <c r="C556" s="5" t="s">
        <v>285</v>
      </c>
      <c r="D556" s="5" t="s">
        <v>33</v>
      </c>
      <c r="E556" s="5" t="s">
        <v>120</v>
      </c>
      <c r="F556" s="5" t="s">
        <v>155</v>
      </c>
      <c r="G556" s="5" t="s">
        <v>19</v>
      </c>
      <c r="H556" s="5">
        <v>68</v>
      </c>
      <c r="I556" s="5">
        <v>651</v>
      </c>
      <c r="J556" s="5">
        <v>1061</v>
      </c>
      <c r="K556" s="6">
        <f t="shared" si="32"/>
        <v>44268</v>
      </c>
      <c r="L556" s="6">
        <f t="shared" si="33"/>
        <v>72148</v>
      </c>
      <c r="M556" s="6">
        <f t="shared" si="34"/>
        <v>27880</v>
      </c>
      <c r="N556" s="6" t="str">
        <f t="shared" si="35"/>
        <v>profit</v>
      </c>
    </row>
    <row r="557" spans="1:14" ht="15.6" thickTop="1" thickBot="1" x14ac:dyDescent="0.35">
      <c r="A557" s="4">
        <v>45461</v>
      </c>
      <c r="B557" s="4" t="s">
        <v>14</v>
      </c>
      <c r="C557" s="5" t="s">
        <v>286</v>
      </c>
      <c r="D557" s="5" t="s">
        <v>33</v>
      </c>
      <c r="E557" s="5" t="s">
        <v>99</v>
      </c>
      <c r="F557" s="5" t="s">
        <v>25</v>
      </c>
      <c r="G557" s="5" t="s">
        <v>28</v>
      </c>
      <c r="H557" s="5">
        <v>98</v>
      </c>
      <c r="I557" s="5">
        <v>596</v>
      </c>
      <c r="J557" s="5">
        <v>1155</v>
      </c>
      <c r="K557" s="6">
        <f t="shared" si="32"/>
        <v>58408</v>
      </c>
      <c r="L557" s="6">
        <f t="shared" si="33"/>
        <v>113190</v>
      </c>
      <c r="M557" s="6">
        <f t="shared" si="34"/>
        <v>54782</v>
      </c>
      <c r="N557" s="6" t="str">
        <f t="shared" si="35"/>
        <v>profit</v>
      </c>
    </row>
    <row r="558" spans="1:14" ht="15.6" thickTop="1" thickBot="1" x14ac:dyDescent="0.35">
      <c r="A558" s="4">
        <v>45462</v>
      </c>
      <c r="B558" s="4" t="s">
        <v>14</v>
      </c>
      <c r="C558" s="5" t="s">
        <v>287</v>
      </c>
      <c r="D558" s="5" t="s">
        <v>33</v>
      </c>
      <c r="E558" s="5" t="s">
        <v>99</v>
      </c>
      <c r="F558" s="5" t="s">
        <v>76</v>
      </c>
      <c r="G558" s="5" t="s">
        <v>28</v>
      </c>
      <c r="H558" s="5">
        <v>84</v>
      </c>
      <c r="I558" s="5">
        <v>911</v>
      </c>
      <c r="J558" s="5">
        <v>1370</v>
      </c>
      <c r="K558" s="6">
        <f t="shared" si="32"/>
        <v>76524</v>
      </c>
      <c r="L558" s="6">
        <f t="shared" si="33"/>
        <v>115080</v>
      </c>
      <c r="M558" s="6">
        <f t="shared" si="34"/>
        <v>38556</v>
      </c>
      <c r="N558" s="6" t="str">
        <f t="shared" si="35"/>
        <v>profit</v>
      </c>
    </row>
    <row r="559" spans="1:14" ht="15.6" thickTop="1" thickBot="1" x14ac:dyDescent="0.35">
      <c r="A559" s="4">
        <v>45463</v>
      </c>
      <c r="B559" s="4" t="s">
        <v>14</v>
      </c>
      <c r="C559" s="5" t="s">
        <v>288</v>
      </c>
      <c r="D559" s="5" t="s">
        <v>33</v>
      </c>
      <c r="E559" s="5" t="s">
        <v>99</v>
      </c>
      <c r="F559" s="5" t="s">
        <v>71</v>
      </c>
      <c r="G559" s="5" t="s">
        <v>28</v>
      </c>
      <c r="H559" s="5">
        <v>81</v>
      </c>
      <c r="I559" s="5">
        <v>702</v>
      </c>
      <c r="J559" s="5">
        <v>1494</v>
      </c>
      <c r="K559" s="6">
        <f t="shared" si="32"/>
        <v>56862</v>
      </c>
      <c r="L559" s="6">
        <f t="shared" si="33"/>
        <v>121014</v>
      </c>
      <c r="M559" s="6">
        <f t="shared" si="34"/>
        <v>64152</v>
      </c>
      <c r="N559" s="6" t="str">
        <f t="shared" si="35"/>
        <v>profit</v>
      </c>
    </row>
    <row r="560" spans="1:14" ht="15.6" thickTop="1" thickBot="1" x14ac:dyDescent="0.35">
      <c r="A560" s="4">
        <v>45610</v>
      </c>
      <c r="B560" s="4" t="s">
        <v>161</v>
      </c>
      <c r="C560" s="5" t="s">
        <v>171</v>
      </c>
      <c r="D560" s="5" t="s">
        <v>46</v>
      </c>
      <c r="E560" s="5" t="s">
        <v>63</v>
      </c>
      <c r="F560" s="5" t="s">
        <v>78</v>
      </c>
      <c r="G560" s="5" t="s">
        <v>28</v>
      </c>
      <c r="H560" s="5">
        <v>24</v>
      </c>
      <c r="I560" s="5">
        <v>553</v>
      </c>
      <c r="J560" s="5">
        <v>964</v>
      </c>
      <c r="K560" s="6">
        <f t="shared" si="32"/>
        <v>13272</v>
      </c>
      <c r="L560" s="6">
        <f t="shared" si="33"/>
        <v>23136</v>
      </c>
      <c r="M560" s="6">
        <f t="shared" si="34"/>
        <v>9864</v>
      </c>
      <c r="N560" s="6" t="str">
        <f t="shared" si="35"/>
        <v>profit</v>
      </c>
    </row>
    <row r="561" spans="1:14" ht="15.6" thickTop="1" thickBot="1" x14ac:dyDescent="0.35">
      <c r="A561" s="4">
        <v>45465</v>
      </c>
      <c r="B561" s="4" t="s">
        <v>14</v>
      </c>
      <c r="C561" s="5" t="s">
        <v>289</v>
      </c>
      <c r="D561" s="5" t="s">
        <v>33</v>
      </c>
      <c r="E561" s="5" t="s">
        <v>99</v>
      </c>
      <c r="F561" s="5" t="s">
        <v>25</v>
      </c>
      <c r="G561" s="5" t="s">
        <v>19</v>
      </c>
      <c r="H561" s="5">
        <v>58</v>
      </c>
      <c r="I561" s="5">
        <v>510</v>
      </c>
      <c r="J561" s="5">
        <v>1456</v>
      </c>
      <c r="K561" s="6">
        <f t="shared" si="32"/>
        <v>29580</v>
      </c>
      <c r="L561" s="6">
        <f t="shared" si="33"/>
        <v>84448</v>
      </c>
      <c r="M561" s="6">
        <f t="shared" si="34"/>
        <v>54868</v>
      </c>
      <c r="N561" s="6" t="str">
        <f t="shared" si="35"/>
        <v>profit</v>
      </c>
    </row>
    <row r="562" spans="1:14" ht="15.6" thickTop="1" thickBot="1" x14ac:dyDescent="0.35">
      <c r="A562" s="4">
        <v>45466</v>
      </c>
      <c r="B562" s="4" t="s">
        <v>14</v>
      </c>
      <c r="C562" s="5" t="s">
        <v>290</v>
      </c>
      <c r="D562" s="5" t="s">
        <v>33</v>
      </c>
      <c r="E562" s="5" t="s">
        <v>120</v>
      </c>
      <c r="F562" s="5" t="s">
        <v>64</v>
      </c>
      <c r="G562" s="5" t="s">
        <v>19</v>
      </c>
      <c r="H562" s="5">
        <v>59</v>
      </c>
      <c r="I562" s="5">
        <v>506</v>
      </c>
      <c r="J562" s="5">
        <v>1498</v>
      </c>
      <c r="K562" s="6">
        <f t="shared" si="32"/>
        <v>29854</v>
      </c>
      <c r="L562" s="6">
        <f t="shared" si="33"/>
        <v>88382</v>
      </c>
      <c r="M562" s="6">
        <f t="shared" si="34"/>
        <v>58528</v>
      </c>
      <c r="N562" s="6" t="str">
        <f t="shared" si="35"/>
        <v>profit</v>
      </c>
    </row>
    <row r="563" spans="1:14" ht="15.6" thickTop="1" thickBot="1" x14ac:dyDescent="0.35">
      <c r="A563" s="4">
        <v>45467</v>
      </c>
      <c r="B563" s="4" t="s">
        <v>14</v>
      </c>
      <c r="C563" s="5" t="s">
        <v>291</v>
      </c>
      <c r="D563" s="5" t="s">
        <v>33</v>
      </c>
      <c r="E563" s="5" t="s">
        <v>120</v>
      </c>
      <c r="F563" s="5" t="s">
        <v>76</v>
      </c>
      <c r="G563" s="5" t="s">
        <v>28</v>
      </c>
      <c r="H563" s="5">
        <v>51</v>
      </c>
      <c r="I563" s="5">
        <v>868</v>
      </c>
      <c r="J563" s="5">
        <v>938</v>
      </c>
      <c r="K563" s="6">
        <f t="shared" si="32"/>
        <v>44268</v>
      </c>
      <c r="L563" s="6">
        <f t="shared" si="33"/>
        <v>47838</v>
      </c>
      <c r="M563" s="6">
        <f t="shared" si="34"/>
        <v>3570</v>
      </c>
      <c r="N563" s="6" t="str">
        <f t="shared" si="35"/>
        <v>profit</v>
      </c>
    </row>
    <row r="564" spans="1:14" ht="15.6" thickTop="1" thickBot="1" x14ac:dyDescent="0.35">
      <c r="A564" s="4">
        <v>45614</v>
      </c>
      <c r="B564" s="4" t="s">
        <v>161</v>
      </c>
      <c r="C564" s="5" t="s">
        <v>175</v>
      </c>
      <c r="D564" s="5" t="s">
        <v>46</v>
      </c>
      <c r="E564" s="5" t="s">
        <v>63</v>
      </c>
      <c r="F564" s="5" t="s">
        <v>35</v>
      </c>
      <c r="G564" s="5" t="s">
        <v>19</v>
      </c>
      <c r="H564" s="5">
        <v>22</v>
      </c>
      <c r="I564" s="5">
        <v>688</v>
      </c>
      <c r="J564" s="5">
        <v>985</v>
      </c>
      <c r="K564" s="6">
        <f t="shared" si="32"/>
        <v>15136</v>
      </c>
      <c r="L564" s="6">
        <f t="shared" si="33"/>
        <v>21670</v>
      </c>
      <c r="M564" s="6">
        <f t="shared" si="34"/>
        <v>6534</v>
      </c>
      <c r="N564" s="6" t="str">
        <f t="shared" si="35"/>
        <v>profit</v>
      </c>
    </row>
    <row r="565" spans="1:14" ht="15.6" thickTop="1" thickBot="1" x14ac:dyDescent="0.35">
      <c r="A565" s="4">
        <v>45468</v>
      </c>
      <c r="B565" s="4" t="s">
        <v>14</v>
      </c>
      <c r="C565" s="5" t="s">
        <v>292</v>
      </c>
      <c r="D565" s="5" t="s">
        <v>33</v>
      </c>
      <c r="E565" s="5" t="s">
        <v>120</v>
      </c>
      <c r="F565" s="5" t="s">
        <v>78</v>
      </c>
      <c r="G565" s="5" t="s">
        <v>28</v>
      </c>
      <c r="H565" s="5">
        <v>76</v>
      </c>
      <c r="I565" s="5">
        <v>602</v>
      </c>
      <c r="J565" s="5">
        <v>1356</v>
      </c>
      <c r="K565" s="6">
        <f t="shared" si="32"/>
        <v>45752</v>
      </c>
      <c r="L565" s="6">
        <f t="shared" si="33"/>
        <v>103056</v>
      </c>
      <c r="M565" s="6">
        <f t="shared" si="34"/>
        <v>57304</v>
      </c>
      <c r="N565" s="6" t="str">
        <f t="shared" si="35"/>
        <v>profit</v>
      </c>
    </row>
    <row r="566" spans="1:14" ht="15.6" thickTop="1" thickBot="1" x14ac:dyDescent="0.35">
      <c r="A566" s="4">
        <v>45616</v>
      </c>
      <c r="B566" s="4" t="s">
        <v>161</v>
      </c>
      <c r="C566" s="5" t="s">
        <v>177</v>
      </c>
      <c r="D566" s="5" t="s">
        <v>46</v>
      </c>
      <c r="E566" s="5" t="s">
        <v>63</v>
      </c>
      <c r="F566" s="5" t="s">
        <v>39</v>
      </c>
      <c r="G566" s="5" t="s">
        <v>19</v>
      </c>
      <c r="H566" s="5">
        <v>27</v>
      </c>
      <c r="I566" s="5">
        <v>933</v>
      </c>
      <c r="J566" s="5">
        <v>983</v>
      </c>
      <c r="K566" s="6">
        <f t="shared" si="32"/>
        <v>25191</v>
      </c>
      <c r="L566" s="6">
        <f t="shared" si="33"/>
        <v>26541</v>
      </c>
      <c r="M566" s="6">
        <f t="shared" si="34"/>
        <v>1350</v>
      </c>
      <c r="N566" s="6" t="str">
        <f t="shared" si="35"/>
        <v>profit</v>
      </c>
    </row>
    <row r="567" spans="1:14" ht="15.6" thickTop="1" thickBot="1" x14ac:dyDescent="0.35">
      <c r="A567" s="4">
        <v>45469</v>
      </c>
      <c r="B567" s="4" t="s">
        <v>14</v>
      </c>
      <c r="C567" s="5" t="s">
        <v>293</v>
      </c>
      <c r="D567" s="5" t="s">
        <v>33</v>
      </c>
      <c r="E567" s="5" t="s">
        <v>120</v>
      </c>
      <c r="F567" s="5" t="s">
        <v>35</v>
      </c>
      <c r="G567" s="5" t="s">
        <v>28</v>
      </c>
      <c r="H567" s="5">
        <v>55</v>
      </c>
      <c r="I567" s="5">
        <v>928</v>
      </c>
      <c r="J567" s="5">
        <v>1264</v>
      </c>
      <c r="K567" s="6">
        <f t="shared" si="32"/>
        <v>51040</v>
      </c>
      <c r="L567" s="6">
        <f t="shared" si="33"/>
        <v>69520</v>
      </c>
      <c r="M567" s="6">
        <f t="shared" si="34"/>
        <v>18480</v>
      </c>
      <c r="N567" s="6" t="str">
        <f t="shared" si="35"/>
        <v>profit</v>
      </c>
    </row>
    <row r="568" spans="1:14" ht="15.6" thickTop="1" thickBot="1" x14ac:dyDescent="0.35">
      <c r="A568" s="4">
        <v>45470</v>
      </c>
      <c r="B568" s="4" t="s">
        <v>14</v>
      </c>
      <c r="C568" s="5" t="s">
        <v>294</v>
      </c>
      <c r="D568" s="5" t="s">
        <v>33</v>
      </c>
      <c r="E568" s="5" t="s">
        <v>120</v>
      </c>
      <c r="F568" s="5" t="s">
        <v>44</v>
      </c>
      <c r="G568" s="5" t="s">
        <v>28</v>
      </c>
      <c r="H568" s="5">
        <v>74</v>
      </c>
      <c r="I568" s="5">
        <v>758</v>
      </c>
      <c r="J568" s="5">
        <v>765</v>
      </c>
      <c r="K568" s="6">
        <f t="shared" si="32"/>
        <v>56092</v>
      </c>
      <c r="L568" s="6">
        <f t="shared" si="33"/>
        <v>56610</v>
      </c>
      <c r="M568" s="6">
        <f t="shared" si="34"/>
        <v>518</v>
      </c>
      <c r="N568" s="6" t="str">
        <f t="shared" si="35"/>
        <v>profit</v>
      </c>
    </row>
    <row r="569" spans="1:14" ht="15.6" thickTop="1" thickBot="1" x14ac:dyDescent="0.35">
      <c r="A569" s="4">
        <v>45471</v>
      </c>
      <c r="B569" s="4" t="s">
        <v>14</v>
      </c>
      <c r="C569" s="5" t="s">
        <v>295</v>
      </c>
      <c r="D569" s="5" t="s">
        <v>33</v>
      </c>
      <c r="E569" s="5" t="s">
        <v>120</v>
      </c>
      <c r="F569" s="5" t="s">
        <v>60</v>
      </c>
      <c r="G569" s="5" t="s">
        <v>28</v>
      </c>
      <c r="H569" s="5">
        <v>88</v>
      </c>
      <c r="I569" s="5">
        <v>566</v>
      </c>
      <c r="J569" s="5">
        <v>1093</v>
      </c>
      <c r="K569" s="6">
        <f t="shared" si="32"/>
        <v>49808</v>
      </c>
      <c r="L569" s="6">
        <f t="shared" si="33"/>
        <v>96184</v>
      </c>
      <c r="M569" s="6">
        <f t="shared" si="34"/>
        <v>46376</v>
      </c>
      <c r="N569" s="6" t="str">
        <f t="shared" si="35"/>
        <v>profit</v>
      </c>
    </row>
    <row r="570" spans="1:14" ht="15.6" thickTop="1" thickBot="1" x14ac:dyDescent="0.35">
      <c r="A570" s="4">
        <v>45495</v>
      </c>
      <c r="B570" s="4" t="s">
        <v>40</v>
      </c>
      <c r="C570" s="5" t="s">
        <v>296</v>
      </c>
      <c r="D570" s="5" t="s">
        <v>33</v>
      </c>
      <c r="E570" s="5" t="s">
        <v>99</v>
      </c>
      <c r="F570" s="5" t="s">
        <v>21</v>
      </c>
      <c r="G570" s="5" t="s">
        <v>19</v>
      </c>
      <c r="H570" s="5">
        <v>58</v>
      </c>
      <c r="I570" s="5">
        <v>898</v>
      </c>
      <c r="J570" s="5">
        <v>1068</v>
      </c>
      <c r="K570" s="6">
        <f t="shared" si="32"/>
        <v>52084</v>
      </c>
      <c r="L570" s="6">
        <f t="shared" si="33"/>
        <v>61944</v>
      </c>
      <c r="M570" s="6">
        <f t="shared" si="34"/>
        <v>9860</v>
      </c>
      <c r="N570" s="6" t="str">
        <f t="shared" si="35"/>
        <v>profit</v>
      </c>
    </row>
    <row r="571" spans="1:14" ht="15.6" thickTop="1" thickBot="1" x14ac:dyDescent="0.35">
      <c r="A571" s="4">
        <v>45496</v>
      </c>
      <c r="B571" s="4" t="s">
        <v>40</v>
      </c>
      <c r="C571" s="5" t="s">
        <v>297</v>
      </c>
      <c r="D571" s="5" t="s">
        <v>33</v>
      </c>
      <c r="E571" s="5" t="s">
        <v>99</v>
      </c>
      <c r="F571" s="5" t="s">
        <v>23</v>
      </c>
      <c r="G571" s="5" t="s">
        <v>19</v>
      </c>
      <c r="H571" s="5">
        <v>83</v>
      </c>
      <c r="I571" s="5">
        <v>943</v>
      </c>
      <c r="J571" s="5">
        <v>867</v>
      </c>
      <c r="K571" s="6">
        <f t="shared" si="32"/>
        <v>78269</v>
      </c>
      <c r="L571" s="6">
        <f t="shared" si="33"/>
        <v>71961</v>
      </c>
      <c r="M571" s="6">
        <f t="shared" si="34"/>
        <v>-6308</v>
      </c>
      <c r="N571" s="6" t="str">
        <f t="shared" si="35"/>
        <v>loss</v>
      </c>
    </row>
    <row r="572" spans="1:14" ht="15.6" thickTop="1" thickBot="1" x14ac:dyDescent="0.35">
      <c r="A572" s="4">
        <v>45497</v>
      </c>
      <c r="B572" s="4" t="s">
        <v>40</v>
      </c>
      <c r="C572" s="5" t="s">
        <v>298</v>
      </c>
      <c r="D572" s="5" t="s">
        <v>33</v>
      </c>
      <c r="E572" s="5" t="s">
        <v>99</v>
      </c>
      <c r="F572" s="5" t="s">
        <v>25</v>
      </c>
      <c r="G572" s="5" t="s">
        <v>19</v>
      </c>
      <c r="H572" s="5">
        <v>85</v>
      </c>
      <c r="I572" s="5">
        <v>641</v>
      </c>
      <c r="J572" s="5">
        <v>892</v>
      </c>
      <c r="K572" s="6">
        <f t="shared" si="32"/>
        <v>54485</v>
      </c>
      <c r="L572" s="6">
        <f t="shared" si="33"/>
        <v>75820</v>
      </c>
      <c r="M572" s="6">
        <f t="shared" si="34"/>
        <v>21335</v>
      </c>
      <c r="N572" s="6" t="str">
        <f t="shared" si="35"/>
        <v>profit</v>
      </c>
    </row>
    <row r="573" spans="1:14" ht="15.6" thickTop="1" thickBot="1" x14ac:dyDescent="0.35">
      <c r="A573" s="4">
        <v>45498</v>
      </c>
      <c r="B573" s="4" t="s">
        <v>40</v>
      </c>
      <c r="C573" s="5" t="s">
        <v>299</v>
      </c>
      <c r="D573" s="5" t="s">
        <v>33</v>
      </c>
      <c r="E573" s="5" t="s">
        <v>99</v>
      </c>
      <c r="F573" s="5" t="s">
        <v>25</v>
      </c>
      <c r="G573" s="5" t="s">
        <v>19</v>
      </c>
      <c r="H573" s="5">
        <v>57</v>
      </c>
      <c r="I573" s="5">
        <v>784</v>
      </c>
      <c r="J573" s="5">
        <v>859</v>
      </c>
      <c r="K573" s="6">
        <f t="shared" si="32"/>
        <v>44688</v>
      </c>
      <c r="L573" s="6">
        <f t="shared" si="33"/>
        <v>48963</v>
      </c>
      <c r="M573" s="6">
        <f t="shared" si="34"/>
        <v>4275</v>
      </c>
      <c r="N573" s="6" t="str">
        <f t="shared" si="35"/>
        <v>profit</v>
      </c>
    </row>
    <row r="574" spans="1:14" ht="15.6" thickTop="1" thickBot="1" x14ac:dyDescent="0.35">
      <c r="A574" s="4">
        <v>45499</v>
      </c>
      <c r="B574" s="4" t="s">
        <v>40</v>
      </c>
      <c r="C574" s="5" t="s">
        <v>300</v>
      </c>
      <c r="D574" s="5" t="s">
        <v>33</v>
      </c>
      <c r="E574" s="5" t="s">
        <v>99</v>
      </c>
      <c r="F574" s="5" t="s">
        <v>27</v>
      </c>
      <c r="G574" s="5" t="s">
        <v>19</v>
      </c>
      <c r="H574" s="5">
        <v>98</v>
      </c>
      <c r="I574" s="5">
        <v>579</v>
      </c>
      <c r="J574" s="5">
        <v>1046</v>
      </c>
      <c r="K574" s="6">
        <f t="shared" si="32"/>
        <v>56742</v>
      </c>
      <c r="L574" s="6">
        <f t="shared" si="33"/>
        <v>102508</v>
      </c>
      <c r="M574" s="6">
        <f t="shared" si="34"/>
        <v>45766</v>
      </c>
      <c r="N574" s="6" t="str">
        <f t="shared" si="35"/>
        <v>profit</v>
      </c>
    </row>
    <row r="575" spans="1:14" ht="15.6" thickTop="1" thickBot="1" x14ac:dyDescent="0.35">
      <c r="A575" s="4">
        <v>45500</v>
      </c>
      <c r="B575" s="4" t="s">
        <v>40</v>
      </c>
      <c r="C575" s="5" t="s">
        <v>301</v>
      </c>
      <c r="D575" s="5" t="s">
        <v>33</v>
      </c>
      <c r="E575" s="5" t="s">
        <v>99</v>
      </c>
      <c r="F575" s="5" t="s">
        <v>30</v>
      </c>
      <c r="G575" s="5" t="s">
        <v>19</v>
      </c>
      <c r="H575" s="5">
        <v>98</v>
      </c>
      <c r="I575" s="5">
        <v>605</v>
      </c>
      <c r="J575" s="5">
        <v>1155</v>
      </c>
      <c r="K575" s="6">
        <f t="shared" si="32"/>
        <v>59290</v>
      </c>
      <c r="L575" s="6">
        <f t="shared" si="33"/>
        <v>113190</v>
      </c>
      <c r="M575" s="6">
        <f t="shared" si="34"/>
        <v>53900</v>
      </c>
      <c r="N575" s="6" t="str">
        <f t="shared" si="35"/>
        <v>profit</v>
      </c>
    </row>
    <row r="576" spans="1:14" ht="15.6" thickTop="1" thickBot="1" x14ac:dyDescent="0.35">
      <c r="A576" s="4">
        <v>45626</v>
      </c>
      <c r="B576" s="4" t="s">
        <v>161</v>
      </c>
      <c r="C576" s="5" t="s">
        <v>187</v>
      </c>
      <c r="D576" s="5" t="s">
        <v>46</v>
      </c>
      <c r="E576" s="5" t="s">
        <v>118</v>
      </c>
      <c r="F576" s="5" t="s">
        <v>39</v>
      </c>
      <c r="G576" s="5" t="s">
        <v>19</v>
      </c>
      <c r="H576" s="5">
        <v>20</v>
      </c>
      <c r="I576" s="5">
        <v>989</v>
      </c>
      <c r="J576" s="5">
        <v>1298</v>
      </c>
      <c r="K576" s="6">
        <f t="shared" si="32"/>
        <v>19780</v>
      </c>
      <c r="L576" s="6">
        <f t="shared" si="33"/>
        <v>25960</v>
      </c>
      <c r="M576" s="6">
        <f t="shared" si="34"/>
        <v>6180</v>
      </c>
      <c r="N576" s="6" t="str">
        <f t="shared" si="35"/>
        <v>profit</v>
      </c>
    </row>
    <row r="577" spans="1:14" ht="15.6" thickTop="1" thickBot="1" x14ac:dyDescent="0.35">
      <c r="A577" s="4">
        <v>45501</v>
      </c>
      <c r="B577" s="4" t="s">
        <v>40</v>
      </c>
      <c r="C577" s="5" t="s">
        <v>302</v>
      </c>
      <c r="D577" s="5" t="s">
        <v>33</v>
      </c>
      <c r="E577" s="5" t="s">
        <v>99</v>
      </c>
      <c r="F577" s="5" t="s">
        <v>25</v>
      </c>
      <c r="G577" s="5" t="s">
        <v>19</v>
      </c>
      <c r="H577" s="5">
        <v>63</v>
      </c>
      <c r="I577" s="5">
        <v>952</v>
      </c>
      <c r="J577" s="5">
        <v>824</v>
      </c>
      <c r="K577" s="6">
        <f t="shared" si="32"/>
        <v>59976</v>
      </c>
      <c r="L577" s="6">
        <f t="shared" si="33"/>
        <v>51912</v>
      </c>
      <c r="M577" s="6">
        <f t="shared" si="34"/>
        <v>-8064</v>
      </c>
      <c r="N577" s="6" t="str">
        <f t="shared" si="35"/>
        <v>loss</v>
      </c>
    </row>
    <row r="578" spans="1:14" ht="15.6" thickTop="1" thickBot="1" x14ac:dyDescent="0.35">
      <c r="A578" s="4">
        <v>45502</v>
      </c>
      <c r="B578" s="4" t="s">
        <v>40</v>
      </c>
      <c r="C578" s="5" t="s">
        <v>303</v>
      </c>
      <c r="D578" s="5" t="s">
        <v>33</v>
      </c>
      <c r="E578" s="5" t="s">
        <v>99</v>
      </c>
      <c r="F578" s="5" t="s">
        <v>76</v>
      </c>
      <c r="G578" s="5" t="s">
        <v>19</v>
      </c>
      <c r="H578" s="5">
        <v>91</v>
      </c>
      <c r="I578" s="5">
        <v>938</v>
      </c>
      <c r="J578" s="5">
        <v>1156</v>
      </c>
      <c r="K578" s="6">
        <f t="shared" ref="K578:K641" si="36">H578*I578</f>
        <v>85358</v>
      </c>
      <c r="L578" s="6">
        <f t="shared" ref="L578:L641" si="37">H578*J578</f>
        <v>105196</v>
      </c>
      <c r="M578" s="6">
        <f t="shared" ref="M578:M641" si="38">L578-K578</f>
        <v>19838</v>
      </c>
      <c r="N578" s="6" t="str">
        <f t="shared" ref="N578:N641" si="39">IF(M578&gt;0,"profit","loss")</f>
        <v>profit</v>
      </c>
    </row>
    <row r="579" spans="1:14" ht="15.6" thickTop="1" thickBot="1" x14ac:dyDescent="0.35">
      <c r="A579" s="4">
        <v>45629</v>
      </c>
      <c r="B579" s="4" t="s">
        <v>190</v>
      </c>
      <c r="C579" s="5" t="s">
        <v>191</v>
      </c>
      <c r="D579" s="5" t="s">
        <v>46</v>
      </c>
      <c r="E579" s="5" t="s">
        <v>118</v>
      </c>
      <c r="F579" s="5" t="s">
        <v>60</v>
      </c>
      <c r="G579" s="5" t="s">
        <v>28</v>
      </c>
      <c r="H579" s="5">
        <v>26</v>
      </c>
      <c r="I579" s="5">
        <v>870</v>
      </c>
      <c r="J579" s="5">
        <v>1123</v>
      </c>
      <c r="K579" s="6">
        <f t="shared" si="36"/>
        <v>22620</v>
      </c>
      <c r="L579" s="6">
        <f t="shared" si="37"/>
        <v>29198</v>
      </c>
      <c r="M579" s="6">
        <f t="shared" si="38"/>
        <v>6578</v>
      </c>
      <c r="N579" s="6" t="str">
        <f t="shared" si="39"/>
        <v>profit</v>
      </c>
    </row>
    <row r="580" spans="1:14" ht="15.6" thickTop="1" thickBot="1" x14ac:dyDescent="0.35">
      <c r="A580" s="4">
        <v>45503</v>
      </c>
      <c r="B580" s="4" t="s">
        <v>40</v>
      </c>
      <c r="C580" s="5" t="s">
        <v>304</v>
      </c>
      <c r="D580" s="5" t="s">
        <v>33</v>
      </c>
      <c r="E580" s="5" t="s">
        <v>99</v>
      </c>
      <c r="F580" s="5" t="s">
        <v>71</v>
      </c>
      <c r="G580" s="5" t="s">
        <v>28</v>
      </c>
      <c r="H580" s="5">
        <v>66</v>
      </c>
      <c r="I580" s="5">
        <v>512</v>
      </c>
      <c r="J580" s="5">
        <v>1208</v>
      </c>
      <c r="K580" s="6">
        <f t="shared" si="36"/>
        <v>33792</v>
      </c>
      <c r="L580" s="6">
        <f t="shared" si="37"/>
        <v>79728</v>
      </c>
      <c r="M580" s="6">
        <f t="shared" si="38"/>
        <v>45936</v>
      </c>
      <c r="N580" s="6" t="str">
        <f t="shared" si="39"/>
        <v>profit</v>
      </c>
    </row>
    <row r="581" spans="1:14" ht="15.6" thickTop="1" thickBot="1" x14ac:dyDescent="0.35">
      <c r="A581" s="4">
        <v>45504</v>
      </c>
      <c r="B581" s="4" t="s">
        <v>40</v>
      </c>
      <c r="C581" s="5" t="s">
        <v>305</v>
      </c>
      <c r="D581" s="5" t="s">
        <v>33</v>
      </c>
      <c r="E581" s="5" t="s">
        <v>99</v>
      </c>
      <c r="F581" s="5" t="s">
        <v>44</v>
      </c>
      <c r="G581" s="5" t="s">
        <v>28</v>
      </c>
      <c r="H581" s="5">
        <v>88</v>
      </c>
      <c r="I581" s="5">
        <v>691</v>
      </c>
      <c r="J581" s="5">
        <v>1394</v>
      </c>
      <c r="K581" s="6">
        <f t="shared" si="36"/>
        <v>60808</v>
      </c>
      <c r="L581" s="6">
        <f t="shared" si="37"/>
        <v>122672</v>
      </c>
      <c r="M581" s="6">
        <f t="shared" si="38"/>
        <v>61864</v>
      </c>
      <c r="N581" s="6" t="str">
        <f t="shared" si="39"/>
        <v>profit</v>
      </c>
    </row>
    <row r="582" spans="1:14" ht="15.6" thickTop="1" thickBot="1" x14ac:dyDescent="0.35">
      <c r="A582" s="4">
        <v>45505</v>
      </c>
      <c r="B582" s="4" t="s">
        <v>57</v>
      </c>
      <c r="C582" s="5" t="s">
        <v>306</v>
      </c>
      <c r="D582" s="5" t="s">
        <v>33</v>
      </c>
      <c r="E582" s="5" t="s">
        <v>99</v>
      </c>
      <c r="F582" s="5" t="s">
        <v>25</v>
      </c>
      <c r="G582" s="5" t="s">
        <v>28</v>
      </c>
      <c r="H582" s="5">
        <v>54</v>
      </c>
      <c r="I582" s="5">
        <v>518</v>
      </c>
      <c r="J582" s="5">
        <v>1106</v>
      </c>
      <c r="K582" s="6">
        <f t="shared" si="36"/>
        <v>27972</v>
      </c>
      <c r="L582" s="6">
        <f t="shared" si="37"/>
        <v>59724</v>
      </c>
      <c r="M582" s="6">
        <f t="shared" si="38"/>
        <v>31752</v>
      </c>
      <c r="N582" s="6" t="str">
        <f t="shared" si="39"/>
        <v>profit</v>
      </c>
    </row>
    <row r="583" spans="1:14" ht="15.6" thickTop="1" thickBot="1" x14ac:dyDescent="0.35">
      <c r="A583" s="4">
        <v>45506</v>
      </c>
      <c r="B583" s="4" t="s">
        <v>57</v>
      </c>
      <c r="C583" s="5" t="s">
        <v>307</v>
      </c>
      <c r="D583" s="5" t="s">
        <v>33</v>
      </c>
      <c r="E583" s="5" t="s">
        <v>99</v>
      </c>
      <c r="F583" s="5" t="s">
        <v>64</v>
      </c>
      <c r="G583" s="5" t="s">
        <v>28</v>
      </c>
      <c r="H583" s="5">
        <v>67</v>
      </c>
      <c r="I583" s="5">
        <v>780</v>
      </c>
      <c r="J583" s="5">
        <v>864</v>
      </c>
      <c r="K583" s="6">
        <f t="shared" si="36"/>
        <v>52260</v>
      </c>
      <c r="L583" s="6">
        <f t="shared" si="37"/>
        <v>57888</v>
      </c>
      <c r="M583" s="6">
        <f t="shared" si="38"/>
        <v>5628</v>
      </c>
      <c r="N583" s="6" t="str">
        <f t="shared" si="39"/>
        <v>profit</v>
      </c>
    </row>
    <row r="584" spans="1:14" ht="15.6" thickTop="1" thickBot="1" x14ac:dyDescent="0.35">
      <c r="A584" s="4">
        <v>45634</v>
      </c>
      <c r="B584" s="4" t="s">
        <v>190</v>
      </c>
      <c r="C584" s="5" t="s">
        <v>196</v>
      </c>
      <c r="D584" s="5" t="s">
        <v>46</v>
      </c>
      <c r="E584" s="5" t="s">
        <v>118</v>
      </c>
      <c r="F584" s="5" t="s">
        <v>153</v>
      </c>
      <c r="G584" s="5" t="s">
        <v>28</v>
      </c>
      <c r="H584" s="5">
        <v>23</v>
      </c>
      <c r="I584" s="5">
        <v>945</v>
      </c>
      <c r="J584" s="5">
        <v>1268</v>
      </c>
      <c r="K584" s="6">
        <f t="shared" si="36"/>
        <v>21735</v>
      </c>
      <c r="L584" s="6">
        <f t="shared" si="37"/>
        <v>29164</v>
      </c>
      <c r="M584" s="6">
        <f t="shared" si="38"/>
        <v>7429</v>
      </c>
      <c r="N584" s="6" t="str">
        <f t="shared" si="39"/>
        <v>profit</v>
      </c>
    </row>
    <row r="585" spans="1:14" ht="15.6" thickTop="1" thickBot="1" x14ac:dyDescent="0.35">
      <c r="A585" s="4">
        <v>45508</v>
      </c>
      <c r="B585" s="4" t="s">
        <v>57</v>
      </c>
      <c r="C585" s="5" t="s">
        <v>308</v>
      </c>
      <c r="D585" s="5" t="s">
        <v>33</v>
      </c>
      <c r="E585" s="5" t="s">
        <v>120</v>
      </c>
      <c r="F585" s="5" t="s">
        <v>78</v>
      </c>
      <c r="G585" s="5" t="s">
        <v>19</v>
      </c>
      <c r="H585" s="5">
        <v>85</v>
      </c>
      <c r="I585" s="5">
        <v>853</v>
      </c>
      <c r="J585" s="5">
        <v>1453</v>
      </c>
      <c r="K585" s="6">
        <f t="shared" si="36"/>
        <v>72505</v>
      </c>
      <c r="L585" s="6">
        <f t="shared" si="37"/>
        <v>123505</v>
      </c>
      <c r="M585" s="6">
        <f t="shared" si="38"/>
        <v>51000</v>
      </c>
      <c r="N585" s="6" t="str">
        <f t="shared" si="39"/>
        <v>profit</v>
      </c>
    </row>
    <row r="586" spans="1:14" ht="15.6" thickTop="1" thickBot="1" x14ac:dyDescent="0.35">
      <c r="A586" s="4">
        <v>45509</v>
      </c>
      <c r="B586" s="4" t="s">
        <v>57</v>
      </c>
      <c r="C586" s="5" t="s">
        <v>309</v>
      </c>
      <c r="D586" s="5" t="s">
        <v>33</v>
      </c>
      <c r="E586" s="5" t="s">
        <v>120</v>
      </c>
      <c r="F586" s="5" t="s">
        <v>35</v>
      </c>
      <c r="G586" s="5" t="s">
        <v>19</v>
      </c>
      <c r="H586" s="5">
        <v>69</v>
      </c>
      <c r="I586" s="5">
        <v>745</v>
      </c>
      <c r="J586" s="5">
        <v>1075</v>
      </c>
      <c r="K586" s="6">
        <f t="shared" si="36"/>
        <v>51405</v>
      </c>
      <c r="L586" s="6">
        <f t="shared" si="37"/>
        <v>74175</v>
      </c>
      <c r="M586" s="6">
        <f t="shared" si="38"/>
        <v>22770</v>
      </c>
      <c r="N586" s="6" t="str">
        <f t="shared" si="39"/>
        <v>profit</v>
      </c>
    </row>
    <row r="587" spans="1:14" ht="15.6" thickTop="1" thickBot="1" x14ac:dyDescent="0.35">
      <c r="A587" s="4">
        <v>45637</v>
      </c>
      <c r="B587" s="4" t="s">
        <v>190</v>
      </c>
      <c r="C587" s="5" t="s">
        <v>198</v>
      </c>
      <c r="D587" s="5" t="s">
        <v>33</v>
      </c>
      <c r="E587" s="5" t="s">
        <v>99</v>
      </c>
      <c r="F587" s="5" t="s">
        <v>21</v>
      </c>
      <c r="G587" s="5" t="s">
        <v>28</v>
      </c>
      <c r="H587" s="5">
        <v>78</v>
      </c>
      <c r="I587" s="5">
        <v>522</v>
      </c>
      <c r="J587" s="5">
        <v>1064</v>
      </c>
      <c r="K587" s="6">
        <f t="shared" si="36"/>
        <v>40716</v>
      </c>
      <c r="L587" s="6">
        <f t="shared" si="37"/>
        <v>82992</v>
      </c>
      <c r="M587" s="6">
        <f t="shared" si="38"/>
        <v>42276</v>
      </c>
      <c r="N587" s="6" t="str">
        <f t="shared" si="39"/>
        <v>profit</v>
      </c>
    </row>
    <row r="588" spans="1:14" ht="15.6" thickTop="1" thickBot="1" x14ac:dyDescent="0.35">
      <c r="A588" s="4">
        <v>45528</v>
      </c>
      <c r="B588" s="4" t="s">
        <v>57</v>
      </c>
      <c r="C588" s="5" t="s">
        <v>310</v>
      </c>
      <c r="D588" s="5" t="s">
        <v>33</v>
      </c>
      <c r="E588" s="5" t="s">
        <v>99</v>
      </c>
      <c r="F588" s="5" t="s">
        <v>39</v>
      </c>
      <c r="G588" s="5" t="s">
        <v>19</v>
      </c>
      <c r="H588" s="5">
        <v>63</v>
      </c>
      <c r="I588" s="5">
        <v>525</v>
      </c>
      <c r="J588" s="5">
        <v>1182</v>
      </c>
      <c r="K588" s="6">
        <f t="shared" si="36"/>
        <v>33075</v>
      </c>
      <c r="L588" s="6">
        <f t="shared" si="37"/>
        <v>74466</v>
      </c>
      <c r="M588" s="6">
        <f t="shared" si="38"/>
        <v>41391</v>
      </c>
      <c r="N588" s="6" t="str">
        <f t="shared" si="39"/>
        <v>profit</v>
      </c>
    </row>
    <row r="589" spans="1:14" ht="15.6" thickTop="1" thickBot="1" x14ac:dyDescent="0.35">
      <c r="A589" s="4">
        <v>45529</v>
      </c>
      <c r="B589" s="4" t="s">
        <v>57</v>
      </c>
      <c r="C589" s="5" t="s">
        <v>311</v>
      </c>
      <c r="D589" s="5" t="s">
        <v>33</v>
      </c>
      <c r="E589" s="5" t="s">
        <v>99</v>
      </c>
      <c r="F589" s="5" t="s">
        <v>30</v>
      </c>
      <c r="G589" s="5" t="s">
        <v>19</v>
      </c>
      <c r="H589" s="5">
        <v>73</v>
      </c>
      <c r="I589" s="5">
        <v>709</v>
      </c>
      <c r="J589" s="5">
        <v>1344</v>
      </c>
      <c r="K589" s="6">
        <f t="shared" si="36"/>
        <v>51757</v>
      </c>
      <c r="L589" s="6">
        <f t="shared" si="37"/>
        <v>98112</v>
      </c>
      <c r="M589" s="6">
        <f t="shared" si="38"/>
        <v>46355</v>
      </c>
      <c r="N589" s="6" t="str">
        <f t="shared" si="39"/>
        <v>profit</v>
      </c>
    </row>
    <row r="590" spans="1:14" ht="15.6" thickTop="1" thickBot="1" x14ac:dyDescent="0.35">
      <c r="A590" s="4">
        <v>45530</v>
      </c>
      <c r="B590" s="4" t="s">
        <v>57</v>
      </c>
      <c r="C590" s="5" t="s">
        <v>312</v>
      </c>
      <c r="D590" s="5" t="s">
        <v>33</v>
      </c>
      <c r="E590" s="5" t="s">
        <v>99</v>
      </c>
      <c r="F590" s="5" t="s">
        <v>113</v>
      </c>
      <c r="G590" s="5" t="s">
        <v>19</v>
      </c>
      <c r="H590" s="5">
        <v>74</v>
      </c>
      <c r="I590" s="5">
        <v>914</v>
      </c>
      <c r="J590" s="5">
        <v>1031</v>
      </c>
      <c r="K590" s="6">
        <f t="shared" si="36"/>
        <v>67636</v>
      </c>
      <c r="L590" s="6">
        <f t="shared" si="37"/>
        <v>76294</v>
      </c>
      <c r="M590" s="6">
        <f t="shared" si="38"/>
        <v>8658</v>
      </c>
      <c r="N590" s="6" t="str">
        <f t="shared" si="39"/>
        <v>profit</v>
      </c>
    </row>
    <row r="591" spans="1:14" ht="15.6" thickTop="1" thickBot="1" x14ac:dyDescent="0.35">
      <c r="A591" s="4">
        <v>45531</v>
      </c>
      <c r="B591" s="4" t="s">
        <v>57</v>
      </c>
      <c r="C591" s="5" t="s">
        <v>313</v>
      </c>
      <c r="D591" s="5" t="s">
        <v>33</v>
      </c>
      <c r="E591" s="5" t="s">
        <v>99</v>
      </c>
      <c r="F591" s="5" t="s">
        <v>44</v>
      </c>
      <c r="G591" s="5" t="s">
        <v>19</v>
      </c>
      <c r="H591" s="5">
        <v>84</v>
      </c>
      <c r="I591" s="5">
        <v>558</v>
      </c>
      <c r="J591" s="5">
        <v>1477</v>
      </c>
      <c r="K591" s="6">
        <f t="shared" si="36"/>
        <v>46872</v>
      </c>
      <c r="L591" s="6">
        <f t="shared" si="37"/>
        <v>124068</v>
      </c>
      <c r="M591" s="6">
        <f t="shared" si="38"/>
        <v>77196</v>
      </c>
      <c r="N591" s="6" t="str">
        <f t="shared" si="39"/>
        <v>profit</v>
      </c>
    </row>
    <row r="592" spans="1:14" ht="15.6" thickTop="1" thickBot="1" x14ac:dyDescent="0.35">
      <c r="A592" s="4">
        <v>45642</v>
      </c>
      <c r="B592" s="4" t="s">
        <v>190</v>
      </c>
      <c r="C592" s="5" t="s">
        <v>202</v>
      </c>
      <c r="D592" s="5" t="s">
        <v>33</v>
      </c>
      <c r="E592" s="5" t="s">
        <v>99</v>
      </c>
      <c r="F592" s="5" t="s">
        <v>39</v>
      </c>
      <c r="G592" s="5" t="s">
        <v>19</v>
      </c>
      <c r="H592" s="5">
        <v>60</v>
      </c>
      <c r="I592" s="5">
        <v>642</v>
      </c>
      <c r="J592" s="5">
        <v>1110</v>
      </c>
      <c r="K592" s="6">
        <f t="shared" si="36"/>
        <v>38520</v>
      </c>
      <c r="L592" s="6">
        <f t="shared" si="37"/>
        <v>66600</v>
      </c>
      <c r="M592" s="6">
        <f t="shared" si="38"/>
        <v>28080</v>
      </c>
      <c r="N592" s="6" t="str">
        <f t="shared" si="39"/>
        <v>profit</v>
      </c>
    </row>
    <row r="593" spans="1:14" ht="15.6" thickTop="1" thickBot="1" x14ac:dyDescent="0.35">
      <c r="A593" s="4">
        <v>45532</v>
      </c>
      <c r="B593" s="4" t="s">
        <v>57</v>
      </c>
      <c r="C593" s="5" t="s">
        <v>314</v>
      </c>
      <c r="D593" s="5" t="s">
        <v>33</v>
      </c>
      <c r="E593" s="5" t="s">
        <v>99</v>
      </c>
      <c r="F593" s="5" t="s">
        <v>153</v>
      </c>
      <c r="G593" s="5" t="s">
        <v>19</v>
      </c>
      <c r="H593" s="5">
        <v>99</v>
      </c>
      <c r="I593" s="5">
        <v>934</v>
      </c>
      <c r="J593" s="5">
        <v>1318</v>
      </c>
      <c r="K593" s="6">
        <f t="shared" si="36"/>
        <v>92466</v>
      </c>
      <c r="L593" s="6">
        <f t="shared" si="37"/>
        <v>130482</v>
      </c>
      <c r="M593" s="6">
        <f t="shared" si="38"/>
        <v>38016</v>
      </c>
      <c r="N593" s="6" t="str">
        <f t="shared" si="39"/>
        <v>profit</v>
      </c>
    </row>
    <row r="594" spans="1:14" ht="15.6" thickTop="1" thickBot="1" x14ac:dyDescent="0.35">
      <c r="A594" s="4">
        <v>45533</v>
      </c>
      <c r="B594" s="4" t="s">
        <v>57</v>
      </c>
      <c r="C594" s="5" t="s">
        <v>315</v>
      </c>
      <c r="D594" s="5" t="s">
        <v>33</v>
      </c>
      <c r="E594" s="5" t="s">
        <v>99</v>
      </c>
      <c r="F594" s="5" t="s">
        <v>155</v>
      </c>
      <c r="G594" s="5" t="s">
        <v>19</v>
      </c>
      <c r="H594" s="5">
        <v>52</v>
      </c>
      <c r="I594" s="5">
        <v>576</v>
      </c>
      <c r="J594" s="5">
        <v>1419</v>
      </c>
      <c r="K594" s="6">
        <f t="shared" si="36"/>
        <v>29952</v>
      </c>
      <c r="L594" s="6">
        <f t="shared" si="37"/>
        <v>73788</v>
      </c>
      <c r="M594" s="6">
        <f t="shared" si="38"/>
        <v>43836</v>
      </c>
      <c r="N594" s="6" t="str">
        <f t="shared" si="39"/>
        <v>profit</v>
      </c>
    </row>
    <row r="595" spans="1:14" ht="15.6" thickTop="1" thickBot="1" x14ac:dyDescent="0.35">
      <c r="A595" s="4">
        <v>45534</v>
      </c>
      <c r="B595" s="4" t="s">
        <v>57</v>
      </c>
      <c r="C595" s="5" t="s">
        <v>316</v>
      </c>
      <c r="D595" s="5" t="s">
        <v>33</v>
      </c>
      <c r="E595" s="5" t="s">
        <v>99</v>
      </c>
      <c r="F595" s="5" t="s">
        <v>18</v>
      </c>
      <c r="G595" s="5" t="s">
        <v>28</v>
      </c>
      <c r="H595" s="5">
        <v>98</v>
      </c>
      <c r="I595" s="5">
        <v>769</v>
      </c>
      <c r="J595" s="5">
        <v>1277</v>
      </c>
      <c r="K595" s="6">
        <f t="shared" si="36"/>
        <v>75362</v>
      </c>
      <c r="L595" s="6">
        <f t="shared" si="37"/>
        <v>125146</v>
      </c>
      <c r="M595" s="6">
        <f t="shared" si="38"/>
        <v>49784</v>
      </c>
      <c r="N595" s="6" t="str">
        <f t="shared" si="39"/>
        <v>profit</v>
      </c>
    </row>
    <row r="596" spans="1:14" ht="15.6" thickTop="1" thickBot="1" x14ac:dyDescent="0.35">
      <c r="A596" s="4">
        <v>45646</v>
      </c>
      <c r="B596" s="4" t="s">
        <v>190</v>
      </c>
      <c r="C596" s="5" t="s">
        <v>206</v>
      </c>
      <c r="D596" s="5" t="s">
        <v>33</v>
      </c>
      <c r="E596" s="5" t="s">
        <v>99</v>
      </c>
      <c r="F596" s="5" t="s">
        <v>39</v>
      </c>
      <c r="G596" s="5" t="s">
        <v>19</v>
      </c>
      <c r="H596" s="5">
        <v>86</v>
      </c>
      <c r="I596" s="5">
        <v>668</v>
      </c>
      <c r="J596" s="5">
        <v>1278</v>
      </c>
      <c r="K596" s="6">
        <f t="shared" si="36"/>
        <v>57448</v>
      </c>
      <c r="L596" s="6">
        <f t="shared" si="37"/>
        <v>109908</v>
      </c>
      <c r="M596" s="6">
        <f t="shared" si="38"/>
        <v>52460</v>
      </c>
      <c r="N596" s="6" t="str">
        <f t="shared" si="39"/>
        <v>profit</v>
      </c>
    </row>
    <row r="597" spans="1:14" ht="15.6" thickTop="1" thickBot="1" x14ac:dyDescent="0.35">
      <c r="A597" s="4">
        <v>45536</v>
      </c>
      <c r="B597" s="4" t="s">
        <v>69</v>
      </c>
      <c r="C597" s="5" t="s">
        <v>317</v>
      </c>
      <c r="D597" s="5" t="s">
        <v>33</v>
      </c>
      <c r="E597" s="5" t="s">
        <v>99</v>
      </c>
      <c r="F597" s="5" t="s">
        <v>23</v>
      </c>
      <c r="G597" s="5" t="s">
        <v>28</v>
      </c>
      <c r="H597" s="5">
        <v>73</v>
      </c>
      <c r="I597" s="5">
        <v>627</v>
      </c>
      <c r="J597" s="5">
        <v>769</v>
      </c>
      <c r="K597" s="6">
        <f t="shared" si="36"/>
        <v>45771</v>
      </c>
      <c r="L597" s="6">
        <f t="shared" si="37"/>
        <v>56137</v>
      </c>
      <c r="M597" s="6">
        <f t="shared" si="38"/>
        <v>10366</v>
      </c>
      <c r="N597" s="6" t="str">
        <f t="shared" si="39"/>
        <v>profit</v>
      </c>
    </row>
    <row r="598" spans="1:14" ht="15.6" thickTop="1" thickBot="1" x14ac:dyDescent="0.35">
      <c r="A598" s="4">
        <v>45648</v>
      </c>
      <c r="B598" s="4" t="s">
        <v>190</v>
      </c>
      <c r="C598" s="5" t="s">
        <v>208</v>
      </c>
      <c r="D598" s="5" t="s">
        <v>33</v>
      </c>
      <c r="E598" s="5" t="s">
        <v>120</v>
      </c>
      <c r="F598" s="5" t="s">
        <v>113</v>
      </c>
      <c r="G598" s="5" t="s">
        <v>19</v>
      </c>
      <c r="H598" s="5">
        <v>57</v>
      </c>
      <c r="I598" s="5">
        <v>995</v>
      </c>
      <c r="J598" s="5">
        <v>912</v>
      </c>
      <c r="K598" s="6">
        <f t="shared" si="36"/>
        <v>56715</v>
      </c>
      <c r="L598" s="6">
        <f t="shared" si="37"/>
        <v>51984</v>
      </c>
      <c r="M598" s="6">
        <f t="shared" si="38"/>
        <v>-4731</v>
      </c>
      <c r="N598" s="6" t="str">
        <f t="shared" si="39"/>
        <v>loss</v>
      </c>
    </row>
    <row r="599" spans="1:14" ht="15.6" thickTop="1" thickBot="1" x14ac:dyDescent="0.35">
      <c r="A599" s="4">
        <v>45537</v>
      </c>
      <c r="B599" s="4" t="s">
        <v>69</v>
      </c>
      <c r="C599" s="5" t="s">
        <v>318</v>
      </c>
      <c r="D599" s="5" t="s">
        <v>33</v>
      </c>
      <c r="E599" s="5" t="s">
        <v>120</v>
      </c>
      <c r="F599" s="5" t="s">
        <v>25</v>
      </c>
      <c r="G599" s="5" t="s">
        <v>28</v>
      </c>
      <c r="H599" s="5">
        <v>93</v>
      </c>
      <c r="I599" s="5">
        <v>847</v>
      </c>
      <c r="J599" s="5">
        <v>1258</v>
      </c>
      <c r="K599" s="6">
        <f t="shared" si="36"/>
        <v>78771</v>
      </c>
      <c r="L599" s="6">
        <f t="shared" si="37"/>
        <v>116994</v>
      </c>
      <c r="M599" s="6">
        <f t="shared" si="38"/>
        <v>38223</v>
      </c>
      <c r="N599" s="6" t="str">
        <f t="shared" si="39"/>
        <v>profit</v>
      </c>
    </row>
    <row r="600" spans="1:14" ht="15.6" thickTop="1" thickBot="1" x14ac:dyDescent="0.35">
      <c r="A600" s="4">
        <v>45538</v>
      </c>
      <c r="B600" s="4" t="s">
        <v>69</v>
      </c>
      <c r="C600" s="5" t="s">
        <v>319</v>
      </c>
      <c r="D600" s="5" t="s">
        <v>33</v>
      </c>
      <c r="E600" s="5" t="s">
        <v>120</v>
      </c>
      <c r="F600" s="5" t="s">
        <v>25</v>
      </c>
      <c r="G600" s="5" t="s">
        <v>28</v>
      </c>
      <c r="H600" s="5">
        <v>84</v>
      </c>
      <c r="I600" s="5">
        <v>522</v>
      </c>
      <c r="J600" s="5">
        <v>929</v>
      </c>
      <c r="K600" s="6">
        <f t="shared" si="36"/>
        <v>43848</v>
      </c>
      <c r="L600" s="6">
        <f t="shared" si="37"/>
        <v>78036</v>
      </c>
      <c r="M600" s="6">
        <f t="shared" si="38"/>
        <v>34188</v>
      </c>
      <c r="N600" s="6" t="str">
        <f t="shared" si="39"/>
        <v>profit</v>
      </c>
    </row>
    <row r="601" spans="1:14" ht="15.6" thickTop="1" thickBot="1" x14ac:dyDescent="0.35">
      <c r="A601" s="4">
        <v>45539</v>
      </c>
      <c r="B601" s="4" t="s">
        <v>69</v>
      </c>
      <c r="C601" s="5" t="s">
        <v>320</v>
      </c>
      <c r="D601" s="5" t="s">
        <v>33</v>
      </c>
      <c r="E601" s="5" t="s">
        <v>120</v>
      </c>
      <c r="F601" s="5" t="s">
        <v>27</v>
      </c>
      <c r="G601" s="5" t="s">
        <v>19</v>
      </c>
      <c r="H601" s="5">
        <v>85</v>
      </c>
      <c r="I601" s="5">
        <v>564</v>
      </c>
      <c r="J601" s="5">
        <v>1049</v>
      </c>
      <c r="K601" s="6">
        <f t="shared" si="36"/>
        <v>47940</v>
      </c>
      <c r="L601" s="6">
        <f t="shared" si="37"/>
        <v>89165</v>
      </c>
      <c r="M601" s="6">
        <f t="shared" si="38"/>
        <v>41225</v>
      </c>
      <c r="N601" s="6" t="str">
        <f t="shared" si="39"/>
        <v>profit</v>
      </c>
    </row>
    <row r="602" spans="1:14" ht="15.6" thickTop="1" thickBot="1" x14ac:dyDescent="0.35">
      <c r="A602" s="4">
        <v>45541</v>
      </c>
      <c r="B602" s="4" t="s">
        <v>69</v>
      </c>
      <c r="C602" s="5" t="s">
        <v>321</v>
      </c>
      <c r="D602" s="5" t="s">
        <v>33</v>
      </c>
      <c r="E602" s="5" t="s">
        <v>120</v>
      </c>
      <c r="F602" s="5" t="s">
        <v>25</v>
      </c>
      <c r="G602" s="5" t="s">
        <v>19</v>
      </c>
      <c r="H602" s="5">
        <v>93</v>
      </c>
      <c r="I602" s="5">
        <v>579</v>
      </c>
      <c r="J602" s="5">
        <v>1402</v>
      </c>
      <c r="K602" s="6">
        <f t="shared" si="36"/>
        <v>53847</v>
      </c>
      <c r="L602" s="6">
        <f t="shared" si="37"/>
        <v>130386</v>
      </c>
      <c r="M602" s="6">
        <f t="shared" si="38"/>
        <v>76539</v>
      </c>
      <c r="N602" s="6" t="str">
        <f t="shared" si="39"/>
        <v>profit</v>
      </c>
    </row>
    <row r="603" spans="1:14" ht="15.6" thickTop="1" thickBot="1" x14ac:dyDescent="0.35">
      <c r="A603" s="4">
        <v>45653</v>
      </c>
      <c r="B603" s="4" t="s">
        <v>190</v>
      </c>
      <c r="C603" s="5" t="s">
        <v>213</v>
      </c>
      <c r="D603" s="5" t="s">
        <v>33</v>
      </c>
      <c r="E603" s="5" t="s">
        <v>120</v>
      </c>
      <c r="F603" s="5" t="s">
        <v>21</v>
      </c>
      <c r="G603" s="5" t="s">
        <v>28</v>
      </c>
      <c r="H603" s="5">
        <v>93</v>
      </c>
      <c r="I603" s="5">
        <v>886</v>
      </c>
      <c r="J603" s="5">
        <v>1199</v>
      </c>
      <c r="K603" s="6">
        <f t="shared" si="36"/>
        <v>82398</v>
      </c>
      <c r="L603" s="6">
        <f t="shared" si="37"/>
        <v>111507</v>
      </c>
      <c r="M603" s="6">
        <f t="shared" si="38"/>
        <v>29109</v>
      </c>
      <c r="N603" s="6" t="str">
        <f t="shared" si="39"/>
        <v>profit</v>
      </c>
    </row>
    <row r="604" spans="1:14" ht="15.6" thickTop="1" thickBot="1" x14ac:dyDescent="0.35">
      <c r="A604" s="4">
        <v>45542</v>
      </c>
      <c r="B604" s="4" t="s">
        <v>69</v>
      </c>
      <c r="C604" s="5" t="s">
        <v>322</v>
      </c>
      <c r="D604" s="5" t="s">
        <v>33</v>
      </c>
      <c r="E604" s="5" t="s">
        <v>120</v>
      </c>
      <c r="F604" s="5" t="s">
        <v>76</v>
      </c>
      <c r="G604" s="5" t="s">
        <v>28</v>
      </c>
      <c r="H604" s="5">
        <v>56</v>
      </c>
      <c r="I604" s="5">
        <v>724</v>
      </c>
      <c r="J604" s="5">
        <v>1391</v>
      </c>
      <c r="K604" s="6">
        <f t="shared" si="36"/>
        <v>40544</v>
      </c>
      <c r="L604" s="6">
        <f t="shared" si="37"/>
        <v>77896</v>
      </c>
      <c r="M604" s="6">
        <f t="shared" si="38"/>
        <v>37352</v>
      </c>
      <c r="N604" s="6" t="str">
        <f t="shared" si="39"/>
        <v>profit</v>
      </c>
    </row>
    <row r="605" spans="1:14" ht="15.6" thickTop="1" thickBot="1" x14ac:dyDescent="0.35">
      <c r="A605" s="4">
        <v>45555</v>
      </c>
      <c r="B605" s="4" t="s">
        <v>69</v>
      </c>
      <c r="C605" s="5" t="s">
        <v>323</v>
      </c>
      <c r="D605" s="5" t="s">
        <v>33</v>
      </c>
      <c r="E605" s="5" t="s">
        <v>120</v>
      </c>
      <c r="F605" s="5" t="s">
        <v>44</v>
      </c>
      <c r="G605" s="5" t="s">
        <v>28</v>
      </c>
      <c r="H605" s="5">
        <v>60</v>
      </c>
      <c r="I605" s="5">
        <v>783</v>
      </c>
      <c r="J605" s="5">
        <v>881</v>
      </c>
      <c r="K605" s="6">
        <f t="shared" si="36"/>
        <v>46980</v>
      </c>
      <c r="L605" s="6">
        <f t="shared" si="37"/>
        <v>52860</v>
      </c>
      <c r="M605" s="6">
        <f t="shared" si="38"/>
        <v>5880</v>
      </c>
      <c r="N605" s="6" t="str">
        <f t="shared" si="39"/>
        <v>profit</v>
      </c>
    </row>
    <row r="606" spans="1:14" ht="15.6" thickTop="1" thickBot="1" x14ac:dyDescent="0.35">
      <c r="A606" s="4">
        <v>45556</v>
      </c>
      <c r="B606" s="4" t="s">
        <v>69</v>
      </c>
      <c r="C606" s="5" t="s">
        <v>324</v>
      </c>
      <c r="D606" s="5" t="s">
        <v>33</v>
      </c>
      <c r="E606" s="5" t="s">
        <v>120</v>
      </c>
      <c r="F606" s="5" t="s">
        <v>27</v>
      </c>
      <c r="G606" s="5" t="s">
        <v>28</v>
      </c>
      <c r="H606" s="5">
        <v>81</v>
      </c>
      <c r="I606" s="5">
        <v>948</v>
      </c>
      <c r="J606" s="5">
        <v>904</v>
      </c>
      <c r="K606" s="6">
        <f t="shared" si="36"/>
        <v>76788</v>
      </c>
      <c r="L606" s="6">
        <f t="shared" si="37"/>
        <v>73224</v>
      </c>
      <c r="M606" s="6">
        <f t="shared" si="38"/>
        <v>-3564</v>
      </c>
      <c r="N606" s="6" t="str">
        <f t="shared" si="39"/>
        <v>loss</v>
      </c>
    </row>
    <row r="607" spans="1:14" ht="15.6" thickTop="1" thickBot="1" x14ac:dyDescent="0.35">
      <c r="A607" s="4">
        <v>45557</v>
      </c>
      <c r="B607" s="4" t="s">
        <v>69</v>
      </c>
      <c r="C607" s="5" t="s">
        <v>325</v>
      </c>
      <c r="D607" s="5" t="s">
        <v>33</v>
      </c>
      <c r="E607" s="5" t="s">
        <v>120</v>
      </c>
      <c r="F607" s="5" t="s">
        <v>44</v>
      </c>
      <c r="G607" s="5" t="s">
        <v>28</v>
      </c>
      <c r="H607" s="5">
        <v>80</v>
      </c>
      <c r="I607" s="5">
        <v>771</v>
      </c>
      <c r="J607" s="5">
        <v>1090</v>
      </c>
      <c r="K607" s="6">
        <f t="shared" si="36"/>
        <v>61680</v>
      </c>
      <c r="L607" s="6">
        <f t="shared" si="37"/>
        <v>87200</v>
      </c>
      <c r="M607" s="6">
        <f t="shared" si="38"/>
        <v>25520</v>
      </c>
      <c r="N607" s="6" t="str">
        <f t="shared" si="39"/>
        <v>profit</v>
      </c>
    </row>
    <row r="608" spans="1:14" ht="15.6" thickTop="1" thickBot="1" x14ac:dyDescent="0.35">
      <c r="A608" s="4">
        <v>45558</v>
      </c>
      <c r="B608" s="4" t="s">
        <v>69</v>
      </c>
      <c r="C608" s="5" t="s">
        <v>326</v>
      </c>
      <c r="D608" s="5" t="s">
        <v>33</v>
      </c>
      <c r="E608" s="5" t="s">
        <v>120</v>
      </c>
      <c r="F608" s="5" t="s">
        <v>49</v>
      </c>
      <c r="G608" s="5" t="s">
        <v>19</v>
      </c>
      <c r="H608" s="5">
        <v>88</v>
      </c>
      <c r="I608" s="5">
        <v>943</v>
      </c>
      <c r="J608" s="5">
        <v>1082</v>
      </c>
      <c r="K608" s="6">
        <f t="shared" si="36"/>
        <v>82984</v>
      </c>
      <c r="L608" s="6">
        <f t="shared" si="37"/>
        <v>95216</v>
      </c>
      <c r="M608" s="6">
        <f t="shared" si="38"/>
        <v>12232</v>
      </c>
      <c r="N608" s="6" t="str">
        <f t="shared" si="39"/>
        <v>profit</v>
      </c>
    </row>
    <row r="609" spans="1:14" ht="15.6" thickTop="1" thickBot="1" x14ac:dyDescent="0.35">
      <c r="A609" s="4">
        <v>45559</v>
      </c>
      <c r="B609" s="4" t="s">
        <v>69</v>
      </c>
      <c r="C609" s="5" t="s">
        <v>327</v>
      </c>
      <c r="D609" s="5" t="s">
        <v>33</v>
      </c>
      <c r="E609" s="5" t="s">
        <v>120</v>
      </c>
      <c r="F609" s="5" t="s">
        <v>27</v>
      </c>
      <c r="G609" s="5" t="s">
        <v>28</v>
      </c>
      <c r="H609" s="5">
        <v>68</v>
      </c>
      <c r="I609" s="5">
        <v>909</v>
      </c>
      <c r="J609" s="5">
        <v>1329</v>
      </c>
      <c r="K609" s="6">
        <f t="shared" si="36"/>
        <v>61812</v>
      </c>
      <c r="L609" s="6">
        <f t="shared" si="37"/>
        <v>90372</v>
      </c>
      <c r="M609" s="6">
        <f t="shared" si="38"/>
        <v>28560</v>
      </c>
      <c r="N609" s="6" t="str">
        <f t="shared" si="39"/>
        <v>profit</v>
      </c>
    </row>
    <row r="610" spans="1:14" ht="15.6" thickTop="1" thickBot="1" x14ac:dyDescent="0.35">
      <c r="A610" s="4">
        <v>45660</v>
      </c>
      <c r="B610" s="4" t="s">
        <v>95</v>
      </c>
      <c r="C610" s="5" t="s">
        <v>220</v>
      </c>
      <c r="D610" s="5" t="s">
        <v>16</v>
      </c>
      <c r="E610" s="5" t="s">
        <v>17</v>
      </c>
      <c r="F610" s="5" t="s">
        <v>76</v>
      </c>
      <c r="G610" s="5" t="s">
        <v>19</v>
      </c>
      <c r="H610" s="5">
        <v>11</v>
      </c>
      <c r="I610" s="5">
        <v>676</v>
      </c>
      <c r="J610" s="5">
        <v>1050</v>
      </c>
      <c r="K610" s="6">
        <f t="shared" si="36"/>
        <v>7436</v>
      </c>
      <c r="L610" s="6">
        <f t="shared" si="37"/>
        <v>11550</v>
      </c>
      <c r="M610" s="6">
        <f t="shared" si="38"/>
        <v>4114</v>
      </c>
      <c r="N610" s="6" t="str">
        <f t="shared" si="39"/>
        <v>profit</v>
      </c>
    </row>
    <row r="611" spans="1:14" ht="15.6" thickTop="1" thickBot="1" x14ac:dyDescent="0.35">
      <c r="A611" s="4">
        <v>45560</v>
      </c>
      <c r="B611" s="4" t="s">
        <v>69</v>
      </c>
      <c r="C611" s="5" t="s">
        <v>328</v>
      </c>
      <c r="D611" s="5" t="s">
        <v>33</v>
      </c>
      <c r="E611" s="5" t="s">
        <v>120</v>
      </c>
      <c r="F611" s="5" t="s">
        <v>52</v>
      </c>
      <c r="G611" s="5" t="s">
        <v>28</v>
      </c>
      <c r="H611" s="5">
        <v>65</v>
      </c>
      <c r="I611" s="5">
        <v>568</v>
      </c>
      <c r="J611" s="5">
        <v>1482</v>
      </c>
      <c r="K611" s="6">
        <f t="shared" si="36"/>
        <v>36920</v>
      </c>
      <c r="L611" s="6">
        <f t="shared" si="37"/>
        <v>96330</v>
      </c>
      <c r="M611" s="6">
        <f t="shared" si="38"/>
        <v>59410</v>
      </c>
      <c r="N611" s="6" t="str">
        <f t="shared" si="39"/>
        <v>profit</v>
      </c>
    </row>
    <row r="612" spans="1:14" ht="15.6" thickTop="1" thickBot="1" x14ac:dyDescent="0.35">
      <c r="A612" s="4">
        <v>45662</v>
      </c>
      <c r="B612" s="4" t="s">
        <v>95</v>
      </c>
      <c r="C612" s="5" t="s">
        <v>222</v>
      </c>
      <c r="D612" s="5" t="s">
        <v>16</v>
      </c>
      <c r="E612" s="5" t="s">
        <v>17</v>
      </c>
      <c r="F612" s="5" t="s">
        <v>44</v>
      </c>
      <c r="G612" s="5" t="s">
        <v>19</v>
      </c>
      <c r="H612" s="5">
        <v>13</v>
      </c>
      <c r="I612" s="5">
        <v>521</v>
      </c>
      <c r="J612" s="5">
        <v>1433</v>
      </c>
      <c r="K612" s="6">
        <f t="shared" si="36"/>
        <v>6773</v>
      </c>
      <c r="L612" s="6">
        <f t="shared" si="37"/>
        <v>18629</v>
      </c>
      <c r="M612" s="6">
        <f t="shared" si="38"/>
        <v>11856</v>
      </c>
      <c r="N612" s="6" t="str">
        <f t="shared" si="39"/>
        <v>profit</v>
      </c>
    </row>
    <row r="613" spans="1:14" ht="15.6" thickTop="1" thickBot="1" x14ac:dyDescent="0.35">
      <c r="A613" s="4">
        <v>45561</v>
      </c>
      <c r="B613" s="4" t="s">
        <v>69</v>
      </c>
      <c r="C613" s="5" t="s">
        <v>329</v>
      </c>
      <c r="D613" s="5" t="s">
        <v>33</v>
      </c>
      <c r="E613" s="5" t="s">
        <v>120</v>
      </c>
      <c r="F613" s="5" t="s">
        <v>54</v>
      </c>
      <c r="G613" s="5" t="s">
        <v>28</v>
      </c>
      <c r="H613" s="5">
        <v>58</v>
      </c>
      <c r="I613" s="5">
        <v>758</v>
      </c>
      <c r="J613" s="5">
        <v>1241</v>
      </c>
      <c r="K613" s="6">
        <f t="shared" si="36"/>
        <v>43964</v>
      </c>
      <c r="L613" s="6">
        <f t="shared" si="37"/>
        <v>71978</v>
      </c>
      <c r="M613" s="6">
        <f t="shared" si="38"/>
        <v>28014</v>
      </c>
      <c r="N613" s="6" t="str">
        <f t="shared" si="39"/>
        <v>profit</v>
      </c>
    </row>
    <row r="614" spans="1:14" ht="15.6" thickTop="1" thickBot="1" x14ac:dyDescent="0.35">
      <c r="A614" s="4">
        <v>45664</v>
      </c>
      <c r="B614" s="4" t="s">
        <v>95</v>
      </c>
      <c r="C614" s="5" t="s">
        <v>224</v>
      </c>
      <c r="D614" s="5" t="s">
        <v>16</v>
      </c>
      <c r="E614" s="5" t="s">
        <v>17</v>
      </c>
      <c r="F614" s="5" t="s">
        <v>23</v>
      </c>
      <c r="G614" s="5" t="s">
        <v>19</v>
      </c>
      <c r="H614" s="5">
        <v>16</v>
      </c>
      <c r="I614" s="5">
        <v>887</v>
      </c>
      <c r="J614" s="5">
        <v>1059</v>
      </c>
      <c r="K614" s="6">
        <f t="shared" si="36"/>
        <v>14192</v>
      </c>
      <c r="L614" s="6">
        <f t="shared" si="37"/>
        <v>16944</v>
      </c>
      <c r="M614" s="6">
        <f t="shared" si="38"/>
        <v>2752</v>
      </c>
      <c r="N614" s="6" t="str">
        <f t="shared" si="39"/>
        <v>profit</v>
      </c>
    </row>
    <row r="615" spans="1:14" ht="15.6" thickTop="1" thickBot="1" x14ac:dyDescent="0.35">
      <c r="A615" s="4">
        <v>45569</v>
      </c>
      <c r="B615" s="4" t="s">
        <v>85</v>
      </c>
      <c r="C615" s="5" t="s">
        <v>330</v>
      </c>
      <c r="D615" s="5" t="s">
        <v>33</v>
      </c>
      <c r="E615" s="5" t="s">
        <v>99</v>
      </c>
      <c r="F615" s="5" t="s">
        <v>30</v>
      </c>
      <c r="G615" s="5" t="s">
        <v>19</v>
      </c>
      <c r="H615" s="5">
        <v>61</v>
      </c>
      <c r="I615" s="5">
        <v>604</v>
      </c>
      <c r="J615" s="5">
        <v>1251</v>
      </c>
      <c r="K615" s="6">
        <f t="shared" si="36"/>
        <v>36844</v>
      </c>
      <c r="L615" s="6">
        <f t="shared" si="37"/>
        <v>76311</v>
      </c>
      <c r="M615" s="6">
        <f t="shared" si="38"/>
        <v>39467</v>
      </c>
      <c r="N615" s="6" t="str">
        <f t="shared" si="39"/>
        <v>profit</v>
      </c>
    </row>
    <row r="616" spans="1:14" ht="15.6" thickTop="1" thickBot="1" x14ac:dyDescent="0.35">
      <c r="A616" s="4">
        <v>45570</v>
      </c>
      <c r="B616" s="4" t="s">
        <v>85</v>
      </c>
      <c r="C616" s="5" t="s">
        <v>331</v>
      </c>
      <c r="D616" s="5" t="s">
        <v>33</v>
      </c>
      <c r="E616" s="5" t="s">
        <v>99</v>
      </c>
      <c r="F616" s="5" t="s">
        <v>113</v>
      </c>
      <c r="G616" s="5" t="s">
        <v>19</v>
      </c>
      <c r="H616" s="5">
        <v>62</v>
      </c>
      <c r="I616" s="5">
        <v>641</v>
      </c>
      <c r="J616" s="5">
        <v>869</v>
      </c>
      <c r="K616" s="6">
        <f t="shared" si="36"/>
        <v>39742</v>
      </c>
      <c r="L616" s="6">
        <f t="shared" si="37"/>
        <v>53878</v>
      </c>
      <c r="M616" s="6">
        <f t="shared" si="38"/>
        <v>14136</v>
      </c>
      <c r="N616" s="6" t="str">
        <f t="shared" si="39"/>
        <v>profit</v>
      </c>
    </row>
    <row r="617" spans="1:14" ht="15.6" thickTop="1" thickBot="1" x14ac:dyDescent="0.35">
      <c r="A617" s="4">
        <v>45572</v>
      </c>
      <c r="B617" s="4" t="s">
        <v>85</v>
      </c>
      <c r="C617" s="5" t="s">
        <v>332</v>
      </c>
      <c r="D617" s="5" t="s">
        <v>33</v>
      </c>
      <c r="E617" s="5" t="s">
        <v>99</v>
      </c>
      <c r="F617" s="5" t="s">
        <v>153</v>
      </c>
      <c r="G617" s="5" t="s">
        <v>19</v>
      </c>
      <c r="H617" s="5">
        <v>53</v>
      </c>
      <c r="I617" s="5">
        <v>913</v>
      </c>
      <c r="J617" s="5">
        <v>1369</v>
      </c>
      <c r="K617" s="6">
        <f t="shared" si="36"/>
        <v>48389</v>
      </c>
      <c r="L617" s="6">
        <f t="shared" si="37"/>
        <v>72557</v>
      </c>
      <c r="M617" s="6">
        <f t="shared" si="38"/>
        <v>24168</v>
      </c>
      <c r="N617" s="6" t="str">
        <f t="shared" si="39"/>
        <v>profit</v>
      </c>
    </row>
    <row r="618" spans="1:14" ht="15.6" thickTop="1" thickBot="1" x14ac:dyDescent="0.35">
      <c r="A618" s="4">
        <v>45573</v>
      </c>
      <c r="B618" s="4" t="s">
        <v>85</v>
      </c>
      <c r="C618" s="5" t="s">
        <v>333</v>
      </c>
      <c r="D618" s="5" t="s">
        <v>33</v>
      </c>
      <c r="E618" s="5" t="s">
        <v>99</v>
      </c>
      <c r="F618" s="5" t="s">
        <v>155</v>
      </c>
      <c r="G618" s="5" t="s">
        <v>19</v>
      </c>
      <c r="H618" s="5">
        <v>56</v>
      </c>
      <c r="I618" s="5">
        <v>840</v>
      </c>
      <c r="J618" s="5">
        <v>1353</v>
      </c>
      <c r="K618" s="6">
        <f t="shared" si="36"/>
        <v>47040</v>
      </c>
      <c r="L618" s="6">
        <f t="shared" si="37"/>
        <v>75768</v>
      </c>
      <c r="M618" s="6">
        <f t="shared" si="38"/>
        <v>28728</v>
      </c>
      <c r="N618" s="6" t="str">
        <f t="shared" si="39"/>
        <v>profit</v>
      </c>
    </row>
    <row r="619" spans="1:14" ht="15.6" thickTop="1" thickBot="1" x14ac:dyDescent="0.35">
      <c r="A619" s="4">
        <v>45574</v>
      </c>
      <c r="B619" s="4" t="s">
        <v>85</v>
      </c>
      <c r="C619" s="5" t="s">
        <v>334</v>
      </c>
      <c r="D619" s="5" t="s">
        <v>33</v>
      </c>
      <c r="E619" s="5" t="s">
        <v>120</v>
      </c>
      <c r="F619" s="5" t="s">
        <v>18</v>
      </c>
      <c r="G619" s="5" t="s">
        <v>19</v>
      </c>
      <c r="H619" s="5">
        <v>85</v>
      </c>
      <c r="I619" s="5">
        <v>541</v>
      </c>
      <c r="J619" s="5">
        <v>1331</v>
      </c>
      <c r="K619" s="6">
        <f t="shared" si="36"/>
        <v>45985</v>
      </c>
      <c r="L619" s="6">
        <f t="shared" si="37"/>
        <v>113135</v>
      </c>
      <c r="M619" s="6">
        <f t="shared" si="38"/>
        <v>67150</v>
      </c>
      <c r="N619" s="6" t="str">
        <f t="shared" si="39"/>
        <v>profit</v>
      </c>
    </row>
    <row r="620" spans="1:14" ht="15.6" thickTop="1" thickBot="1" x14ac:dyDescent="0.35">
      <c r="A620" s="4">
        <v>45575</v>
      </c>
      <c r="B620" s="4" t="s">
        <v>85</v>
      </c>
      <c r="C620" s="5" t="s">
        <v>335</v>
      </c>
      <c r="D620" s="5" t="s">
        <v>33</v>
      </c>
      <c r="E620" s="5" t="s">
        <v>120</v>
      </c>
      <c r="F620" s="5" t="s">
        <v>21</v>
      </c>
      <c r="G620" s="5" t="s">
        <v>19</v>
      </c>
      <c r="H620" s="5">
        <v>56</v>
      </c>
      <c r="I620" s="5">
        <v>611</v>
      </c>
      <c r="J620" s="5">
        <v>1240</v>
      </c>
      <c r="K620" s="6">
        <f t="shared" si="36"/>
        <v>34216</v>
      </c>
      <c r="L620" s="6">
        <f t="shared" si="37"/>
        <v>69440</v>
      </c>
      <c r="M620" s="6">
        <f t="shared" si="38"/>
        <v>35224</v>
      </c>
      <c r="N620" s="6" t="str">
        <f t="shared" si="39"/>
        <v>profit</v>
      </c>
    </row>
    <row r="621" spans="1:14" ht="15.6" thickTop="1" thickBot="1" x14ac:dyDescent="0.35">
      <c r="A621" s="4">
        <v>45671</v>
      </c>
      <c r="B621" s="4" t="s">
        <v>95</v>
      </c>
      <c r="C621" s="5" t="s">
        <v>231</v>
      </c>
      <c r="D621" s="5" t="s">
        <v>33</v>
      </c>
      <c r="E621" s="5" t="s">
        <v>120</v>
      </c>
      <c r="F621" s="5" t="s">
        <v>60</v>
      </c>
      <c r="G621" s="5" t="s">
        <v>28</v>
      </c>
      <c r="H621" s="5">
        <v>90</v>
      </c>
      <c r="I621" s="5">
        <v>554</v>
      </c>
      <c r="J621" s="5">
        <v>940</v>
      </c>
      <c r="K621" s="6">
        <f t="shared" si="36"/>
        <v>49860</v>
      </c>
      <c r="L621" s="6">
        <f t="shared" si="37"/>
        <v>84600</v>
      </c>
      <c r="M621" s="6">
        <f t="shared" si="38"/>
        <v>34740</v>
      </c>
      <c r="N621" s="6" t="str">
        <f t="shared" si="39"/>
        <v>profit</v>
      </c>
    </row>
    <row r="622" spans="1:14" ht="15.6" thickTop="1" thickBot="1" x14ac:dyDescent="0.35">
      <c r="A622" s="4">
        <v>45576</v>
      </c>
      <c r="B622" s="4" t="s">
        <v>85</v>
      </c>
      <c r="C622" s="5" t="s">
        <v>336</v>
      </c>
      <c r="D622" s="5" t="s">
        <v>33</v>
      </c>
      <c r="E622" s="5" t="s">
        <v>120</v>
      </c>
      <c r="F622" s="5" t="s">
        <v>23</v>
      </c>
      <c r="G622" s="5" t="s">
        <v>19</v>
      </c>
      <c r="H622" s="5">
        <v>91</v>
      </c>
      <c r="I622" s="5">
        <v>867</v>
      </c>
      <c r="J622" s="5">
        <v>957</v>
      </c>
      <c r="K622" s="6">
        <f t="shared" si="36"/>
        <v>78897</v>
      </c>
      <c r="L622" s="6">
        <f t="shared" si="37"/>
        <v>87087</v>
      </c>
      <c r="M622" s="6">
        <f t="shared" si="38"/>
        <v>8190</v>
      </c>
      <c r="N622" s="6" t="str">
        <f t="shared" si="39"/>
        <v>profit</v>
      </c>
    </row>
    <row r="623" spans="1:14" ht="15.6" thickTop="1" thickBot="1" x14ac:dyDescent="0.35">
      <c r="A623" s="4">
        <v>45577</v>
      </c>
      <c r="B623" s="4" t="s">
        <v>85</v>
      </c>
      <c r="C623" s="5" t="s">
        <v>337</v>
      </c>
      <c r="D623" s="5" t="s">
        <v>33</v>
      </c>
      <c r="E623" s="5" t="s">
        <v>120</v>
      </c>
      <c r="F623" s="5" t="s">
        <v>25</v>
      </c>
      <c r="G623" s="5" t="s">
        <v>19</v>
      </c>
      <c r="H623" s="5">
        <v>95</v>
      </c>
      <c r="I623" s="5">
        <v>508</v>
      </c>
      <c r="J623" s="5">
        <v>783</v>
      </c>
      <c r="K623" s="6">
        <f t="shared" si="36"/>
        <v>48260</v>
      </c>
      <c r="L623" s="6">
        <f t="shared" si="37"/>
        <v>74385</v>
      </c>
      <c r="M623" s="6">
        <f t="shared" si="38"/>
        <v>26125</v>
      </c>
      <c r="N623" s="6" t="str">
        <f t="shared" si="39"/>
        <v>profit</v>
      </c>
    </row>
    <row r="624" spans="1:14" ht="15.6" thickTop="1" thickBot="1" x14ac:dyDescent="0.35">
      <c r="A624" s="4">
        <v>45579</v>
      </c>
      <c r="B624" s="4" t="s">
        <v>85</v>
      </c>
      <c r="C624" s="5" t="s">
        <v>338</v>
      </c>
      <c r="D624" s="5" t="s">
        <v>33</v>
      </c>
      <c r="E624" s="5" t="s">
        <v>120</v>
      </c>
      <c r="F624" s="5" t="s">
        <v>27</v>
      </c>
      <c r="G624" s="5" t="s">
        <v>28</v>
      </c>
      <c r="H624" s="5">
        <v>75</v>
      </c>
      <c r="I624" s="5">
        <v>549</v>
      </c>
      <c r="J624" s="5">
        <v>1108</v>
      </c>
      <c r="K624" s="6">
        <f t="shared" si="36"/>
        <v>41175</v>
      </c>
      <c r="L624" s="6">
        <f t="shared" si="37"/>
        <v>83100</v>
      </c>
      <c r="M624" s="6">
        <f t="shared" si="38"/>
        <v>41925</v>
      </c>
      <c r="N624" s="6" t="str">
        <f t="shared" si="39"/>
        <v>profit</v>
      </c>
    </row>
    <row r="625" spans="1:14" ht="15.6" thickTop="1" thickBot="1" x14ac:dyDescent="0.35">
      <c r="A625" s="4">
        <v>45592</v>
      </c>
      <c r="B625" s="4" t="s">
        <v>85</v>
      </c>
      <c r="C625" s="5" t="s">
        <v>339</v>
      </c>
      <c r="D625" s="5" t="s">
        <v>33</v>
      </c>
      <c r="E625" s="5" t="s">
        <v>34</v>
      </c>
      <c r="F625" s="5" t="s">
        <v>113</v>
      </c>
      <c r="G625" s="5" t="s">
        <v>28</v>
      </c>
      <c r="H625" s="5">
        <v>95</v>
      </c>
      <c r="I625" s="5">
        <v>845</v>
      </c>
      <c r="J625" s="5">
        <v>1102</v>
      </c>
      <c r="K625" s="6">
        <f t="shared" si="36"/>
        <v>80275</v>
      </c>
      <c r="L625" s="6">
        <f t="shared" si="37"/>
        <v>104690</v>
      </c>
      <c r="M625" s="6">
        <f t="shared" si="38"/>
        <v>24415</v>
      </c>
      <c r="N625" s="6" t="str">
        <f t="shared" si="39"/>
        <v>profit</v>
      </c>
    </row>
    <row r="626" spans="1:14" ht="15.6" thickTop="1" thickBot="1" x14ac:dyDescent="0.35">
      <c r="A626" s="4">
        <v>45593</v>
      </c>
      <c r="B626" s="4" t="s">
        <v>85</v>
      </c>
      <c r="C626" s="5" t="s">
        <v>340</v>
      </c>
      <c r="D626" s="5" t="s">
        <v>33</v>
      </c>
      <c r="E626" s="5" t="s">
        <v>34</v>
      </c>
      <c r="F626" s="5" t="s">
        <v>44</v>
      </c>
      <c r="G626" s="5" t="s">
        <v>28</v>
      </c>
      <c r="H626" s="5">
        <v>86</v>
      </c>
      <c r="I626" s="5">
        <v>949</v>
      </c>
      <c r="J626" s="5">
        <v>924</v>
      </c>
      <c r="K626" s="6">
        <f t="shared" si="36"/>
        <v>81614</v>
      </c>
      <c r="L626" s="6">
        <f t="shared" si="37"/>
        <v>79464</v>
      </c>
      <c r="M626" s="6">
        <f t="shared" si="38"/>
        <v>-2150</v>
      </c>
      <c r="N626" s="6" t="str">
        <f t="shared" si="39"/>
        <v>loss</v>
      </c>
    </row>
    <row r="627" spans="1:14" ht="15.6" thickTop="1" thickBot="1" x14ac:dyDescent="0.35">
      <c r="A627" s="4">
        <v>45677</v>
      </c>
      <c r="B627" s="4" t="s">
        <v>95</v>
      </c>
      <c r="C627" s="5" t="s">
        <v>129</v>
      </c>
      <c r="D627" s="5" t="s">
        <v>16</v>
      </c>
      <c r="E627" s="5" t="s">
        <v>37</v>
      </c>
      <c r="F627" s="5" t="s">
        <v>155</v>
      </c>
      <c r="G627" s="5" t="s">
        <v>19</v>
      </c>
      <c r="H627" s="5">
        <v>11</v>
      </c>
      <c r="I627" s="5">
        <v>587</v>
      </c>
      <c r="J627" s="5">
        <v>1386</v>
      </c>
      <c r="K627" s="6">
        <f t="shared" si="36"/>
        <v>6457</v>
      </c>
      <c r="L627" s="6">
        <f t="shared" si="37"/>
        <v>15246</v>
      </c>
      <c r="M627" s="6">
        <f t="shared" si="38"/>
        <v>8789</v>
      </c>
      <c r="N627" s="6" t="str">
        <f t="shared" si="39"/>
        <v>profit</v>
      </c>
    </row>
    <row r="628" spans="1:14" ht="15.6" thickTop="1" thickBot="1" x14ac:dyDescent="0.35">
      <c r="A628" s="4">
        <v>45594</v>
      </c>
      <c r="B628" s="4" t="s">
        <v>85</v>
      </c>
      <c r="C628" s="5" t="s">
        <v>341</v>
      </c>
      <c r="D628" s="5" t="s">
        <v>33</v>
      </c>
      <c r="E628" s="5" t="s">
        <v>34</v>
      </c>
      <c r="F628" s="5" t="s">
        <v>153</v>
      </c>
      <c r="G628" s="5" t="s">
        <v>19</v>
      </c>
      <c r="H628" s="5">
        <v>73</v>
      </c>
      <c r="I628" s="5">
        <v>801</v>
      </c>
      <c r="J628" s="5">
        <v>1092</v>
      </c>
      <c r="K628" s="6">
        <f t="shared" si="36"/>
        <v>58473</v>
      </c>
      <c r="L628" s="6">
        <f t="shared" si="37"/>
        <v>79716</v>
      </c>
      <c r="M628" s="6">
        <f t="shared" si="38"/>
        <v>21243</v>
      </c>
      <c r="N628" s="6" t="str">
        <f t="shared" si="39"/>
        <v>profit</v>
      </c>
    </row>
    <row r="629" spans="1:14" ht="15.6" thickTop="1" thickBot="1" x14ac:dyDescent="0.35">
      <c r="A629" s="4">
        <v>45595</v>
      </c>
      <c r="B629" s="4" t="s">
        <v>85</v>
      </c>
      <c r="C629" s="5" t="s">
        <v>342</v>
      </c>
      <c r="D629" s="5" t="s">
        <v>33</v>
      </c>
      <c r="E629" s="5" t="s">
        <v>34</v>
      </c>
      <c r="F629" s="5" t="s">
        <v>155</v>
      </c>
      <c r="G629" s="5" t="s">
        <v>28</v>
      </c>
      <c r="H629" s="5">
        <v>70</v>
      </c>
      <c r="I629" s="5">
        <v>699</v>
      </c>
      <c r="J629" s="5">
        <v>1090</v>
      </c>
      <c r="K629" s="6">
        <f t="shared" si="36"/>
        <v>48930</v>
      </c>
      <c r="L629" s="6">
        <f t="shared" si="37"/>
        <v>76300</v>
      </c>
      <c r="M629" s="6">
        <f t="shared" si="38"/>
        <v>27370</v>
      </c>
      <c r="N629" s="6" t="str">
        <f t="shared" si="39"/>
        <v>profit</v>
      </c>
    </row>
    <row r="630" spans="1:14" ht="15.6" thickTop="1" thickBot="1" x14ac:dyDescent="0.35">
      <c r="A630" s="4">
        <v>45603</v>
      </c>
      <c r="B630" s="4" t="s">
        <v>161</v>
      </c>
      <c r="C630" s="5" t="s">
        <v>343</v>
      </c>
      <c r="D630" s="5" t="s">
        <v>33</v>
      </c>
      <c r="E630" s="5" t="s">
        <v>163</v>
      </c>
      <c r="F630" s="5" t="s">
        <v>25</v>
      </c>
      <c r="G630" s="5" t="s">
        <v>19</v>
      </c>
      <c r="H630" s="5">
        <v>67</v>
      </c>
      <c r="I630" s="5">
        <v>674</v>
      </c>
      <c r="J630" s="5">
        <v>1413</v>
      </c>
      <c r="K630" s="6">
        <f t="shared" si="36"/>
        <v>45158</v>
      </c>
      <c r="L630" s="6">
        <f t="shared" si="37"/>
        <v>94671</v>
      </c>
      <c r="M630" s="6">
        <f t="shared" si="38"/>
        <v>49513</v>
      </c>
      <c r="N630" s="6" t="str">
        <f t="shared" si="39"/>
        <v>profit</v>
      </c>
    </row>
    <row r="631" spans="1:14" ht="15.6" thickTop="1" thickBot="1" x14ac:dyDescent="0.35">
      <c r="A631" s="4">
        <v>45604</v>
      </c>
      <c r="B631" s="4" t="s">
        <v>161</v>
      </c>
      <c r="C631" s="5" t="s">
        <v>344</v>
      </c>
      <c r="D631" s="5" t="s">
        <v>33</v>
      </c>
      <c r="E631" s="5" t="s">
        <v>163</v>
      </c>
      <c r="F631" s="5" t="s">
        <v>76</v>
      </c>
      <c r="G631" s="5" t="s">
        <v>19</v>
      </c>
      <c r="H631" s="5">
        <v>55</v>
      </c>
      <c r="I631" s="5">
        <v>599</v>
      </c>
      <c r="J631" s="5">
        <v>1482</v>
      </c>
      <c r="K631" s="6">
        <f t="shared" si="36"/>
        <v>32945</v>
      </c>
      <c r="L631" s="6">
        <f t="shared" si="37"/>
        <v>81510</v>
      </c>
      <c r="M631" s="6">
        <f t="shared" si="38"/>
        <v>48565</v>
      </c>
      <c r="N631" s="6" t="str">
        <f t="shared" si="39"/>
        <v>profit</v>
      </c>
    </row>
    <row r="632" spans="1:14" ht="15.6" thickTop="1" thickBot="1" x14ac:dyDescent="0.35">
      <c r="A632" s="4">
        <v>45606</v>
      </c>
      <c r="B632" s="4" t="s">
        <v>161</v>
      </c>
      <c r="C632" s="5" t="s">
        <v>345</v>
      </c>
      <c r="D632" s="5" t="s">
        <v>33</v>
      </c>
      <c r="E632" s="5" t="s">
        <v>163</v>
      </c>
      <c r="F632" s="5" t="s">
        <v>44</v>
      </c>
      <c r="G632" s="5" t="s">
        <v>19</v>
      </c>
      <c r="H632" s="5">
        <v>90</v>
      </c>
      <c r="I632" s="5">
        <v>962</v>
      </c>
      <c r="J632" s="5">
        <v>1495</v>
      </c>
      <c r="K632" s="6">
        <f t="shared" si="36"/>
        <v>86580</v>
      </c>
      <c r="L632" s="6">
        <f t="shared" si="37"/>
        <v>134550</v>
      </c>
      <c r="M632" s="6">
        <f t="shared" si="38"/>
        <v>47970</v>
      </c>
      <c r="N632" s="6" t="str">
        <f t="shared" si="39"/>
        <v>profit</v>
      </c>
    </row>
    <row r="633" spans="1:14" ht="15.6" thickTop="1" thickBot="1" x14ac:dyDescent="0.35">
      <c r="A633" s="4">
        <v>45683</v>
      </c>
      <c r="B633" s="4" t="s">
        <v>95</v>
      </c>
      <c r="C633" s="5" t="s">
        <v>243</v>
      </c>
      <c r="D633" s="5" t="s">
        <v>16</v>
      </c>
      <c r="E633" s="5" t="s">
        <v>37</v>
      </c>
      <c r="F633" s="5" t="s">
        <v>27</v>
      </c>
      <c r="G633" s="5" t="s">
        <v>19</v>
      </c>
      <c r="H633" s="5">
        <v>18</v>
      </c>
      <c r="I633" s="5">
        <v>910</v>
      </c>
      <c r="J633" s="5">
        <v>1065</v>
      </c>
      <c r="K633" s="6">
        <f t="shared" si="36"/>
        <v>16380</v>
      </c>
      <c r="L633" s="6">
        <f t="shared" si="37"/>
        <v>19170</v>
      </c>
      <c r="M633" s="6">
        <f t="shared" si="38"/>
        <v>2790</v>
      </c>
      <c r="N633" s="6" t="str">
        <f t="shared" si="39"/>
        <v>profit</v>
      </c>
    </row>
    <row r="634" spans="1:14" ht="15.6" thickTop="1" thickBot="1" x14ac:dyDescent="0.35">
      <c r="A634" s="4">
        <v>45607</v>
      </c>
      <c r="B634" s="4" t="s">
        <v>161</v>
      </c>
      <c r="C634" s="5" t="s">
        <v>346</v>
      </c>
      <c r="D634" s="5" t="s">
        <v>33</v>
      </c>
      <c r="E634" s="5" t="s">
        <v>163</v>
      </c>
      <c r="F634" s="5" t="s">
        <v>25</v>
      </c>
      <c r="G634" s="5" t="s">
        <v>19</v>
      </c>
      <c r="H634" s="5">
        <v>71</v>
      </c>
      <c r="I634" s="5">
        <v>739</v>
      </c>
      <c r="J634" s="5">
        <v>1353</v>
      </c>
      <c r="K634" s="6">
        <f t="shared" si="36"/>
        <v>52469</v>
      </c>
      <c r="L634" s="6">
        <f t="shared" si="37"/>
        <v>96063</v>
      </c>
      <c r="M634" s="6">
        <f t="shared" si="38"/>
        <v>43594</v>
      </c>
      <c r="N634" s="6" t="str">
        <f t="shared" si="39"/>
        <v>profit</v>
      </c>
    </row>
    <row r="635" spans="1:14" ht="15.6" thickTop="1" thickBot="1" x14ac:dyDescent="0.35">
      <c r="A635" s="4">
        <v>45608</v>
      </c>
      <c r="B635" s="4" t="s">
        <v>161</v>
      </c>
      <c r="C635" s="5" t="s">
        <v>347</v>
      </c>
      <c r="D635" s="5" t="s">
        <v>33</v>
      </c>
      <c r="E635" s="5" t="s">
        <v>163</v>
      </c>
      <c r="F635" s="5" t="s">
        <v>64</v>
      </c>
      <c r="G635" s="5" t="s">
        <v>19</v>
      </c>
      <c r="H635" s="5">
        <v>63</v>
      </c>
      <c r="I635" s="5">
        <v>691</v>
      </c>
      <c r="J635" s="5">
        <v>1058</v>
      </c>
      <c r="K635" s="6">
        <f t="shared" si="36"/>
        <v>43533</v>
      </c>
      <c r="L635" s="6">
        <f t="shared" si="37"/>
        <v>66654</v>
      </c>
      <c r="M635" s="6">
        <f t="shared" si="38"/>
        <v>23121</v>
      </c>
      <c r="N635" s="6" t="str">
        <f t="shared" si="39"/>
        <v>profit</v>
      </c>
    </row>
    <row r="636" spans="1:14" ht="15.6" thickTop="1" thickBot="1" x14ac:dyDescent="0.35">
      <c r="A636" s="4">
        <v>45636</v>
      </c>
      <c r="B636" s="4" t="s">
        <v>190</v>
      </c>
      <c r="C636" s="5" t="s">
        <v>192</v>
      </c>
      <c r="D636" s="5" t="s">
        <v>33</v>
      </c>
      <c r="E636" s="5" t="s">
        <v>99</v>
      </c>
      <c r="F636" s="5" t="s">
        <v>18</v>
      </c>
      <c r="G636" s="5" t="s">
        <v>28</v>
      </c>
      <c r="H636" s="5">
        <v>99</v>
      </c>
      <c r="I636" s="5">
        <v>705</v>
      </c>
      <c r="J636" s="5">
        <v>1356</v>
      </c>
      <c r="K636" s="6">
        <f t="shared" si="36"/>
        <v>69795</v>
      </c>
      <c r="L636" s="6">
        <f t="shared" si="37"/>
        <v>134244</v>
      </c>
      <c r="M636" s="6">
        <f t="shared" si="38"/>
        <v>64449</v>
      </c>
      <c r="N636" s="6" t="str">
        <f t="shared" si="39"/>
        <v>profit</v>
      </c>
    </row>
    <row r="637" spans="1:14" ht="15.6" thickTop="1" thickBot="1" x14ac:dyDescent="0.35">
      <c r="A637" s="4">
        <v>45687</v>
      </c>
      <c r="B637" s="4" t="s">
        <v>95</v>
      </c>
      <c r="C637" s="5" t="s">
        <v>247</v>
      </c>
      <c r="D637" s="5" t="s">
        <v>16</v>
      </c>
      <c r="E637" s="5" t="s">
        <v>37</v>
      </c>
      <c r="F637" s="5" t="s">
        <v>30</v>
      </c>
      <c r="G637" s="5" t="s">
        <v>28</v>
      </c>
      <c r="H637" s="5">
        <v>11</v>
      </c>
      <c r="I637" s="5">
        <v>543</v>
      </c>
      <c r="J637" s="5">
        <v>1153</v>
      </c>
      <c r="K637" s="6">
        <f t="shared" si="36"/>
        <v>5973</v>
      </c>
      <c r="L637" s="6">
        <f t="shared" si="37"/>
        <v>12683</v>
      </c>
      <c r="M637" s="6">
        <f t="shared" si="38"/>
        <v>6710</v>
      </c>
      <c r="N637" s="6" t="str">
        <f t="shared" si="39"/>
        <v>profit</v>
      </c>
    </row>
    <row r="638" spans="1:14" ht="15.6" thickTop="1" thickBot="1" x14ac:dyDescent="0.35">
      <c r="A638" s="4">
        <v>45638</v>
      </c>
      <c r="B638" s="4" t="s">
        <v>190</v>
      </c>
      <c r="C638" s="5" t="s">
        <v>348</v>
      </c>
      <c r="D638" s="5" t="s">
        <v>33</v>
      </c>
      <c r="E638" s="5" t="s">
        <v>99</v>
      </c>
      <c r="F638" s="5" t="s">
        <v>23</v>
      </c>
      <c r="G638" s="5" t="s">
        <v>19</v>
      </c>
      <c r="H638" s="5">
        <v>74</v>
      </c>
      <c r="I638" s="5">
        <v>922</v>
      </c>
      <c r="J638" s="5">
        <v>970</v>
      </c>
      <c r="K638" s="6">
        <f t="shared" si="36"/>
        <v>68228</v>
      </c>
      <c r="L638" s="6">
        <f t="shared" si="37"/>
        <v>71780</v>
      </c>
      <c r="M638" s="6">
        <f t="shared" si="38"/>
        <v>3552</v>
      </c>
      <c r="N638" s="6" t="str">
        <f t="shared" si="39"/>
        <v>profit</v>
      </c>
    </row>
    <row r="639" spans="1:14" ht="15.6" thickTop="1" thickBot="1" x14ac:dyDescent="0.35">
      <c r="A639" s="4">
        <v>45639</v>
      </c>
      <c r="B639" s="4" t="s">
        <v>190</v>
      </c>
      <c r="C639" s="5" t="s">
        <v>349</v>
      </c>
      <c r="D639" s="5" t="s">
        <v>33</v>
      </c>
      <c r="E639" s="5" t="s">
        <v>99</v>
      </c>
      <c r="F639" s="5" t="s">
        <v>25</v>
      </c>
      <c r="G639" s="5" t="s">
        <v>19</v>
      </c>
      <c r="H639" s="5">
        <v>72</v>
      </c>
      <c r="I639" s="5">
        <v>560</v>
      </c>
      <c r="J639" s="5">
        <v>918</v>
      </c>
      <c r="K639" s="6">
        <f t="shared" si="36"/>
        <v>40320</v>
      </c>
      <c r="L639" s="6">
        <f t="shared" si="37"/>
        <v>66096</v>
      </c>
      <c r="M639" s="6">
        <f t="shared" si="38"/>
        <v>25776</v>
      </c>
      <c r="N639" s="6" t="str">
        <f t="shared" si="39"/>
        <v>profit</v>
      </c>
    </row>
    <row r="640" spans="1:14" ht="15.6" thickTop="1" thickBot="1" x14ac:dyDescent="0.35">
      <c r="A640" s="4">
        <v>45640</v>
      </c>
      <c r="B640" s="4" t="s">
        <v>190</v>
      </c>
      <c r="C640" s="5" t="s">
        <v>350</v>
      </c>
      <c r="D640" s="5" t="s">
        <v>33</v>
      </c>
      <c r="E640" s="5" t="s">
        <v>99</v>
      </c>
      <c r="F640" s="5" t="s">
        <v>35</v>
      </c>
      <c r="G640" s="5" t="s">
        <v>19</v>
      </c>
      <c r="H640" s="5">
        <v>59</v>
      </c>
      <c r="I640" s="5">
        <v>834</v>
      </c>
      <c r="J640" s="5">
        <v>951</v>
      </c>
      <c r="K640" s="6">
        <f t="shared" si="36"/>
        <v>49206</v>
      </c>
      <c r="L640" s="6">
        <f t="shared" si="37"/>
        <v>56109</v>
      </c>
      <c r="M640" s="6">
        <f t="shared" si="38"/>
        <v>6903</v>
      </c>
      <c r="N640" s="6" t="str">
        <f t="shared" si="39"/>
        <v>profit</v>
      </c>
    </row>
    <row r="641" spans="1:14" ht="15.6" thickTop="1" thickBot="1" x14ac:dyDescent="0.35">
      <c r="A641" s="4">
        <v>45641</v>
      </c>
      <c r="B641" s="4" t="s">
        <v>190</v>
      </c>
      <c r="C641" s="5" t="s">
        <v>351</v>
      </c>
      <c r="D641" s="5" t="s">
        <v>33</v>
      </c>
      <c r="E641" s="5" t="s">
        <v>99</v>
      </c>
      <c r="F641" s="5" t="s">
        <v>39</v>
      </c>
      <c r="G641" s="5" t="s">
        <v>19</v>
      </c>
      <c r="H641" s="5">
        <v>83</v>
      </c>
      <c r="I641" s="5">
        <v>840</v>
      </c>
      <c r="J641" s="5">
        <v>828</v>
      </c>
      <c r="K641" s="6">
        <f t="shared" si="36"/>
        <v>69720</v>
      </c>
      <c r="L641" s="6">
        <f t="shared" si="37"/>
        <v>68724</v>
      </c>
      <c r="M641" s="6">
        <f t="shared" si="38"/>
        <v>-996</v>
      </c>
      <c r="N641" s="6" t="str">
        <f t="shared" si="39"/>
        <v>loss</v>
      </c>
    </row>
    <row r="642" spans="1:14" ht="15.6" thickTop="1" thickBot="1" x14ac:dyDescent="0.35">
      <c r="A642" s="4">
        <v>45643</v>
      </c>
      <c r="B642" s="4" t="s">
        <v>190</v>
      </c>
      <c r="C642" s="5" t="s">
        <v>352</v>
      </c>
      <c r="D642" s="5" t="s">
        <v>33</v>
      </c>
      <c r="E642" s="5" t="s">
        <v>99</v>
      </c>
      <c r="F642" s="5" t="s">
        <v>64</v>
      </c>
      <c r="G642" s="5" t="s">
        <v>19</v>
      </c>
      <c r="H642" s="5">
        <v>64</v>
      </c>
      <c r="I642" s="5">
        <v>965</v>
      </c>
      <c r="J642" s="5">
        <v>1357</v>
      </c>
      <c r="K642" s="6">
        <f t="shared" ref="K642:K705" si="40">H642*I642</f>
        <v>61760</v>
      </c>
      <c r="L642" s="6">
        <f t="shared" ref="L642:L705" si="41">H642*J642</f>
        <v>86848</v>
      </c>
      <c r="M642" s="6">
        <f t="shared" ref="M642:M705" si="42">L642-K642</f>
        <v>25088</v>
      </c>
      <c r="N642" s="6" t="str">
        <f t="shared" ref="N642:N705" si="43">IF(M642&gt;0,"profit","loss")</f>
        <v>profit</v>
      </c>
    </row>
    <row r="643" spans="1:14" ht="15.6" thickTop="1" thickBot="1" x14ac:dyDescent="0.35">
      <c r="A643" s="4">
        <v>45644</v>
      </c>
      <c r="B643" s="4" t="s">
        <v>190</v>
      </c>
      <c r="C643" s="5" t="s">
        <v>353</v>
      </c>
      <c r="D643" s="5" t="s">
        <v>33</v>
      </c>
      <c r="E643" s="5" t="s">
        <v>99</v>
      </c>
      <c r="F643" s="5" t="s">
        <v>64</v>
      </c>
      <c r="G643" s="5" t="s">
        <v>19</v>
      </c>
      <c r="H643" s="5">
        <v>59</v>
      </c>
      <c r="I643" s="5">
        <v>671</v>
      </c>
      <c r="J643" s="5">
        <v>1410</v>
      </c>
      <c r="K643" s="6">
        <f t="shared" si="40"/>
        <v>39589</v>
      </c>
      <c r="L643" s="6">
        <f t="shared" si="41"/>
        <v>83190</v>
      </c>
      <c r="M643" s="6">
        <f t="shared" si="42"/>
        <v>43601</v>
      </c>
      <c r="N643" s="6" t="str">
        <f t="shared" si="43"/>
        <v>profit</v>
      </c>
    </row>
    <row r="644" spans="1:14" ht="15.6" thickTop="1" thickBot="1" x14ac:dyDescent="0.35">
      <c r="A644" s="4">
        <v>45645</v>
      </c>
      <c r="B644" s="4" t="s">
        <v>190</v>
      </c>
      <c r="C644" s="5" t="s">
        <v>354</v>
      </c>
      <c r="D644" s="5" t="s">
        <v>33</v>
      </c>
      <c r="E644" s="5" t="s">
        <v>99</v>
      </c>
      <c r="F644" s="5" t="s">
        <v>60</v>
      </c>
      <c r="G644" s="5" t="s">
        <v>19</v>
      </c>
      <c r="H644" s="5">
        <v>85</v>
      </c>
      <c r="I644" s="5">
        <v>761</v>
      </c>
      <c r="J644" s="5">
        <v>926</v>
      </c>
      <c r="K644" s="6">
        <f t="shared" si="40"/>
        <v>64685</v>
      </c>
      <c r="L644" s="6">
        <f t="shared" si="41"/>
        <v>78710</v>
      </c>
      <c r="M644" s="6">
        <f t="shared" si="42"/>
        <v>14025</v>
      </c>
      <c r="N644" s="6" t="str">
        <f t="shared" si="43"/>
        <v>profit</v>
      </c>
    </row>
    <row r="645" spans="1:14" ht="15.6" thickTop="1" thickBot="1" x14ac:dyDescent="0.35">
      <c r="A645" s="4">
        <v>45647</v>
      </c>
      <c r="B645" s="4" t="s">
        <v>190</v>
      </c>
      <c r="C645" s="5" t="s">
        <v>355</v>
      </c>
      <c r="D645" s="5" t="s">
        <v>33</v>
      </c>
      <c r="E645" s="5" t="s">
        <v>99</v>
      </c>
      <c r="F645" s="5" t="s">
        <v>30</v>
      </c>
      <c r="G645" s="5" t="s">
        <v>19</v>
      </c>
      <c r="H645" s="5">
        <v>81</v>
      </c>
      <c r="I645" s="5">
        <v>522</v>
      </c>
      <c r="J645" s="5">
        <v>1238</v>
      </c>
      <c r="K645" s="6">
        <f t="shared" si="40"/>
        <v>42282</v>
      </c>
      <c r="L645" s="6">
        <f t="shared" si="41"/>
        <v>100278</v>
      </c>
      <c r="M645" s="6">
        <f t="shared" si="42"/>
        <v>57996</v>
      </c>
      <c r="N645" s="6" t="str">
        <f t="shared" si="43"/>
        <v>profit</v>
      </c>
    </row>
    <row r="646" spans="1:14" ht="15.6" thickTop="1" thickBot="1" x14ac:dyDescent="0.35">
      <c r="A646" s="4">
        <v>45649</v>
      </c>
      <c r="B646" s="4" t="s">
        <v>190</v>
      </c>
      <c r="C646" s="5" t="s">
        <v>356</v>
      </c>
      <c r="D646" s="5" t="s">
        <v>33</v>
      </c>
      <c r="E646" s="5" t="s">
        <v>120</v>
      </c>
      <c r="F646" s="5" t="s">
        <v>44</v>
      </c>
      <c r="G646" s="5" t="s">
        <v>19</v>
      </c>
      <c r="H646" s="5">
        <v>72</v>
      </c>
      <c r="I646" s="5">
        <v>943</v>
      </c>
      <c r="J646" s="5">
        <v>1233</v>
      </c>
      <c r="K646" s="6">
        <f t="shared" si="40"/>
        <v>67896</v>
      </c>
      <c r="L646" s="6">
        <f t="shared" si="41"/>
        <v>88776</v>
      </c>
      <c r="M646" s="6">
        <f t="shared" si="42"/>
        <v>20880</v>
      </c>
      <c r="N646" s="6" t="str">
        <f t="shared" si="43"/>
        <v>profit</v>
      </c>
    </row>
    <row r="647" spans="1:14" ht="15.6" thickTop="1" thickBot="1" x14ac:dyDescent="0.35">
      <c r="A647" s="4">
        <v>45650</v>
      </c>
      <c r="B647" s="4" t="s">
        <v>190</v>
      </c>
      <c r="C647" s="5" t="s">
        <v>357</v>
      </c>
      <c r="D647" s="5" t="s">
        <v>33</v>
      </c>
      <c r="E647" s="5" t="s">
        <v>120</v>
      </c>
      <c r="F647" s="5" t="s">
        <v>153</v>
      </c>
      <c r="G647" s="5" t="s">
        <v>19</v>
      </c>
      <c r="H647" s="5">
        <v>67</v>
      </c>
      <c r="I647" s="5">
        <v>801</v>
      </c>
      <c r="J647" s="5">
        <v>1220</v>
      </c>
      <c r="K647" s="6">
        <f t="shared" si="40"/>
        <v>53667</v>
      </c>
      <c r="L647" s="6">
        <f t="shared" si="41"/>
        <v>81740</v>
      </c>
      <c r="M647" s="6">
        <f t="shared" si="42"/>
        <v>28073</v>
      </c>
      <c r="N647" s="6" t="str">
        <f t="shared" si="43"/>
        <v>profit</v>
      </c>
    </row>
    <row r="648" spans="1:14" ht="15.6" thickTop="1" thickBot="1" x14ac:dyDescent="0.35">
      <c r="A648" s="4">
        <v>45698</v>
      </c>
      <c r="B648" s="4" t="s">
        <v>239</v>
      </c>
      <c r="C648" s="5" t="s">
        <v>252</v>
      </c>
      <c r="D648" s="5" t="s">
        <v>46</v>
      </c>
      <c r="E648" s="5" t="s">
        <v>118</v>
      </c>
      <c r="F648" s="5" t="s">
        <v>30</v>
      </c>
      <c r="G648" s="5" t="s">
        <v>19</v>
      </c>
      <c r="H648" s="5">
        <v>29</v>
      </c>
      <c r="I648" s="5">
        <v>725</v>
      </c>
      <c r="J648" s="5">
        <v>792</v>
      </c>
      <c r="K648" s="6">
        <f t="shared" si="40"/>
        <v>21025</v>
      </c>
      <c r="L648" s="6">
        <f t="shared" si="41"/>
        <v>22968</v>
      </c>
      <c r="M648" s="6">
        <f t="shared" si="42"/>
        <v>1943</v>
      </c>
      <c r="N648" s="6" t="str">
        <f t="shared" si="43"/>
        <v>profit</v>
      </c>
    </row>
    <row r="649" spans="1:14" ht="15.6" thickTop="1" thickBot="1" x14ac:dyDescent="0.35">
      <c r="A649" s="4">
        <v>45651</v>
      </c>
      <c r="B649" s="4" t="s">
        <v>190</v>
      </c>
      <c r="C649" s="5" t="s">
        <v>358</v>
      </c>
      <c r="D649" s="5" t="s">
        <v>33</v>
      </c>
      <c r="E649" s="5" t="s">
        <v>120</v>
      </c>
      <c r="F649" s="5" t="s">
        <v>155</v>
      </c>
      <c r="G649" s="5" t="s">
        <v>19</v>
      </c>
      <c r="H649" s="5">
        <v>57</v>
      </c>
      <c r="I649" s="5">
        <v>647</v>
      </c>
      <c r="J649" s="5">
        <v>905</v>
      </c>
      <c r="K649" s="6">
        <f t="shared" si="40"/>
        <v>36879</v>
      </c>
      <c r="L649" s="6">
        <f t="shared" si="41"/>
        <v>51585</v>
      </c>
      <c r="M649" s="6">
        <f t="shared" si="42"/>
        <v>14706</v>
      </c>
      <c r="N649" s="6" t="str">
        <f t="shared" si="43"/>
        <v>profit</v>
      </c>
    </row>
    <row r="650" spans="1:14" ht="15.6" thickTop="1" thickBot="1" x14ac:dyDescent="0.35">
      <c r="A650" s="4">
        <v>45652</v>
      </c>
      <c r="B650" s="4" t="s">
        <v>190</v>
      </c>
      <c r="C650" s="5" t="s">
        <v>359</v>
      </c>
      <c r="D650" s="5" t="s">
        <v>33</v>
      </c>
      <c r="E650" s="5" t="s">
        <v>120</v>
      </c>
      <c r="F650" s="5" t="s">
        <v>18</v>
      </c>
      <c r="G650" s="5" t="s">
        <v>19</v>
      </c>
      <c r="H650" s="5">
        <v>91</v>
      </c>
      <c r="I650" s="5">
        <v>906</v>
      </c>
      <c r="J650" s="5">
        <v>925</v>
      </c>
      <c r="K650" s="6">
        <f t="shared" si="40"/>
        <v>82446</v>
      </c>
      <c r="L650" s="6">
        <f t="shared" si="41"/>
        <v>84175</v>
      </c>
      <c r="M650" s="6">
        <f t="shared" si="42"/>
        <v>1729</v>
      </c>
      <c r="N650" s="6" t="str">
        <f t="shared" si="43"/>
        <v>profit</v>
      </c>
    </row>
    <row r="651" spans="1:14" ht="15.6" thickTop="1" thickBot="1" x14ac:dyDescent="0.35">
      <c r="A651" s="4">
        <v>45654</v>
      </c>
      <c r="B651" s="4" t="s">
        <v>190</v>
      </c>
      <c r="C651" s="5" t="s">
        <v>360</v>
      </c>
      <c r="D651" s="5" t="s">
        <v>33</v>
      </c>
      <c r="E651" s="5" t="s">
        <v>120</v>
      </c>
      <c r="F651" s="5" t="s">
        <v>23</v>
      </c>
      <c r="G651" s="5" t="s">
        <v>28</v>
      </c>
      <c r="H651" s="5">
        <v>82</v>
      </c>
      <c r="I651" s="5">
        <v>955</v>
      </c>
      <c r="J651" s="5">
        <v>1218</v>
      </c>
      <c r="K651" s="6">
        <f t="shared" si="40"/>
        <v>78310</v>
      </c>
      <c r="L651" s="6">
        <f t="shared" si="41"/>
        <v>99876</v>
      </c>
      <c r="M651" s="6">
        <f t="shared" si="42"/>
        <v>21566</v>
      </c>
      <c r="N651" s="6" t="str">
        <f t="shared" si="43"/>
        <v>profit</v>
      </c>
    </row>
    <row r="652" spans="1:14" ht="15.6" thickTop="1" thickBot="1" x14ac:dyDescent="0.35">
      <c r="A652" s="4">
        <v>45702</v>
      </c>
      <c r="B652" s="4" t="s">
        <v>239</v>
      </c>
      <c r="C652" s="5" t="s">
        <v>253</v>
      </c>
      <c r="D652" s="5" t="s">
        <v>33</v>
      </c>
      <c r="E652" s="5" t="s">
        <v>99</v>
      </c>
      <c r="F652" s="5" t="s">
        <v>64</v>
      </c>
      <c r="G652" s="5" t="s">
        <v>19</v>
      </c>
      <c r="H652" s="5">
        <v>59</v>
      </c>
      <c r="I652" s="5">
        <v>725</v>
      </c>
      <c r="J652" s="5">
        <v>1113</v>
      </c>
      <c r="K652" s="6">
        <f t="shared" si="40"/>
        <v>42775</v>
      </c>
      <c r="L652" s="6">
        <f t="shared" si="41"/>
        <v>65667</v>
      </c>
      <c r="M652" s="6">
        <f t="shared" si="42"/>
        <v>22892</v>
      </c>
      <c r="N652" s="6" t="str">
        <f t="shared" si="43"/>
        <v>profit</v>
      </c>
    </row>
    <row r="653" spans="1:14" ht="15.6" thickTop="1" thickBot="1" x14ac:dyDescent="0.35">
      <c r="A653" s="4">
        <v>45655</v>
      </c>
      <c r="B653" s="4" t="s">
        <v>190</v>
      </c>
      <c r="C653" s="5" t="s">
        <v>361</v>
      </c>
      <c r="D653" s="5" t="s">
        <v>33</v>
      </c>
      <c r="E653" s="5" t="s">
        <v>120</v>
      </c>
      <c r="F653" s="5" t="s">
        <v>25</v>
      </c>
      <c r="G653" s="5" t="s">
        <v>28</v>
      </c>
      <c r="H653" s="5">
        <v>72</v>
      </c>
      <c r="I653" s="5">
        <v>829</v>
      </c>
      <c r="J653" s="5">
        <v>1165</v>
      </c>
      <c r="K653" s="6">
        <f t="shared" si="40"/>
        <v>59688</v>
      </c>
      <c r="L653" s="6">
        <f t="shared" si="41"/>
        <v>83880</v>
      </c>
      <c r="M653" s="6">
        <f t="shared" si="42"/>
        <v>24192</v>
      </c>
      <c r="N653" s="6" t="str">
        <f t="shared" si="43"/>
        <v>profit</v>
      </c>
    </row>
    <row r="654" spans="1:14" ht="15.6" thickTop="1" thickBot="1" x14ac:dyDescent="0.35">
      <c r="A654" s="4">
        <v>45656</v>
      </c>
      <c r="B654" s="4" t="s">
        <v>190</v>
      </c>
      <c r="C654" s="5" t="s">
        <v>362</v>
      </c>
      <c r="D654" s="5" t="s">
        <v>33</v>
      </c>
      <c r="E654" s="5" t="s">
        <v>120</v>
      </c>
      <c r="F654" s="5" t="s">
        <v>25</v>
      </c>
      <c r="G654" s="5" t="s">
        <v>28</v>
      </c>
      <c r="H654" s="5">
        <v>62</v>
      </c>
      <c r="I654" s="5">
        <v>680</v>
      </c>
      <c r="J654" s="5">
        <v>912</v>
      </c>
      <c r="K654" s="6">
        <f t="shared" si="40"/>
        <v>42160</v>
      </c>
      <c r="L654" s="6">
        <f t="shared" si="41"/>
        <v>56544</v>
      </c>
      <c r="M654" s="6">
        <f t="shared" si="42"/>
        <v>14384</v>
      </c>
      <c r="N654" s="6" t="str">
        <f t="shared" si="43"/>
        <v>profit</v>
      </c>
    </row>
    <row r="655" spans="1:14" ht="15.6" thickTop="1" thickBot="1" x14ac:dyDescent="0.35">
      <c r="A655" s="4">
        <v>45657</v>
      </c>
      <c r="B655" s="4" t="s">
        <v>190</v>
      </c>
      <c r="C655" s="5" t="s">
        <v>363</v>
      </c>
      <c r="D655" s="5" t="s">
        <v>33</v>
      </c>
      <c r="E655" s="5" t="s">
        <v>120</v>
      </c>
      <c r="F655" s="5" t="s">
        <v>27</v>
      </c>
      <c r="G655" s="5" t="s">
        <v>28</v>
      </c>
      <c r="H655" s="5">
        <v>67</v>
      </c>
      <c r="I655" s="5">
        <v>600</v>
      </c>
      <c r="J655" s="5">
        <v>1328</v>
      </c>
      <c r="K655" s="6">
        <f t="shared" si="40"/>
        <v>40200</v>
      </c>
      <c r="L655" s="6">
        <f t="shared" si="41"/>
        <v>88976</v>
      </c>
      <c r="M655" s="6">
        <f t="shared" si="42"/>
        <v>48776</v>
      </c>
      <c r="N655" s="6" t="str">
        <f t="shared" si="43"/>
        <v>profit</v>
      </c>
    </row>
    <row r="656" spans="1:14" ht="15.6" thickTop="1" thickBot="1" x14ac:dyDescent="0.35">
      <c r="A656" s="4">
        <v>45658</v>
      </c>
      <c r="B656" s="4" t="s">
        <v>95</v>
      </c>
      <c r="C656" s="5" t="s">
        <v>364</v>
      </c>
      <c r="D656" s="5" t="s">
        <v>33</v>
      </c>
      <c r="E656" s="5" t="s">
        <v>120</v>
      </c>
      <c r="F656" s="5" t="s">
        <v>30</v>
      </c>
      <c r="G656" s="5" t="s">
        <v>19</v>
      </c>
      <c r="H656" s="5">
        <v>97</v>
      </c>
      <c r="I656" s="5">
        <v>946</v>
      </c>
      <c r="J656" s="5">
        <v>1297</v>
      </c>
      <c r="K656" s="6">
        <f t="shared" si="40"/>
        <v>91762</v>
      </c>
      <c r="L656" s="6">
        <f t="shared" si="41"/>
        <v>125809</v>
      </c>
      <c r="M656" s="6">
        <f t="shared" si="42"/>
        <v>34047</v>
      </c>
      <c r="N656" s="6" t="str">
        <f t="shared" si="43"/>
        <v>profit</v>
      </c>
    </row>
    <row r="657" spans="1:14" ht="15.6" thickTop="1" thickBot="1" x14ac:dyDescent="0.35">
      <c r="A657" s="4">
        <v>45666</v>
      </c>
      <c r="B657" s="4" t="s">
        <v>95</v>
      </c>
      <c r="C657" s="5" t="s">
        <v>365</v>
      </c>
      <c r="D657" s="5" t="s">
        <v>33</v>
      </c>
      <c r="E657" s="5" t="s">
        <v>99</v>
      </c>
      <c r="F657" s="5" t="s">
        <v>35</v>
      </c>
      <c r="G657" s="5" t="s">
        <v>28</v>
      </c>
      <c r="H657" s="5">
        <v>62</v>
      </c>
      <c r="I657" s="5">
        <v>800</v>
      </c>
      <c r="J657" s="5">
        <v>882</v>
      </c>
      <c r="K657" s="6">
        <f t="shared" si="40"/>
        <v>49600</v>
      </c>
      <c r="L657" s="6">
        <f t="shared" si="41"/>
        <v>54684</v>
      </c>
      <c r="M657" s="6">
        <f t="shared" si="42"/>
        <v>5084</v>
      </c>
      <c r="N657" s="6" t="str">
        <f t="shared" si="43"/>
        <v>profit</v>
      </c>
    </row>
    <row r="658" spans="1:14" ht="15.6" thickTop="1" thickBot="1" x14ac:dyDescent="0.35">
      <c r="A658" s="4">
        <v>45667</v>
      </c>
      <c r="B658" s="4" t="s">
        <v>95</v>
      </c>
      <c r="C658" s="5" t="s">
        <v>366</v>
      </c>
      <c r="D658" s="5" t="s">
        <v>33</v>
      </c>
      <c r="E658" s="5" t="s">
        <v>99</v>
      </c>
      <c r="F658" s="5" t="s">
        <v>39</v>
      </c>
      <c r="G658" s="5" t="s">
        <v>28</v>
      </c>
      <c r="H658" s="5">
        <v>65</v>
      </c>
      <c r="I658" s="5">
        <v>875</v>
      </c>
      <c r="J658" s="5">
        <v>1361</v>
      </c>
      <c r="K658" s="6">
        <f t="shared" si="40"/>
        <v>56875</v>
      </c>
      <c r="L658" s="6">
        <f t="shared" si="41"/>
        <v>88465</v>
      </c>
      <c r="M658" s="6">
        <f t="shared" si="42"/>
        <v>31590</v>
      </c>
      <c r="N658" s="6" t="str">
        <f t="shared" si="43"/>
        <v>profit</v>
      </c>
    </row>
    <row r="659" spans="1:14" ht="15.6" thickTop="1" thickBot="1" x14ac:dyDescent="0.35">
      <c r="A659" s="4">
        <v>45709</v>
      </c>
      <c r="B659" s="4" t="s">
        <v>239</v>
      </c>
      <c r="C659" s="5" t="s">
        <v>254</v>
      </c>
      <c r="D659" s="5" t="s">
        <v>33</v>
      </c>
      <c r="E659" s="5" t="s">
        <v>99</v>
      </c>
      <c r="F659" s="5" t="s">
        <v>153</v>
      </c>
      <c r="G659" s="5" t="s">
        <v>28</v>
      </c>
      <c r="H659" s="5">
        <v>100</v>
      </c>
      <c r="I659" s="5">
        <v>831</v>
      </c>
      <c r="J659" s="5">
        <v>1466</v>
      </c>
      <c r="K659" s="6">
        <f t="shared" si="40"/>
        <v>83100</v>
      </c>
      <c r="L659" s="6">
        <f t="shared" si="41"/>
        <v>146600</v>
      </c>
      <c r="M659" s="6">
        <f t="shared" si="42"/>
        <v>63500</v>
      </c>
      <c r="N659" s="6" t="str">
        <f t="shared" si="43"/>
        <v>profit</v>
      </c>
    </row>
    <row r="660" spans="1:14" ht="15.6" thickTop="1" thickBot="1" x14ac:dyDescent="0.35">
      <c r="A660" s="4">
        <v>45668</v>
      </c>
      <c r="B660" s="4" t="s">
        <v>95</v>
      </c>
      <c r="C660" s="5" t="s">
        <v>367</v>
      </c>
      <c r="D660" s="5" t="s">
        <v>33</v>
      </c>
      <c r="E660" s="5" t="s">
        <v>99</v>
      </c>
      <c r="F660" s="5" t="s">
        <v>39</v>
      </c>
      <c r="G660" s="5" t="s">
        <v>28</v>
      </c>
      <c r="H660" s="5">
        <v>88</v>
      </c>
      <c r="I660" s="5">
        <v>823</v>
      </c>
      <c r="J660" s="5">
        <v>1026</v>
      </c>
      <c r="K660" s="6">
        <f t="shared" si="40"/>
        <v>72424</v>
      </c>
      <c r="L660" s="6">
        <f t="shared" si="41"/>
        <v>90288</v>
      </c>
      <c r="M660" s="6">
        <f t="shared" si="42"/>
        <v>17864</v>
      </c>
      <c r="N660" s="6" t="str">
        <f t="shared" si="43"/>
        <v>profit</v>
      </c>
    </row>
    <row r="661" spans="1:14" ht="15.6" thickTop="1" thickBot="1" x14ac:dyDescent="0.35">
      <c r="A661" s="4">
        <v>45669</v>
      </c>
      <c r="B661" s="4" t="s">
        <v>95</v>
      </c>
      <c r="C661" s="5" t="s">
        <v>368</v>
      </c>
      <c r="D661" s="5" t="s">
        <v>33</v>
      </c>
      <c r="E661" s="5" t="s">
        <v>99</v>
      </c>
      <c r="F661" s="5" t="s">
        <v>64</v>
      </c>
      <c r="G661" s="5" t="s">
        <v>19</v>
      </c>
      <c r="H661" s="5">
        <v>54</v>
      </c>
      <c r="I661" s="5">
        <v>664</v>
      </c>
      <c r="J661" s="5">
        <v>761</v>
      </c>
      <c r="K661" s="6">
        <f t="shared" si="40"/>
        <v>35856</v>
      </c>
      <c r="L661" s="6">
        <f t="shared" si="41"/>
        <v>41094</v>
      </c>
      <c r="M661" s="6">
        <f t="shared" si="42"/>
        <v>5238</v>
      </c>
      <c r="N661" s="6" t="str">
        <f t="shared" si="43"/>
        <v>profit</v>
      </c>
    </row>
    <row r="662" spans="1:14" ht="15.6" thickTop="1" thickBot="1" x14ac:dyDescent="0.35">
      <c r="A662" s="4">
        <v>45670</v>
      </c>
      <c r="B662" s="7" t="s">
        <v>95</v>
      </c>
      <c r="C662" s="8" t="s">
        <v>369</v>
      </c>
      <c r="D662" s="8" t="s">
        <v>33</v>
      </c>
      <c r="E662" s="8" t="s">
        <v>99</v>
      </c>
      <c r="F662" s="8" t="s">
        <v>64</v>
      </c>
      <c r="G662" s="5" t="s">
        <v>28</v>
      </c>
      <c r="H662" s="5">
        <v>52</v>
      </c>
      <c r="I662" s="5">
        <v>538</v>
      </c>
      <c r="J662" s="5">
        <v>1257</v>
      </c>
      <c r="K662" s="6">
        <f t="shared" si="40"/>
        <v>27976</v>
      </c>
      <c r="L662" s="6">
        <f t="shared" si="41"/>
        <v>65364</v>
      </c>
      <c r="M662" s="6">
        <f t="shared" si="42"/>
        <v>37388</v>
      </c>
      <c r="N662" s="6" t="str">
        <f t="shared" si="43"/>
        <v>profit</v>
      </c>
    </row>
    <row r="663" spans="1:14" ht="15.6" thickTop="1" thickBot="1" x14ac:dyDescent="0.35">
      <c r="A663" s="4">
        <v>45672</v>
      </c>
      <c r="B663" s="9" t="s">
        <v>95</v>
      </c>
      <c r="C663" s="10" t="s">
        <v>370</v>
      </c>
      <c r="D663" s="8" t="s">
        <v>33</v>
      </c>
      <c r="E663" s="10" t="s">
        <v>120</v>
      </c>
      <c r="F663" s="8" t="s">
        <v>39</v>
      </c>
      <c r="G663" s="5" t="s">
        <v>28</v>
      </c>
      <c r="H663" s="5">
        <v>81</v>
      </c>
      <c r="I663" s="5">
        <v>556</v>
      </c>
      <c r="J663" s="5">
        <v>1345</v>
      </c>
      <c r="K663" s="6">
        <f t="shared" si="40"/>
        <v>45036</v>
      </c>
      <c r="L663" s="6">
        <f t="shared" si="41"/>
        <v>108945</v>
      </c>
      <c r="M663" s="6">
        <f t="shared" si="42"/>
        <v>63909</v>
      </c>
      <c r="N663" s="6" t="str">
        <f t="shared" si="43"/>
        <v>profit</v>
      </c>
    </row>
    <row r="664" spans="1:14" ht="15.6" thickTop="1" thickBot="1" x14ac:dyDescent="0.35">
      <c r="A664" s="4">
        <v>45673</v>
      </c>
      <c r="B664" s="4" t="s">
        <v>95</v>
      </c>
      <c r="C664" s="5" t="s">
        <v>371</v>
      </c>
      <c r="D664" s="5" t="s">
        <v>33</v>
      </c>
      <c r="E664" s="5" t="s">
        <v>120</v>
      </c>
      <c r="F664" s="5" t="s">
        <v>30</v>
      </c>
      <c r="G664" s="5" t="s">
        <v>28</v>
      </c>
      <c r="H664" s="5">
        <v>72</v>
      </c>
      <c r="I664" s="5">
        <v>608</v>
      </c>
      <c r="J664" s="5">
        <v>1209</v>
      </c>
      <c r="K664" s="6">
        <f t="shared" si="40"/>
        <v>43776</v>
      </c>
      <c r="L664" s="6">
        <f t="shared" si="41"/>
        <v>87048</v>
      </c>
      <c r="M664" s="6">
        <f t="shared" si="42"/>
        <v>43272</v>
      </c>
      <c r="N664" s="6" t="str">
        <f t="shared" si="43"/>
        <v>profit</v>
      </c>
    </row>
    <row r="665" spans="1:14" ht="15.6" thickTop="1" thickBot="1" x14ac:dyDescent="0.35">
      <c r="A665" s="4">
        <v>45674</v>
      </c>
      <c r="B665" s="4" t="s">
        <v>95</v>
      </c>
      <c r="C665" s="5" t="s">
        <v>372</v>
      </c>
      <c r="D665" s="5" t="s">
        <v>33</v>
      </c>
      <c r="E665" s="5" t="s">
        <v>120</v>
      </c>
      <c r="F665" s="5" t="s">
        <v>113</v>
      </c>
      <c r="G665" s="5" t="s">
        <v>19</v>
      </c>
      <c r="H665" s="5">
        <v>61</v>
      </c>
      <c r="I665" s="5">
        <v>994</v>
      </c>
      <c r="J665" s="5">
        <v>886</v>
      </c>
      <c r="K665" s="6">
        <f t="shared" si="40"/>
        <v>60634</v>
      </c>
      <c r="L665" s="6">
        <f t="shared" si="41"/>
        <v>54046</v>
      </c>
      <c r="M665" s="6">
        <f t="shared" si="42"/>
        <v>-6588</v>
      </c>
      <c r="N665" s="6" t="str">
        <f t="shared" si="43"/>
        <v>loss</v>
      </c>
    </row>
    <row r="666" spans="1:14" ht="15.6" thickTop="1" thickBot="1" x14ac:dyDescent="0.35">
      <c r="A666" s="4">
        <v>45675</v>
      </c>
      <c r="B666" s="4" t="s">
        <v>95</v>
      </c>
      <c r="C666" s="5" t="s">
        <v>373</v>
      </c>
      <c r="D666" s="5" t="s">
        <v>33</v>
      </c>
      <c r="E666" s="5" t="s">
        <v>120</v>
      </c>
      <c r="F666" s="5" t="s">
        <v>44</v>
      </c>
      <c r="G666" s="5" t="s">
        <v>19</v>
      </c>
      <c r="H666" s="5">
        <v>57</v>
      </c>
      <c r="I666" s="5">
        <v>566</v>
      </c>
      <c r="J666" s="5">
        <v>830</v>
      </c>
      <c r="K666" s="6">
        <f t="shared" si="40"/>
        <v>32262</v>
      </c>
      <c r="L666" s="6">
        <f t="shared" si="41"/>
        <v>47310</v>
      </c>
      <c r="M666" s="6">
        <f t="shared" si="42"/>
        <v>15048</v>
      </c>
      <c r="N666" s="6" t="str">
        <f t="shared" si="43"/>
        <v>profit</v>
      </c>
    </row>
    <row r="667" spans="1:14" ht="15.6" thickTop="1" thickBot="1" x14ac:dyDescent="0.35">
      <c r="A667" s="4">
        <v>45676</v>
      </c>
      <c r="B667" s="4" t="s">
        <v>95</v>
      </c>
      <c r="C667" s="5" t="s">
        <v>374</v>
      </c>
      <c r="D667" s="5" t="s">
        <v>33</v>
      </c>
      <c r="E667" s="5" t="s">
        <v>120</v>
      </c>
      <c r="F667" s="5" t="s">
        <v>153</v>
      </c>
      <c r="G667" s="5" t="s">
        <v>19</v>
      </c>
      <c r="H667" s="5">
        <v>50</v>
      </c>
      <c r="I667" s="5">
        <v>714</v>
      </c>
      <c r="J667" s="5">
        <v>1071</v>
      </c>
      <c r="K667" s="6">
        <f t="shared" si="40"/>
        <v>35700</v>
      </c>
      <c r="L667" s="6">
        <f t="shared" si="41"/>
        <v>53550</v>
      </c>
      <c r="M667" s="6">
        <f t="shared" si="42"/>
        <v>17850</v>
      </c>
      <c r="N667" s="6" t="str">
        <f t="shared" si="43"/>
        <v>profit</v>
      </c>
    </row>
    <row r="668" spans="1:14" ht="15.6" thickTop="1" thickBot="1" x14ac:dyDescent="0.35">
      <c r="A668" s="4">
        <v>45700</v>
      </c>
      <c r="B668" s="4" t="s">
        <v>239</v>
      </c>
      <c r="C668" s="5" t="s">
        <v>375</v>
      </c>
      <c r="D668" s="5" t="s">
        <v>33</v>
      </c>
      <c r="E668" s="5" t="s">
        <v>99</v>
      </c>
      <c r="F668" s="5" t="s">
        <v>39</v>
      </c>
      <c r="G668" s="5" t="s">
        <v>19</v>
      </c>
      <c r="H668" s="5">
        <v>80</v>
      </c>
      <c r="I668" s="5">
        <v>636</v>
      </c>
      <c r="J668" s="5">
        <v>1259</v>
      </c>
      <c r="K668" s="6">
        <f t="shared" si="40"/>
        <v>50880</v>
      </c>
      <c r="L668" s="6">
        <f t="shared" si="41"/>
        <v>100720</v>
      </c>
      <c r="M668" s="6">
        <f t="shared" si="42"/>
        <v>49840</v>
      </c>
      <c r="N668" s="6" t="str">
        <f t="shared" si="43"/>
        <v>profit</v>
      </c>
    </row>
    <row r="669" spans="1:14" ht="15.6" thickTop="1" thickBot="1" x14ac:dyDescent="0.35">
      <c r="A669" s="4">
        <v>45701</v>
      </c>
      <c r="B669" s="4" t="s">
        <v>239</v>
      </c>
      <c r="C669" s="5" t="s">
        <v>376</v>
      </c>
      <c r="D669" s="5" t="s">
        <v>33</v>
      </c>
      <c r="E669" s="5" t="s">
        <v>99</v>
      </c>
      <c r="F669" s="5" t="s">
        <v>39</v>
      </c>
      <c r="G669" s="5" t="s">
        <v>19</v>
      </c>
      <c r="H669" s="5">
        <v>50</v>
      </c>
      <c r="I669" s="5">
        <v>581</v>
      </c>
      <c r="J669" s="5">
        <v>1380</v>
      </c>
      <c r="K669" s="6">
        <f t="shared" si="40"/>
        <v>29050</v>
      </c>
      <c r="L669" s="6">
        <f t="shared" si="41"/>
        <v>69000</v>
      </c>
      <c r="M669" s="6">
        <f t="shared" si="42"/>
        <v>39950</v>
      </c>
      <c r="N669" s="6" t="str">
        <f t="shared" si="43"/>
        <v>profit</v>
      </c>
    </row>
    <row r="670" spans="1:14" ht="15.6" thickTop="1" thickBot="1" x14ac:dyDescent="0.35">
      <c r="A670" s="4">
        <v>45389</v>
      </c>
      <c r="B670" s="4" t="s">
        <v>31</v>
      </c>
      <c r="C670" s="5" t="s">
        <v>32</v>
      </c>
      <c r="D670" s="5" t="s">
        <v>33</v>
      </c>
      <c r="E670" s="5" t="s">
        <v>34</v>
      </c>
      <c r="F670" s="5" t="s">
        <v>35</v>
      </c>
      <c r="G670" s="5" t="s">
        <v>28</v>
      </c>
      <c r="H670" s="5">
        <v>78</v>
      </c>
      <c r="I670" s="5">
        <v>655</v>
      </c>
      <c r="J670" s="5">
        <v>790</v>
      </c>
      <c r="K670" s="6">
        <f t="shared" si="40"/>
        <v>51090</v>
      </c>
      <c r="L670" s="6">
        <f t="shared" si="41"/>
        <v>61620</v>
      </c>
      <c r="M670" s="6">
        <f t="shared" si="42"/>
        <v>10530</v>
      </c>
      <c r="N670" s="6" t="str">
        <f t="shared" si="43"/>
        <v>profit</v>
      </c>
    </row>
    <row r="671" spans="1:14" ht="15.6" thickTop="1" thickBot="1" x14ac:dyDescent="0.35">
      <c r="A671" s="4">
        <v>45703</v>
      </c>
      <c r="B671" s="4" t="s">
        <v>239</v>
      </c>
      <c r="C671" s="5" t="s">
        <v>377</v>
      </c>
      <c r="D671" s="5" t="s">
        <v>33</v>
      </c>
      <c r="E671" s="5" t="s">
        <v>99</v>
      </c>
      <c r="F671" s="5" t="s">
        <v>64</v>
      </c>
      <c r="G671" s="5" t="s">
        <v>19</v>
      </c>
      <c r="H671" s="5">
        <v>78</v>
      </c>
      <c r="I671" s="5">
        <v>964</v>
      </c>
      <c r="J671" s="5">
        <v>1264</v>
      </c>
      <c r="K671" s="6">
        <f t="shared" si="40"/>
        <v>75192</v>
      </c>
      <c r="L671" s="6">
        <f t="shared" si="41"/>
        <v>98592</v>
      </c>
      <c r="M671" s="6">
        <f t="shared" si="42"/>
        <v>23400</v>
      </c>
      <c r="N671" s="6" t="str">
        <f t="shared" si="43"/>
        <v>profit</v>
      </c>
    </row>
    <row r="672" spans="1:14" ht="15.6" thickTop="1" thickBot="1" x14ac:dyDescent="0.35">
      <c r="A672" s="4">
        <v>45704</v>
      </c>
      <c r="B672" s="4" t="s">
        <v>239</v>
      </c>
      <c r="C672" s="5" t="s">
        <v>378</v>
      </c>
      <c r="D672" s="5" t="s">
        <v>33</v>
      </c>
      <c r="E672" s="5" t="s">
        <v>99</v>
      </c>
      <c r="F672" s="5" t="s">
        <v>60</v>
      </c>
      <c r="G672" s="5" t="s">
        <v>28</v>
      </c>
      <c r="H672" s="5">
        <v>97</v>
      </c>
      <c r="I672" s="5">
        <v>982</v>
      </c>
      <c r="J672" s="5">
        <v>1243</v>
      </c>
      <c r="K672" s="6">
        <f t="shared" si="40"/>
        <v>95254</v>
      </c>
      <c r="L672" s="6">
        <f t="shared" si="41"/>
        <v>120571</v>
      </c>
      <c r="M672" s="6">
        <f t="shared" si="42"/>
        <v>25317</v>
      </c>
      <c r="N672" s="6" t="str">
        <f t="shared" si="43"/>
        <v>profit</v>
      </c>
    </row>
    <row r="673" spans="1:14" ht="15.6" thickTop="1" thickBot="1" x14ac:dyDescent="0.35">
      <c r="A673" s="4">
        <v>45705</v>
      </c>
      <c r="B673" s="4" t="s">
        <v>239</v>
      </c>
      <c r="C673" s="5" t="s">
        <v>379</v>
      </c>
      <c r="D673" s="5" t="s">
        <v>33</v>
      </c>
      <c r="E673" s="5" t="s">
        <v>99</v>
      </c>
      <c r="F673" s="5" t="s">
        <v>39</v>
      </c>
      <c r="G673" s="5" t="s">
        <v>28</v>
      </c>
      <c r="H673" s="5">
        <v>93</v>
      </c>
      <c r="I673" s="5">
        <v>736</v>
      </c>
      <c r="J673" s="5">
        <v>864</v>
      </c>
      <c r="K673" s="6">
        <f t="shared" si="40"/>
        <v>68448</v>
      </c>
      <c r="L673" s="6">
        <f t="shared" si="41"/>
        <v>80352</v>
      </c>
      <c r="M673" s="6">
        <f t="shared" si="42"/>
        <v>11904</v>
      </c>
      <c r="N673" s="6" t="str">
        <f t="shared" si="43"/>
        <v>profit</v>
      </c>
    </row>
    <row r="674" spans="1:14" ht="15.6" thickTop="1" thickBot="1" x14ac:dyDescent="0.35">
      <c r="A674" s="4">
        <v>45706</v>
      </c>
      <c r="B674" s="4" t="s">
        <v>239</v>
      </c>
      <c r="C674" s="5" t="s">
        <v>380</v>
      </c>
      <c r="D674" s="5" t="s">
        <v>33</v>
      </c>
      <c r="E674" s="5" t="s">
        <v>99</v>
      </c>
      <c r="F674" s="5" t="s">
        <v>30</v>
      </c>
      <c r="G674" s="5" t="s">
        <v>28</v>
      </c>
      <c r="H674" s="5">
        <v>51</v>
      </c>
      <c r="I674" s="5">
        <v>608</v>
      </c>
      <c r="J674" s="5">
        <v>1179</v>
      </c>
      <c r="K674" s="6">
        <f t="shared" si="40"/>
        <v>31008</v>
      </c>
      <c r="L674" s="6">
        <f t="shared" si="41"/>
        <v>60129</v>
      </c>
      <c r="M674" s="6">
        <f t="shared" si="42"/>
        <v>29121</v>
      </c>
      <c r="N674" s="6" t="str">
        <f t="shared" si="43"/>
        <v>profit</v>
      </c>
    </row>
    <row r="675" spans="1:14" ht="15.6" thickTop="1" thickBot="1" x14ac:dyDescent="0.35">
      <c r="A675" s="4">
        <v>45707</v>
      </c>
      <c r="B675" s="4" t="s">
        <v>239</v>
      </c>
      <c r="C675" s="5" t="s">
        <v>381</v>
      </c>
      <c r="D675" s="5" t="s">
        <v>33</v>
      </c>
      <c r="E675" s="5" t="s">
        <v>99</v>
      </c>
      <c r="F675" s="5" t="s">
        <v>113</v>
      </c>
      <c r="G675" s="5" t="s">
        <v>28</v>
      </c>
      <c r="H675" s="5">
        <v>95</v>
      </c>
      <c r="I675" s="5">
        <v>642</v>
      </c>
      <c r="J675" s="5">
        <v>796</v>
      </c>
      <c r="K675" s="6">
        <f t="shared" si="40"/>
        <v>60990</v>
      </c>
      <c r="L675" s="6">
        <f t="shared" si="41"/>
        <v>75620</v>
      </c>
      <c r="M675" s="6">
        <f t="shared" si="42"/>
        <v>14630</v>
      </c>
      <c r="N675" s="6" t="str">
        <f t="shared" si="43"/>
        <v>profit</v>
      </c>
    </row>
    <row r="676" spans="1:14" ht="15.6" thickTop="1" thickBot="1" x14ac:dyDescent="0.35">
      <c r="A676" s="4">
        <v>45395</v>
      </c>
      <c r="B676" s="4" t="s">
        <v>31</v>
      </c>
      <c r="C676" s="5" t="s">
        <v>45</v>
      </c>
      <c r="D676" s="5" t="s">
        <v>46</v>
      </c>
      <c r="E676" s="5" t="s">
        <v>47</v>
      </c>
      <c r="F676" s="5" t="s">
        <v>44</v>
      </c>
      <c r="G676" s="5" t="s">
        <v>19</v>
      </c>
      <c r="H676" s="5">
        <v>22</v>
      </c>
      <c r="I676" s="5">
        <v>755</v>
      </c>
      <c r="J676" s="5">
        <v>996</v>
      </c>
      <c r="K676" s="6">
        <f t="shared" si="40"/>
        <v>16610</v>
      </c>
      <c r="L676" s="6">
        <f t="shared" si="41"/>
        <v>21912</v>
      </c>
      <c r="M676" s="6">
        <f t="shared" si="42"/>
        <v>5302</v>
      </c>
      <c r="N676" s="6" t="str">
        <f t="shared" si="43"/>
        <v>profit</v>
      </c>
    </row>
    <row r="677" spans="1:14" ht="15.6" thickTop="1" thickBot="1" x14ac:dyDescent="0.35">
      <c r="A677" s="4">
        <v>45708</v>
      </c>
      <c r="B677" s="4" t="s">
        <v>239</v>
      </c>
      <c r="C677" s="5" t="s">
        <v>382</v>
      </c>
      <c r="D677" s="5" t="s">
        <v>33</v>
      </c>
      <c r="E677" s="5" t="s">
        <v>99</v>
      </c>
      <c r="F677" s="5" t="s">
        <v>44</v>
      </c>
      <c r="G677" s="5" t="s">
        <v>19</v>
      </c>
      <c r="H677" s="5">
        <v>90</v>
      </c>
      <c r="I677" s="5">
        <v>713</v>
      </c>
      <c r="J677" s="5">
        <v>1148</v>
      </c>
      <c r="K677" s="6">
        <f t="shared" si="40"/>
        <v>64170</v>
      </c>
      <c r="L677" s="6">
        <f t="shared" si="41"/>
        <v>103320</v>
      </c>
      <c r="M677" s="6">
        <f t="shared" si="42"/>
        <v>39150</v>
      </c>
      <c r="N677" s="6" t="str">
        <f t="shared" si="43"/>
        <v>profit</v>
      </c>
    </row>
    <row r="678" spans="1:14" ht="15.6" thickTop="1" thickBot="1" x14ac:dyDescent="0.35">
      <c r="A678" s="4">
        <v>45710</v>
      </c>
      <c r="B678" s="4" t="s">
        <v>239</v>
      </c>
      <c r="C678" s="5" t="s">
        <v>383</v>
      </c>
      <c r="D678" s="5" t="s">
        <v>33</v>
      </c>
      <c r="E678" s="5" t="s">
        <v>99</v>
      </c>
      <c r="F678" s="5" t="s">
        <v>155</v>
      </c>
      <c r="G678" s="5" t="s">
        <v>28</v>
      </c>
      <c r="H678" s="5">
        <v>81</v>
      </c>
      <c r="I678" s="5">
        <v>813</v>
      </c>
      <c r="J678" s="5">
        <v>1428</v>
      </c>
      <c r="K678" s="6">
        <f t="shared" si="40"/>
        <v>65853</v>
      </c>
      <c r="L678" s="6">
        <f t="shared" si="41"/>
        <v>115668</v>
      </c>
      <c r="M678" s="6">
        <f t="shared" si="42"/>
        <v>49815</v>
      </c>
      <c r="N678" s="6" t="str">
        <f t="shared" si="43"/>
        <v>profit</v>
      </c>
    </row>
    <row r="679" spans="1:14" ht="15.6" thickTop="1" thickBot="1" x14ac:dyDescent="0.35">
      <c r="A679" s="4">
        <v>45711</v>
      </c>
      <c r="B679" s="4" t="s">
        <v>239</v>
      </c>
      <c r="C679" s="5" t="s">
        <v>384</v>
      </c>
      <c r="D679" s="5" t="s">
        <v>33</v>
      </c>
      <c r="E679" s="5" t="s">
        <v>99</v>
      </c>
      <c r="F679" s="5" t="s">
        <v>18</v>
      </c>
      <c r="G679" s="5" t="s">
        <v>28</v>
      </c>
      <c r="H679" s="5">
        <v>57</v>
      </c>
      <c r="I679" s="5">
        <v>912</v>
      </c>
      <c r="J679" s="5">
        <v>1246</v>
      </c>
      <c r="K679" s="6">
        <f t="shared" si="40"/>
        <v>51984</v>
      </c>
      <c r="L679" s="6">
        <f t="shared" si="41"/>
        <v>71022</v>
      </c>
      <c r="M679" s="6">
        <f t="shared" si="42"/>
        <v>19038</v>
      </c>
      <c r="N679" s="6" t="str">
        <f t="shared" si="43"/>
        <v>profit</v>
      </c>
    </row>
    <row r="680" spans="1:14" ht="15.6" thickTop="1" thickBot="1" x14ac:dyDescent="0.35">
      <c r="A680" s="4">
        <v>45712</v>
      </c>
      <c r="B680" s="4" t="s">
        <v>239</v>
      </c>
      <c r="C680" s="5" t="s">
        <v>385</v>
      </c>
      <c r="D680" s="5" t="s">
        <v>33</v>
      </c>
      <c r="E680" s="5" t="s">
        <v>120</v>
      </c>
      <c r="F680" s="5" t="s">
        <v>21</v>
      </c>
      <c r="G680" s="5" t="s">
        <v>28</v>
      </c>
      <c r="H680" s="5">
        <v>61</v>
      </c>
      <c r="I680" s="5">
        <v>565</v>
      </c>
      <c r="J680" s="5">
        <v>1212</v>
      </c>
      <c r="K680" s="6">
        <f t="shared" si="40"/>
        <v>34465</v>
      </c>
      <c r="L680" s="6">
        <f t="shared" si="41"/>
        <v>73932</v>
      </c>
      <c r="M680" s="6">
        <f t="shared" si="42"/>
        <v>39467</v>
      </c>
      <c r="N680" s="6" t="str">
        <f t="shared" si="43"/>
        <v>profit</v>
      </c>
    </row>
    <row r="681" spans="1:14" ht="15.6" thickTop="1" thickBot="1" x14ac:dyDescent="0.35">
      <c r="A681" s="4">
        <v>45713</v>
      </c>
      <c r="B681" s="4" t="s">
        <v>239</v>
      </c>
      <c r="C681" s="5" t="s">
        <v>386</v>
      </c>
      <c r="D681" s="5" t="s">
        <v>33</v>
      </c>
      <c r="E681" s="5" t="s">
        <v>387</v>
      </c>
      <c r="F681" s="5" t="s">
        <v>21</v>
      </c>
      <c r="G681" s="5" t="s">
        <v>28</v>
      </c>
      <c r="H681" s="5">
        <v>62</v>
      </c>
      <c r="I681" s="5">
        <v>805</v>
      </c>
      <c r="J681" s="5">
        <v>1163</v>
      </c>
      <c r="K681" s="6">
        <f t="shared" si="40"/>
        <v>49910</v>
      </c>
      <c r="L681" s="6">
        <f t="shared" si="41"/>
        <v>72106</v>
      </c>
      <c r="M681" s="6">
        <f t="shared" si="42"/>
        <v>22196</v>
      </c>
      <c r="N681" s="6" t="str">
        <f t="shared" si="43"/>
        <v>profit</v>
      </c>
    </row>
    <row r="682" spans="1:14" ht="15.6" thickTop="1" thickBot="1" x14ac:dyDescent="0.35">
      <c r="A682" s="4">
        <v>45387</v>
      </c>
      <c r="B682" s="4" t="s">
        <v>31</v>
      </c>
      <c r="C682" s="5" t="s">
        <v>255</v>
      </c>
      <c r="D682" s="5" t="s">
        <v>33</v>
      </c>
      <c r="E682" s="5" t="s">
        <v>34</v>
      </c>
      <c r="F682" s="5" t="s">
        <v>76</v>
      </c>
      <c r="G682" s="5" t="s">
        <v>28</v>
      </c>
      <c r="H682" s="5">
        <v>74</v>
      </c>
      <c r="I682" s="5">
        <v>743</v>
      </c>
      <c r="J682" s="5">
        <v>1265</v>
      </c>
      <c r="K682" s="6">
        <f t="shared" si="40"/>
        <v>54982</v>
      </c>
      <c r="L682" s="6">
        <f t="shared" si="41"/>
        <v>93610</v>
      </c>
      <c r="M682" s="6">
        <f t="shared" si="42"/>
        <v>38628</v>
      </c>
      <c r="N682" s="6" t="str">
        <f t="shared" si="43"/>
        <v>profit</v>
      </c>
    </row>
    <row r="683" spans="1:14" ht="15.6" thickTop="1" thickBot="1" x14ac:dyDescent="0.35">
      <c r="A683" s="4">
        <v>45388</v>
      </c>
      <c r="B683" s="4" t="s">
        <v>31</v>
      </c>
      <c r="C683" s="5" t="s">
        <v>256</v>
      </c>
      <c r="D683" s="5" t="s">
        <v>33</v>
      </c>
      <c r="E683" s="5" t="s">
        <v>34</v>
      </c>
      <c r="F683" s="5" t="s">
        <v>78</v>
      </c>
      <c r="G683" s="5" t="s">
        <v>28</v>
      </c>
      <c r="H683" s="5">
        <v>83</v>
      </c>
      <c r="I683" s="5">
        <v>594</v>
      </c>
      <c r="J683" s="5">
        <v>852</v>
      </c>
      <c r="K683" s="6">
        <f t="shared" si="40"/>
        <v>49302</v>
      </c>
      <c r="L683" s="6">
        <f t="shared" si="41"/>
        <v>70716</v>
      </c>
      <c r="M683" s="6">
        <f t="shared" si="42"/>
        <v>21414</v>
      </c>
      <c r="N683" s="6" t="str">
        <f t="shared" si="43"/>
        <v>profit</v>
      </c>
    </row>
    <row r="684" spans="1:14" ht="15.6" thickTop="1" thickBot="1" x14ac:dyDescent="0.35">
      <c r="A684" s="4">
        <v>45390</v>
      </c>
      <c r="B684" s="4" t="s">
        <v>31</v>
      </c>
      <c r="C684" s="5" t="s">
        <v>257</v>
      </c>
      <c r="D684" s="5" t="s">
        <v>33</v>
      </c>
      <c r="E684" s="5" t="s">
        <v>34</v>
      </c>
      <c r="F684" s="5" t="s">
        <v>44</v>
      </c>
      <c r="G684" s="5" t="s">
        <v>28</v>
      </c>
      <c r="H684" s="5">
        <v>70</v>
      </c>
      <c r="I684" s="5">
        <v>878</v>
      </c>
      <c r="J684" s="5">
        <v>844</v>
      </c>
      <c r="K684" s="6">
        <f t="shared" si="40"/>
        <v>61460</v>
      </c>
      <c r="L684" s="6">
        <f t="shared" si="41"/>
        <v>59080</v>
      </c>
      <c r="M684" s="6">
        <f t="shared" si="42"/>
        <v>-2380</v>
      </c>
      <c r="N684" s="6" t="str">
        <f t="shared" si="43"/>
        <v>loss</v>
      </c>
    </row>
    <row r="685" spans="1:14" ht="15.6" thickTop="1" thickBot="1" x14ac:dyDescent="0.35">
      <c r="A685" s="4">
        <v>45397</v>
      </c>
      <c r="B685" s="4" t="s">
        <v>31</v>
      </c>
      <c r="C685" s="5" t="s">
        <v>258</v>
      </c>
      <c r="D685" s="5" t="s">
        <v>33</v>
      </c>
      <c r="E685" s="5" t="s">
        <v>163</v>
      </c>
      <c r="F685" s="5" t="s">
        <v>44</v>
      </c>
      <c r="G685" s="5" t="s">
        <v>19</v>
      </c>
      <c r="H685" s="5">
        <v>57</v>
      </c>
      <c r="I685" s="5">
        <v>724</v>
      </c>
      <c r="J685" s="5">
        <v>839</v>
      </c>
      <c r="K685" s="6">
        <f t="shared" si="40"/>
        <v>41268</v>
      </c>
      <c r="L685" s="6">
        <f t="shared" si="41"/>
        <v>47823</v>
      </c>
      <c r="M685" s="6">
        <f t="shared" si="42"/>
        <v>6555</v>
      </c>
      <c r="N685" s="6" t="str">
        <f t="shared" si="43"/>
        <v>profit</v>
      </c>
    </row>
    <row r="686" spans="1:14" ht="15.6" thickTop="1" thickBot="1" x14ac:dyDescent="0.35">
      <c r="A686" s="4">
        <v>45405</v>
      </c>
      <c r="B686" s="4" t="s">
        <v>31</v>
      </c>
      <c r="C686" s="5" t="s">
        <v>62</v>
      </c>
      <c r="D686" s="5" t="s">
        <v>46</v>
      </c>
      <c r="E686" s="5" t="s">
        <v>63</v>
      </c>
      <c r="F686" s="5" t="s">
        <v>64</v>
      </c>
      <c r="G686" s="5" t="s">
        <v>28</v>
      </c>
      <c r="H686" s="5">
        <v>23</v>
      </c>
      <c r="I686" s="5">
        <v>627</v>
      </c>
      <c r="J686" s="5">
        <v>855</v>
      </c>
      <c r="K686" s="6">
        <f t="shared" si="40"/>
        <v>14421</v>
      </c>
      <c r="L686" s="6">
        <f t="shared" si="41"/>
        <v>19665</v>
      </c>
      <c r="M686" s="6">
        <f t="shared" si="42"/>
        <v>5244</v>
      </c>
      <c r="N686" s="6" t="str">
        <f t="shared" si="43"/>
        <v>profit</v>
      </c>
    </row>
    <row r="687" spans="1:14" ht="15.6" thickTop="1" thickBot="1" x14ac:dyDescent="0.35">
      <c r="A687" s="4">
        <v>45398</v>
      </c>
      <c r="B687" s="4" t="s">
        <v>31</v>
      </c>
      <c r="C687" s="5" t="s">
        <v>259</v>
      </c>
      <c r="D687" s="5" t="s">
        <v>33</v>
      </c>
      <c r="E687" s="5" t="s">
        <v>163</v>
      </c>
      <c r="F687" s="5" t="s">
        <v>49</v>
      </c>
      <c r="G687" s="5" t="s">
        <v>19</v>
      </c>
      <c r="H687" s="5">
        <v>50</v>
      </c>
      <c r="I687" s="5">
        <v>537</v>
      </c>
      <c r="J687" s="5">
        <v>1172</v>
      </c>
      <c r="K687" s="6">
        <f t="shared" si="40"/>
        <v>26850</v>
      </c>
      <c r="L687" s="6">
        <f t="shared" si="41"/>
        <v>58600</v>
      </c>
      <c r="M687" s="6">
        <f t="shared" si="42"/>
        <v>31750</v>
      </c>
      <c r="N687" s="6" t="str">
        <f t="shared" si="43"/>
        <v>profit</v>
      </c>
    </row>
    <row r="688" spans="1:14" ht="15.6" thickTop="1" thickBot="1" x14ac:dyDescent="0.35">
      <c r="A688" s="4">
        <v>45407</v>
      </c>
      <c r="B688" s="4" t="s">
        <v>31</v>
      </c>
      <c r="C688" s="5" t="s">
        <v>66</v>
      </c>
      <c r="D688" s="5" t="s">
        <v>46</v>
      </c>
      <c r="E688" s="5" t="s">
        <v>63</v>
      </c>
      <c r="F688" s="5" t="s">
        <v>60</v>
      </c>
      <c r="G688" s="5" t="s">
        <v>19</v>
      </c>
      <c r="H688" s="5">
        <v>23</v>
      </c>
      <c r="I688" s="5">
        <v>938</v>
      </c>
      <c r="J688" s="5">
        <v>1336</v>
      </c>
      <c r="K688" s="6">
        <f t="shared" si="40"/>
        <v>21574</v>
      </c>
      <c r="L688" s="6">
        <f t="shared" si="41"/>
        <v>30728</v>
      </c>
      <c r="M688" s="6">
        <f t="shared" si="42"/>
        <v>9154</v>
      </c>
      <c r="N688" s="6" t="str">
        <f t="shared" si="43"/>
        <v>profit</v>
      </c>
    </row>
    <row r="689" spans="1:14" ht="15.6" thickTop="1" thickBot="1" x14ac:dyDescent="0.35">
      <c r="A689" s="4">
        <v>45399</v>
      </c>
      <c r="B689" s="4" t="s">
        <v>31</v>
      </c>
      <c r="C689" s="5" t="s">
        <v>260</v>
      </c>
      <c r="D689" s="5" t="s">
        <v>33</v>
      </c>
      <c r="E689" s="5" t="s">
        <v>163</v>
      </c>
      <c r="F689" s="5" t="s">
        <v>27</v>
      </c>
      <c r="G689" s="5" t="s">
        <v>19</v>
      </c>
      <c r="H689" s="5">
        <v>67</v>
      </c>
      <c r="I689" s="5">
        <v>989</v>
      </c>
      <c r="J689" s="5">
        <v>956</v>
      </c>
      <c r="K689" s="6">
        <f t="shared" si="40"/>
        <v>66263</v>
      </c>
      <c r="L689" s="6">
        <f t="shared" si="41"/>
        <v>64052</v>
      </c>
      <c r="M689" s="6">
        <f t="shared" si="42"/>
        <v>-2211</v>
      </c>
      <c r="N689" s="6" t="str">
        <f t="shared" si="43"/>
        <v>loss</v>
      </c>
    </row>
    <row r="690" spans="1:14" ht="15.6" thickTop="1" thickBot="1" x14ac:dyDescent="0.35">
      <c r="A690" s="4">
        <v>45400</v>
      </c>
      <c r="B690" s="4" t="s">
        <v>31</v>
      </c>
      <c r="C690" s="5" t="s">
        <v>261</v>
      </c>
      <c r="D690" s="5" t="s">
        <v>33</v>
      </c>
      <c r="E690" s="5" t="s">
        <v>163</v>
      </c>
      <c r="F690" s="5" t="s">
        <v>52</v>
      </c>
      <c r="G690" s="5" t="s">
        <v>19</v>
      </c>
      <c r="H690" s="5">
        <v>83</v>
      </c>
      <c r="I690" s="5">
        <v>917</v>
      </c>
      <c r="J690" s="5">
        <v>989</v>
      </c>
      <c r="K690" s="6">
        <f t="shared" si="40"/>
        <v>76111</v>
      </c>
      <c r="L690" s="6">
        <f t="shared" si="41"/>
        <v>82087</v>
      </c>
      <c r="M690" s="6">
        <f t="shared" si="42"/>
        <v>5976</v>
      </c>
      <c r="N690" s="6" t="str">
        <f t="shared" si="43"/>
        <v>profit</v>
      </c>
    </row>
    <row r="691" spans="1:14" ht="15.6" thickTop="1" thickBot="1" x14ac:dyDescent="0.35">
      <c r="A691" s="4">
        <v>45401</v>
      </c>
      <c r="B691" s="4" t="s">
        <v>31</v>
      </c>
      <c r="C691" s="5" t="s">
        <v>262</v>
      </c>
      <c r="D691" s="5" t="s">
        <v>33</v>
      </c>
      <c r="E691" s="5" t="s">
        <v>163</v>
      </c>
      <c r="F691" s="5" t="s">
        <v>54</v>
      </c>
      <c r="G691" s="5" t="s">
        <v>19</v>
      </c>
      <c r="H691" s="5">
        <v>74</v>
      </c>
      <c r="I691" s="5">
        <v>645</v>
      </c>
      <c r="J691" s="5">
        <v>879</v>
      </c>
      <c r="K691" s="6">
        <f t="shared" si="40"/>
        <v>47730</v>
      </c>
      <c r="L691" s="6">
        <f t="shared" si="41"/>
        <v>65046</v>
      </c>
      <c r="M691" s="6">
        <f t="shared" si="42"/>
        <v>17316</v>
      </c>
      <c r="N691" s="6" t="str">
        <f t="shared" si="43"/>
        <v>profit</v>
      </c>
    </row>
    <row r="692" spans="1:14" ht="15.6" thickTop="1" thickBot="1" x14ac:dyDescent="0.35">
      <c r="A692" s="4">
        <v>45402</v>
      </c>
      <c r="B692" s="4" t="s">
        <v>31</v>
      </c>
      <c r="C692" s="5" t="s">
        <v>263</v>
      </c>
      <c r="D692" s="5" t="s">
        <v>33</v>
      </c>
      <c r="E692" s="5" t="s">
        <v>163</v>
      </c>
      <c r="F692" s="5" t="s">
        <v>35</v>
      </c>
      <c r="G692" s="5" t="s">
        <v>28</v>
      </c>
      <c r="H692" s="5">
        <v>76</v>
      </c>
      <c r="I692" s="5">
        <v>943</v>
      </c>
      <c r="J692" s="5">
        <v>1394</v>
      </c>
      <c r="K692" s="6">
        <f t="shared" si="40"/>
        <v>71668</v>
      </c>
      <c r="L692" s="6">
        <f t="shared" si="41"/>
        <v>105944</v>
      </c>
      <c r="M692" s="6">
        <f t="shared" si="42"/>
        <v>34276</v>
      </c>
      <c r="N692" s="6" t="str">
        <f t="shared" si="43"/>
        <v>profit</v>
      </c>
    </row>
    <row r="693" spans="1:14" ht="15.6" thickTop="1" thickBot="1" x14ac:dyDescent="0.35">
      <c r="A693" s="4">
        <v>45403</v>
      </c>
      <c r="B693" s="4" t="s">
        <v>31</v>
      </c>
      <c r="C693" s="5" t="s">
        <v>264</v>
      </c>
      <c r="D693" s="5" t="s">
        <v>33</v>
      </c>
      <c r="E693" s="5" t="s">
        <v>163</v>
      </c>
      <c r="F693" s="5" t="s">
        <v>39</v>
      </c>
      <c r="G693" s="5" t="s">
        <v>28</v>
      </c>
      <c r="H693" s="5">
        <v>85</v>
      </c>
      <c r="I693" s="5">
        <v>505</v>
      </c>
      <c r="J693" s="5">
        <v>1435</v>
      </c>
      <c r="K693" s="6">
        <f t="shared" si="40"/>
        <v>42925</v>
      </c>
      <c r="L693" s="6">
        <f t="shared" si="41"/>
        <v>121975</v>
      </c>
      <c r="M693" s="6">
        <f t="shared" si="42"/>
        <v>79050</v>
      </c>
      <c r="N693" s="6" t="str">
        <f t="shared" si="43"/>
        <v>profit</v>
      </c>
    </row>
    <row r="694" spans="1:14" ht="15.6" thickTop="1" thickBot="1" x14ac:dyDescent="0.35">
      <c r="A694" s="4">
        <v>45431</v>
      </c>
      <c r="B694" s="4" t="s">
        <v>97</v>
      </c>
      <c r="C694" s="5" t="s">
        <v>265</v>
      </c>
      <c r="D694" s="5" t="s">
        <v>33</v>
      </c>
      <c r="E694" s="5" t="s">
        <v>99</v>
      </c>
      <c r="F694" s="5" t="s">
        <v>60</v>
      </c>
      <c r="G694" s="5" t="s">
        <v>28</v>
      </c>
      <c r="H694" s="5">
        <v>82</v>
      </c>
      <c r="I694" s="5">
        <v>928</v>
      </c>
      <c r="J694" s="5">
        <v>1428</v>
      </c>
      <c r="K694" s="6">
        <f t="shared" si="40"/>
        <v>76096</v>
      </c>
      <c r="L694" s="6">
        <f t="shared" si="41"/>
        <v>117096</v>
      </c>
      <c r="M694" s="6">
        <f t="shared" si="42"/>
        <v>41000</v>
      </c>
      <c r="N694" s="6" t="str">
        <f t="shared" si="43"/>
        <v>profit</v>
      </c>
    </row>
    <row r="695" spans="1:14" ht="15.6" thickTop="1" thickBot="1" x14ac:dyDescent="0.35">
      <c r="A695" s="4">
        <v>45433</v>
      </c>
      <c r="B695" s="4" t="s">
        <v>97</v>
      </c>
      <c r="C695" s="5" t="s">
        <v>266</v>
      </c>
      <c r="D695" s="5" t="s">
        <v>33</v>
      </c>
      <c r="E695" s="5" t="s">
        <v>99</v>
      </c>
      <c r="F695" s="5" t="s">
        <v>39</v>
      </c>
      <c r="G695" s="5" t="s">
        <v>19</v>
      </c>
      <c r="H695" s="5">
        <v>72</v>
      </c>
      <c r="I695" s="5">
        <v>605</v>
      </c>
      <c r="J695" s="5">
        <v>1081</v>
      </c>
      <c r="K695" s="6">
        <f t="shared" si="40"/>
        <v>43560</v>
      </c>
      <c r="L695" s="6">
        <f t="shared" si="41"/>
        <v>77832</v>
      </c>
      <c r="M695" s="6">
        <f t="shared" si="42"/>
        <v>34272</v>
      </c>
      <c r="N695" s="6" t="str">
        <f t="shared" si="43"/>
        <v>profit</v>
      </c>
    </row>
    <row r="696" spans="1:14" ht="15.6" thickTop="1" thickBot="1" x14ac:dyDescent="0.35">
      <c r="A696" s="4">
        <v>45434</v>
      </c>
      <c r="B696" s="4" t="s">
        <v>97</v>
      </c>
      <c r="C696" s="5" t="s">
        <v>267</v>
      </c>
      <c r="D696" s="5" t="s">
        <v>33</v>
      </c>
      <c r="E696" s="5" t="s">
        <v>99</v>
      </c>
      <c r="F696" s="5" t="s">
        <v>39</v>
      </c>
      <c r="G696" s="5" t="s">
        <v>19</v>
      </c>
      <c r="H696" s="5">
        <v>82</v>
      </c>
      <c r="I696" s="5">
        <v>993</v>
      </c>
      <c r="J696" s="5">
        <v>823</v>
      </c>
      <c r="K696" s="6">
        <f t="shared" si="40"/>
        <v>81426</v>
      </c>
      <c r="L696" s="6">
        <f t="shared" si="41"/>
        <v>67486</v>
      </c>
      <c r="M696" s="6">
        <f t="shared" si="42"/>
        <v>-13940</v>
      </c>
      <c r="N696" s="6" t="str">
        <f t="shared" si="43"/>
        <v>loss</v>
      </c>
    </row>
    <row r="697" spans="1:14" ht="15.6" thickTop="1" thickBot="1" x14ac:dyDescent="0.35">
      <c r="A697" s="4">
        <v>45435</v>
      </c>
      <c r="B697" s="4" t="s">
        <v>97</v>
      </c>
      <c r="C697" s="5" t="s">
        <v>268</v>
      </c>
      <c r="D697" s="5" t="s">
        <v>33</v>
      </c>
      <c r="E697" s="5" t="s">
        <v>99</v>
      </c>
      <c r="F697" s="5" t="s">
        <v>44</v>
      </c>
      <c r="G697" s="5" t="s">
        <v>19</v>
      </c>
      <c r="H697" s="5">
        <v>53</v>
      </c>
      <c r="I697" s="5">
        <v>803</v>
      </c>
      <c r="J697" s="5">
        <v>1335</v>
      </c>
      <c r="K697" s="6">
        <f t="shared" si="40"/>
        <v>42559</v>
      </c>
      <c r="L697" s="6">
        <f t="shared" si="41"/>
        <v>70755</v>
      </c>
      <c r="M697" s="6">
        <f t="shared" si="42"/>
        <v>28196</v>
      </c>
      <c r="N697" s="6" t="str">
        <f t="shared" si="43"/>
        <v>profit</v>
      </c>
    </row>
    <row r="698" spans="1:14" ht="15.6" thickTop="1" thickBot="1" x14ac:dyDescent="0.35">
      <c r="A698" s="4">
        <v>45436</v>
      </c>
      <c r="B698" s="4" t="s">
        <v>97</v>
      </c>
      <c r="C698" s="5" t="s">
        <v>269</v>
      </c>
      <c r="D698" s="5" t="s">
        <v>33</v>
      </c>
      <c r="E698" s="5" t="s">
        <v>99</v>
      </c>
      <c r="F698" s="5" t="s">
        <v>27</v>
      </c>
      <c r="G698" s="5" t="s">
        <v>19</v>
      </c>
      <c r="H698" s="5">
        <v>87</v>
      </c>
      <c r="I698" s="5">
        <v>742</v>
      </c>
      <c r="J698" s="5">
        <v>856</v>
      </c>
      <c r="K698" s="6">
        <f t="shared" si="40"/>
        <v>64554</v>
      </c>
      <c r="L698" s="6">
        <f t="shared" si="41"/>
        <v>74472</v>
      </c>
      <c r="M698" s="6">
        <f t="shared" si="42"/>
        <v>9918</v>
      </c>
      <c r="N698" s="6" t="str">
        <f t="shared" si="43"/>
        <v>profit</v>
      </c>
    </row>
    <row r="699" spans="1:14" ht="15.6" thickTop="1" thickBot="1" x14ac:dyDescent="0.35">
      <c r="A699" s="4">
        <v>45437</v>
      </c>
      <c r="B699" s="4" t="s">
        <v>97</v>
      </c>
      <c r="C699" s="5" t="s">
        <v>270</v>
      </c>
      <c r="D699" s="5" t="s">
        <v>33</v>
      </c>
      <c r="E699" s="5" t="s">
        <v>99</v>
      </c>
      <c r="F699" s="5" t="s">
        <v>44</v>
      </c>
      <c r="G699" s="5" t="s">
        <v>19</v>
      </c>
      <c r="H699" s="5">
        <v>70</v>
      </c>
      <c r="I699" s="5">
        <v>605</v>
      </c>
      <c r="J699" s="5">
        <v>1489</v>
      </c>
      <c r="K699" s="6">
        <f t="shared" si="40"/>
        <v>42350</v>
      </c>
      <c r="L699" s="6">
        <f t="shared" si="41"/>
        <v>104230</v>
      </c>
      <c r="M699" s="6">
        <f t="shared" si="42"/>
        <v>61880</v>
      </c>
      <c r="N699" s="6" t="str">
        <f t="shared" si="43"/>
        <v>profit</v>
      </c>
    </row>
    <row r="700" spans="1:14" ht="15.6" thickTop="1" thickBot="1" x14ac:dyDescent="0.35">
      <c r="A700" s="4">
        <v>45438</v>
      </c>
      <c r="B700" s="4" t="s">
        <v>97</v>
      </c>
      <c r="C700" s="5" t="s">
        <v>271</v>
      </c>
      <c r="D700" s="5" t="s">
        <v>33</v>
      </c>
      <c r="E700" s="5" t="s">
        <v>99</v>
      </c>
      <c r="F700" s="5" t="s">
        <v>49</v>
      </c>
      <c r="G700" s="5" t="s">
        <v>19</v>
      </c>
      <c r="H700" s="5">
        <v>94</v>
      </c>
      <c r="I700" s="5">
        <v>754</v>
      </c>
      <c r="J700" s="5">
        <v>1354</v>
      </c>
      <c r="K700" s="6">
        <f t="shared" si="40"/>
        <v>70876</v>
      </c>
      <c r="L700" s="6">
        <f t="shared" si="41"/>
        <v>127276</v>
      </c>
      <c r="M700" s="6">
        <f t="shared" si="42"/>
        <v>56400</v>
      </c>
      <c r="N700" s="6" t="str">
        <f t="shared" si="43"/>
        <v>profit</v>
      </c>
    </row>
    <row r="701" spans="1:14" ht="15.6" thickTop="1" thickBot="1" x14ac:dyDescent="0.35">
      <c r="A701" s="4">
        <v>45439</v>
      </c>
      <c r="B701" s="4" t="s">
        <v>97</v>
      </c>
      <c r="C701" s="5" t="s">
        <v>272</v>
      </c>
      <c r="D701" s="5" t="s">
        <v>33</v>
      </c>
      <c r="E701" s="5" t="s">
        <v>99</v>
      </c>
      <c r="F701" s="5" t="s">
        <v>27</v>
      </c>
      <c r="G701" s="5" t="s">
        <v>19</v>
      </c>
      <c r="H701" s="5">
        <v>80</v>
      </c>
      <c r="I701" s="5">
        <v>622</v>
      </c>
      <c r="J701" s="5">
        <v>1168</v>
      </c>
      <c r="K701" s="6">
        <f t="shared" si="40"/>
        <v>49760</v>
      </c>
      <c r="L701" s="6">
        <f t="shared" si="41"/>
        <v>93440</v>
      </c>
      <c r="M701" s="6">
        <f t="shared" si="42"/>
        <v>43680</v>
      </c>
      <c r="N701" s="6" t="str">
        <f t="shared" si="43"/>
        <v>profit</v>
      </c>
    </row>
    <row r="702" spans="1:14" ht="15.6" thickTop="1" thickBot="1" x14ac:dyDescent="0.35">
      <c r="A702" s="4">
        <v>45440</v>
      </c>
      <c r="B702" s="4" t="s">
        <v>97</v>
      </c>
      <c r="C702" s="5" t="s">
        <v>273</v>
      </c>
      <c r="D702" s="5" t="s">
        <v>33</v>
      </c>
      <c r="E702" s="5" t="s">
        <v>99</v>
      </c>
      <c r="F702" s="5" t="s">
        <v>52</v>
      </c>
      <c r="G702" s="5" t="s">
        <v>28</v>
      </c>
      <c r="H702" s="5">
        <v>88</v>
      </c>
      <c r="I702" s="5">
        <v>625</v>
      </c>
      <c r="J702" s="5">
        <v>1324</v>
      </c>
      <c r="K702" s="6">
        <f t="shared" si="40"/>
        <v>55000</v>
      </c>
      <c r="L702" s="6">
        <f t="shared" si="41"/>
        <v>116512</v>
      </c>
      <c r="M702" s="6">
        <f t="shared" si="42"/>
        <v>61512</v>
      </c>
      <c r="N702" s="6" t="str">
        <f t="shared" si="43"/>
        <v>profit</v>
      </c>
    </row>
    <row r="703" spans="1:14" ht="15.6" thickTop="1" thickBot="1" x14ac:dyDescent="0.35">
      <c r="A703" s="4">
        <v>45442</v>
      </c>
      <c r="B703" s="4" t="s">
        <v>97</v>
      </c>
      <c r="C703" s="5" t="s">
        <v>274</v>
      </c>
      <c r="D703" s="5" t="s">
        <v>33</v>
      </c>
      <c r="E703" s="5" t="s">
        <v>99</v>
      </c>
      <c r="F703" s="5" t="s">
        <v>35</v>
      </c>
      <c r="G703" s="5" t="s">
        <v>28</v>
      </c>
      <c r="H703" s="5">
        <v>67</v>
      </c>
      <c r="I703" s="5">
        <v>760</v>
      </c>
      <c r="J703" s="5">
        <v>1006</v>
      </c>
      <c r="K703" s="6">
        <f t="shared" si="40"/>
        <v>50920</v>
      </c>
      <c r="L703" s="6">
        <f t="shared" si="41"/>
        <v>67402</v>
      </c>
      <c r="M703" s="6">
        <f t="shared" si="42"/>
        <v>16482</v>
      </c>
      <c r="N703" s="6" t="str">
        <f t="shared" si="43"/>
        <v>profit</v>
      </c>
    </row>
    <row r="704" spans="1:14" ht="15.6" thickTop="1" thickBot="1" x14ac:dyDescent="0.35">
      <c r="A704" s="4">
        <v>45443</v>
      </c>
      <c r="B704" s="4" t="s">
        <v>97</v>
      </c>
      <c r="C704" s="5" t="s">
        <v>275</v>
      </c>
      <c r="D704" s="5" t="s">
        <v>33</v>
      </c>
      <c r="E704" s="5" t="s">
        <v>120</v>
      </c>
      <c r="F704" s="5" t="s">
        <v>39</v>
      </c>
      <c r="G704" s="5" t="s">
        <v>28</v>
      </c>
      <c r="H704" s="5">
        <v>75</v>
      </c>
      <c r="I704" s="5">
        <v>966</v>
      </c>
      <c r="J704" s="5">
        <v>1355</v>
      </c>
      <c r="K704" s="6">
        <f t="shared" si="40"/>
        <v>72450</v>
      </c>
      <c r="L704" s="6">
        <f t="shared" si="41"/>
        <v>101625</v>
      </c>
      <c r="M704" s="6">
        <f t="shared" si="42"/>
        <v>29175</v>
      </c>
      <c r="N704" s="6" t="str">
        <f t="shared" si="43"/>
        <v>profit</v>
      </c>
    </row>
    <row r="705" spans="1:14" ht="15.6" thickTop="1" thickBot="1" x14ac:dyDescent="0.35">
      <c r="A705" s="4">
        <v>45444</v>
      </c>
      <c r="B705" s="4" t="s">
        <v>14</v>
      </c>
      <c r="C705" s="5" t="s">
        <v>276</v>
      </c>
      <c r="D705" s="5" t="s">
        <v>33</v>
      </c>
      <c r="E705" s="5" t="s">
        <v>120</v>
      </c>
      <c r="F705" s="5" t="s">
        <v>39</v>
      </c>
      <c r="G705" s="5" t="s">
        <v>19</v>
      </c>
      <c r="H705" s="5">
        <v>51</v>
      </c>
      <c r="I705" s="5">
        <v>749</v>
      </c>
      <c r="J705" s="5">
        <v>1060</v>
      </c>
      <c r="K705" s="6">
        <f t="shared" si="40"/>
        <v>38199</v>
      </c>
      <c r="L705" s="6">
        <f t="shared" si="41"/>
        <v>54060</v>
      </c>
      <c r="M705" s="6">
        <f t="shared" si="42"/>
        <v>15861</v>
      </c>
      <c r="N705" s="6" t="str">
        <f t="shared" si="43"/>
        <v>profit</v>
      </c>
    </row>
    <row r="706" spans="1:14" ht="15.6" thickTop="1" thickBot="1" x14ac:dyDescent="0.35">
      <c r="A706" s="4">
        <v>45445</v>
      </c>
      <c r="B706" s="4" t="s">
        <v>14</v>
      </c>
      <c r="C706" s="5" t="s">
        <v>277</v>
      </c>
      <c r="D706" s="5" t="s">
        <v>33</v>
      </c>
      <c r="E706" s="5" t="s">
        <v>120</v>
      </c>
      <c r="F706" s="5" t="s">
        <v>64</v>
      </c>
      <c r="G706" s="5" t="s">
        <v>28</v>
      </c>
      <c r="H706" s="5">
        <v>94</v>
      </c>
      <c r="I706" s="5">
        <v>721</v>
      </c>
      <c r="J706" s="5">
        <v>996</v>
      </c>
      <c r="K706" s="6">
        <f t="shared" ref="K706:K769" si="44">H706*I706</f>
        <v>67774</v>
      </c>
      <c r="L706" s="6">
        <f t="shared" ref="L706:L769" si="45">H706*J706</f>
        <v>93624</v>
      </c>
      <c r="M706" s="6">
        <f t="shared" ref="M706:M769" si="46">L706-K706</f>
        <v>25850</v>
      </c>
      <c r="N706" s="6" t="str">
        <f t="shared" ref="N706:N769" si="47">IF(M706&gt;0,"profit","loss")</f>
        <v>profit</v>
      </c>
    </row>
    <row r="707" spans="1:14" ht="15.6" thickTop="1" thickBot="1" x14ac:dyDescent="0.35">
      <c r="A707" s="4">
        <v>45446</v>
      </c>
      <c r="B707" s="4" t="s">
        <v>14</v>
      </c>
      <c r="C707" s="5" t="s">
        <v>278</v>
      </c>
      <c r="D707" s="5" t="s">
        <v>33</v>
      </c>
      <c r="E707" s="5" t="s">
        <v>120</v>
      </c>
      <c r="F707" s="5" t="s">
        <v>64</v>
      </c>
      <c r="G707" s="5" t="s">
        <v>28</v>
      </c>
      <c r="H707" s="5">
        <v>71</v>
      </c>
      <c r="I707" s="5">
        <v>869</v>
      </c>
      <c r="J707" s="5">
        <v>753</v>
      </c>
      <c r="K707" s="6">
        <f t="shared" si="44"/>
        <v>61699</v>
      </c>
      <c r="L707" s="6">
        <f t="shared" si="45"/>
        <v>53463</v>
      </c>
      <c r="M707" s="6">
        <f t="shared" si="46"/>
        <v>-8236</v>
      </c>
      <c r="N707" s="6" t="str">
        <f t="shared" si="47"/>
        <v>loss</v>
      </c>
    </row>
    <row r="708" spans="1:14" ht="15.6" thickTop="1" thickBot="1" x14ac:dyDescent="0.35">
      <c r="A708" s="4">
        <v>45447</v>
      </c>
      <c r="B708" s="4" t="s">
        <v>14</v>
      </c>
      <c r="C708" s="5" t="s">
        <v>279</v>
      </c>
      <c r="D708" s="5" t="s">
        <v>33</v>
      </c>
      <c r="E708" s="5" t="s">
        <v>120</v>
      </c>
      <c r="F708" s="5" t="s">
        <v>60</v>
      </c>
      <c r="G708" s="5" t="s">
        <v>28</v>
      </c>
      <c r="H708" s="5">
        <v>52</v>
      </c>
      <c r="I708" s="5">
        <v>550</v>
      </c>
      <c r="J708" s="5">
        <v>869</v>
      </c>
      <c r="K708" s="6">
        <f t="shared" si="44"/>
        <v>28600</v>
      </c>
      <c r="L708" s="6">
        <f t="shared" si="45"/>
        <v>45188</v>
      </c>
      <c r="M708" s="6">
        <f t="shared" si="46"/>
        <v>16588</v>
      </c>
      <c r="N708" s="6" t="str">
        <f t="shared" si="47"/>
        <v>profit</v>
      </c>
    </row>
    <row r="709" spans="1:14" ht="15.6" thickTop="1" thickBot="1" x14ac:dyDescent="0.35">
      <c r="A709" s="4">
        <v>45448</v>
      </c>
      <c r="B709" s="4" t="s">
        <v>14</v>
      </c>
      <c r="C709" s="5" t="s">
        <v>280</v>
      </c>
      <c r="D709" s="5" t="s">
        <v>33</v>
      </c>
      <c r="E709" s="5" t="s">
        <v>120</v>
      </c>
      <c r="F709" s="5" t="s">
        <v>39</v>
      </c>
      <c r="G709" s="5" t="s">
        <v>28</v>
      </c>
      <c r="H709" s="5">
        <v>77</v>
      </c>
      <c r="I709" s="5">
        <v>513</v>
      </c>
      <c r="J709" s="5">
        <v>871</v>
      </c>
      <c r="K709" s="6">
        <f t="shared" si="44"/>
        <v>39501</v>
      </c>
      <c r="L709" s="6">
        <f t="shared" si="45"/>
        <v>67067</v>
      </c>
      <c r="M709" s="6">
        <f t="shared" si="46"/>
        <v>27566</v>
      </c>
      <c r="N709" s="6" t="str">
        <f t="shared" si="47"/>
        <v>profit</v>
      </c>
    </row>
    <row r="710" spans="1:14" ht="15.6" thickTop="1" thickBot="1" x14ac:dyDescent="0.35">
      <c r="A710" s="4">
        <v>45449</v>
      </c>
      <c r="B710" s="4" t="s">
        <v>14</v>
      </c>
      <c r="C710" s="5" t="s">
        <v>281</v>
      </c>
      <c r="D710" s="5" t="s">
        <v>33</v>
      </c>
      <c r="E710" s="5" t="s">
        <v>120</v>
      </c>
      <c r="F710" s="5" t="s">
        <v>30</v>
      </c>
      <c r="G710" s="5" t="s">
        <v>19</v>
      </c>
      <c r="H710" s="5">
        <v>84</v>
      </c>
      <c r="I710" s="5">
        <v>739</v>
      </c>
      <c r="J710" s="5">
        <v>1161</v>
      </c>
      <c r="K710" s="6">
        <f t="shared" si="44"/>
        <v>62076</v>
      </c>
      <c r="L710" s="6">
        <f t="shared" si="45"/>
        <v>97524</v>
      </c>
      <c r="M710" s="6">
        <f t="shared" si="46"/>
        <v>35448</v>
      </c>
      <c r="N710" s="6" t="str">
        <f t="shared" si="47"/>
        <v>profit</v>
      </c>
    </row>
    <row r="711" spans="1:14" ht="15.6" thickTop="1" thickBot="1" x14ac:dyDescent="0.35">
      <c r="A711" s="4">
        <v>45450</v>
      </c>
      <c r="B711" s="4" t="s">
        <v>14</v>
      </c>
      <c r="C711" s="5" t="s">
        <v>282</v>
      </c>
      <c r="D711" s="5" t="s">
        <v>33</v>
      </c>
      <c r="E711" s="5" t="s">
        <v>120</v>
      </c>
      <c r="F711" s="5" t="s">
        <v>113</v>
      </c>
      <c r="G711" s="5" t="s">
        <v>19</v>
      </c>
      <c r="H711" s="5">
        <v>71</v>
      </c>
      <c r="I711" s="5">
        <v>923</v>
      </c>
      <c r="J711" s="5">
        <v>996</v>
      </c>
      <c r="K711" s="6">
        <f t="shared" si="44"/>
        <v>65533</v>
      </c>
      <c r="L711" s="6">
        <f t="shared" si="45"/>
        <v>70716</v>
      </c>
      <c r="M711" s="6">
        <f t="shared" si="46"/>
        <v>5183</v>
      </c>
      <c r="N711" s="6" t="str">
        <f t="shared" si="47"/>
        <v>profit</v>
      </c>
    </row>
    <row r="712" spans="1:14" ht="15.6" thickTop="1" thickBot="1" x14ac:dyDescent="0.35">
      <c r="A712" s="4">
        <v>45451</v>
      </c>
      <c r="B712" s="4" t="s">
        <v>14</v>
      </c>
      <c r="C712" s="5" t="s">
        <v>283</v>
      </c>
      <c r="D712" s="5" t="s">
        <v>33</v>
      </c>
      <c r="E712" s="5" t="s">
        <v>120</v>
      </c>
      <c r="F712" s="5" t="s">
        <v>44</v>
      </c>
      <c r="G712" s="5" t="s">
        <v>19</v>
      </c>
      <c r="H712" s="5">
        <v>59</v>
      </c>
      <c r="I712" s="5">
        <v>862</v>
      </c>
      <c r="J712" s="5">
        <v>1233</v>
      </c>
      <c r="K712" s="6">
        <f t="shared" si="44"/>
        <v>50858</v>
      </c>
      <c r="L712" s="6">
        <f t="shared" si="45"/>
        <v>72747</v>
      </c>
      <c r="M712" s="6">
        <f t="shared" si="46"/>
        <v>21889</v>
      </c>
      <c r="N712" s="6" t="str">
        <f t="shared" si="47"/>
        <v>profit</v>
      </c>
    </row>
    <row r="713" spans="1:14" ht="15.6" thickTop="1" thickBot="1" x14ac:dyDescent="0.35">
      <c r="A713" s="4">
        <v>45432</v>
      </c>
      <c r="B713" s="4" t="s">
        <v>97</v>
      </c>
      <c r="C713" s="5" t="s">
        <v>98</v>
      </c>
      <c r="D713" s="5" t="s">
        <v>33</v>
      </c>
      <c r="E713" s="5" t="s">
        <v>99</v>
      </c>
      <c r="F713" s="5" t="s">
        <v>35</v>
      </c>
      <c r="G713" s="5" t="s">
        <v>28</v>
      </c>
      <c r="H713" s="5">
        <v>90</v>
      </c>
      <c r="I713" s="5">
        <v>718</v>
      </c>
      <c r="J713" s="5">
        <v>1353</v>
      </c>
      <c r="K713" s="6">
        <f t="shared" si="44"/>
        <v>64620</v>
      </c>
      <c r="L713" s="6">
        <f t="shared" si="45"/>
        <v>121770</v>
      </c>
      <c r="M713" s="6">
        <f t="shared" si="46"/>
        <v>57150</v>
      </c>
      <c r="N713" s="6" t="str">
        <f t="shared" si="47"/>
        <v>profit</v>
      </c>
    </row>
    <row r="714" spans="1:14" ht="15.6" thickTop="1" thickBot="1" x14ac:dyDescent="0.35">
      <c r="A714" s="4">
        <v>45452</v>
      </c>
      <c r="B714" s="4" t="s">
        <v>14</v>
      </c>
      <c r="C714" s="5" t="s">
        <v>284</v>
      </c>
      <c r="D714" s="5" t="s">
        <v>33</v>
      </c>
      <c r="E714" s="5" t="s">
        <v>120</v>
      </c>
      <c r="F714" s="5" t="s">
        <v>153</v>
      </c>
      <c r="G714" s="5" t="s">
        <v>19</v>
      </c>
      <c r="H714" s="5">
        <v>77</v>
      </c>
      <c r="I714" s="5">
        <v>882</v>
      </c>
      <c r="J714" s="5">
        <v>914</v>
      </c>
      <c r="K714" s="6">
        <f t="shared" si="44"/>
        <v>67914</v>
      </c>
      <c r="L714" s="6">
        <f t="shared" si="45"/>
        <v>70378</v>
      </c>
      <c r="M714" s="6">
        <f t="shared" si="46"/>
        <v>2464</v>
      </c>
      <c r="N714" s="6" t="str">
        <f t="shared" si="47"/>
        <v>profit</v>
      </c>
    </row>
    <row r="715" spans="1:14" ht="15.6" thickTop="1" thickBot="1" x14ac:dyDescent="0.35">
      <c r="A715" s="4">
        <v>45453</v>
      </c>
      <c r="B715" s="4" t="s">
        <v>14</v>
      </c>
      <c r="C715" s="5" t="s">
        <v>285</v>
      </c>
      <c r="D715" s="5" t="s">
        <v>33</v>
      </c>
      <c r="E715" s="5" t="s">
        <v>120</v>
      </c>
      <c r="F715" s="5" t="s">
        <v>155</v>
      </c>
      <c r="G715" s="5" t="s">
        <v>19</v>
      </c>
      <c r="H715" s="5">
        <v>90</v>
      </c>
      <c r="I715" s="5">
        <v>862</v>
      </c>
      <c r="J715" s="5">
        <v>902</v>
      </c>
      <c r="K715" s="6">
        <f t="shared" si="44"/>
        <v>77580</v>
      </c>
      <c r="L715" s="6">
        <f t="shared" si="45"/>
        <v>81180</v>
      </c>
      <c r="M715" s="6">
        <f t="shared" si="46"/>
        <v>3600</v>
      </c>
      <c r="N715" s="6" t="str">
        <f t="shared" si="47"/>
        <v>profit</v>
      </c>
    </row>
    <row r="716" spans="1:14" ht="15.6" thickTop="1" thickBot="1" x14ac:dyDescent="0.35">
      <c r="A716" s="4">
        <v>45461</v>
      </c>
      <c r="B716" s="4" t="s">
        <v>14</v>
      </c>
      <c r="C716" s="5" t="s">
        <v>286</v>
      </c>
      <c r="D716" s="5" t="s">
        <v>33</v>
      </c>
      <c r="E716" s="5" t="s">
        <v>99</v>
      </c>
      <c r="F716" s="5" t="s">
        <v>25</v>
      </c>
      <c r="G716" s="5" t="s">
        <v>28</v>
      </c>
      <c r="H716" s="5">
        <v>73</v>
      </c>
      <c r="I716" s="5">
        <v>541</v>
      </c>
      <c r="J716" s="5">
        <v>1114</v>
      </c>
      <c r="K716" s="6">
        <f t="shared" si="44"/>
        <v>39493</v>
      </c>
      <c r="L716" s="6">
        <f t="shared" si="45"/>
        <v>81322</v>
      </c>
      <c r="M716" s="6">
        <f t="shared" si="46"/>
        <v>41829</v>
      </c>
      <c r="N716" s="6" t="str">
        <f t="shared" si="47"/>
        <v>profit</v>
      </c>
    </row>
    <row r="717" spans="1:14" ht="15.6" thickTop="1" thickBot="1" x14ac:dyDescent="0.35">
      <c r="A717" s="4">
        <v>45462</v>
      </c>
      <c r="B717" s="4" t="s">
        <v>14</v>
      </c>
      <c r="C717" s="5" t="s">
        <v>287</v>
      </c>
      <c r="D717" s="5" t="s">
        <v>33</v>
      </c>
      <c r="E717" s="5" t="s">
        <v>99</v>
      </c>
      <c r="F717" s="5" t="s">
        <v>76</v>
      </c>
      <c r="G717" s="5" t="s">
        <v>28</v>
      </c>
      <c r="H717" s="5">
        <v>94</v>
      </c>
      <c r="I717" s="5">
        <v>772</v>
      </c>
      <c r="J717" s="5">
        <v>1390</v>
      </c>
      <c r="K717" s="6">
        <f t="shared" si="44"/>
        <v>72568</v>
      </c>
      <c r="L717" s="6">
        <f t="shared" si="45"/>
        <v>130660</v>
      </c>
      <c r="M717" s="6">
        <f t="shared" si="46"/>
        <v>58092</v>
      </c>
      <c r="N717" s="6" t="str">
        <f t="shared" si="47"/>
        <v>profit</v>
      </c>
    </row>
    <row r="718" spans="1:14" ht="15.6" thickTop="1" thickBot="1" x14ac:dyDescent="0.35">
      <c r="A718" s="4">
        <v>45463</v>
      </c>
      <c r="B718" s="4" t="s">
        <v>14</v>
      </c>
      <c r="C718" s="5" t="s">
        <v>288</v>
      </c>
      <c r="D718" s="5" t="s">
        <v>33</v>
      </c>
      <c r="E718" s="5" t="s">
        <v>99</v>
      </c>
      <c r="F718" s="5" t="s">
        <v>71</v>
      </c>
      <c r="G718" s="5" t="s">
        <v>28</v>
      </c>
      <c r="H718" s="5">
        <v>66</v>
      </c>
      <c r="I718" s="5">
        <v>771</v>
      </c>
      <c r="J718" s="5">
        <v>1419</v>
      </c>
      <c r="K718" s="6">
        <f t="shared" si="44"/>
        <v>50886</v>
      </c>
      <c r="L718" s="6">
        <f t="shared" si="45"/>
        <v>93654</v>
      </c>
      <c r="M718" s="6">
        <f t="shared" si="46"/>
        <v>42768</v>
      </c>
      <c r="N718" s="6" t="str">
        <f t="shared" si="47"/>
        <v>profit</v>
      </c>
    </row>
    <row r="719" spans="1:14" ht="15.6" thickTop="1" thickBot="1" x14ac:dyDescent="0.35">
      <c r="A719" s="4">
        <v>45465</v>
      </c>
      <c r="B719" s="4" t="s">
        <v>14</v>
      </c>
      <c r="C719" s="5" t="s">
        <v>289</v>
      </c>
      <c r="D719" s="5" t="s">
        <v>33</v>
      </c>
      <c r="E719" s="5" t="s">
        <v>99</v>
      </c>
      <c r="F719" s="5" t="s">
        <v>25</v>
      </c>
      <c r="G719" s="5" t="s">
        <v>19</v>
      </c>
      <c r="H719" s="5">
        <v>65</v>
      </c>
      <c r="I719" s="5">
        <v>762</v>
      </c>
      <c r="J719" s="5">
        <v>1394</v>
      </c>
      <c r="K719" s="6">
        <f t="shared" si="44"/>
        <v>49530</v>
      </c>
      <c r="L719" s="6">
        <f t="shared" si="45"/>
        <v>90610</v>
      </c>
      <c r="M719" s="6">
        <f t="shared" si="46"/>
        <v>41080</v>
      </c>
      <c r="N719" s="6" t="str">
        <f t="shared" si="47"/>
        <v>profit</v>
      </c>
    </row>
    <row r="720" spans="1:14" ht="15.6" thickTop="1" thickBot="1" x14ac:dyDescent="0.35">
      <c r="A720" s="4">
        <v>45466</v>
      </c>
      <c r="B720" s="4" t="s">
        <v>14</v>
      </c>
      <c r="C720" s="5" t="s">
        <v>290</v>
      </c>
      <c r="D720" s="5" t="s">
        <v>33</v>
      </c>
      <c r="E720" s="5" t="s">
        <v>120</v>
      </c>
      <c r="F720" s="5" t="s">
        <v>64</v>
      </c>
      <c r="G720" s="5" t="s">
        <v>19</v>
      </c>
      <c r="H720" s="5">
        <v>78</v>
      </c>
      <c r="I720" s="5">
        <v>918</v>
      </c>
      <c r="J720" s="5">
        <v>1469</v>
      </c>
      <c r="K720" s="6">
        <f t="shared" si="44"/>
        <v>71604</v>
      </c>
      <c r="L720" s="6">
        <f t="shared" si="45"/>
        <v>114582</v>
      </c>
      <c r="M720" s="6">
        <f t="shared" si="46"/>
        <v>42978</v>
      </c>
      <c r="N720" s="6" t="str">
        <f t="shared" si="47"/>
        <v>profit</v>
      </c>
    </row>
    <row r="721" spans="1:14" ht="15.6" thickTop="1" thickBot="1" x14ac:dyDescent="0.35">
      <c r="A721" s="4">
        <v>45467</v>
      </c>
      <c r="B721" s="4" t="s">
        <v>14</v>
      </c>
      <c r="C721" s="5" t="s">
        <v>291</v>
      </c>
      <c r="D721" s="5" t="s">
        <v>33</v>
      </c>
      <c r="E721" s="5" t="s">
        <v>120</v>
      </c>
      <c r="F721" s="5" t="s">
        <v>76</v>
      </c>
      <c r="G721" s="5" t="s">
        <v>28</v>
      </c>
      <c r="H721" s="5">
        <v>76</v>
      </c>
      <c r="I721" s="5">
        <v>624</v>
      </c>
      <c r="J721" s="5">
        <v>899</v>
      </c>
      <c r="K721" s="6">
        <f t="shared" si="44"/>
        <v>47424</v>
      </c>
      <c r="L721" s="6">
        <f t="shared" si="45"/>
        <v>68324</v>
      </c>
      <c r="M721" s="6">
        <f t="shared" si="46"/>
        <v>20900</v>
      </c>
      <c r="N721" s="6" t="str">
        <f t="shared" si="47"/>
        <v>profit</v>
      </c>
    </row>
    <row r="722" spans="1:14" ht="15.6" thickTop="1" thickBot="1" x14ac:dyDescent="0.35">
      <c r="A722" s="4">
        <v>45441</v>
      </c>
      <c r="B722" s="4" t="s">
        <v>97</v>
      </c>
      <c r="C722" s="5" t="s">
        <v>108</v>
      </c>
      <c r="D722" s="5" t="s">
        <v>33</v>
      </c>
      <c r="E722" s="5" t="s">
        <v>99</v>
      </c>
      <c r="F722" s="5" t="s">
        <v>54</v>
      </c>
      <c r="G722" s="5" t="s">
        <v>28</v>
      </c>
      <c r="H722" s="5">
        <v>59</v>
      </c>
      <c r="I722" s="5">
        <v>716</v>
      </c>
      <c r="J722" s="5">
        <v>1257</v>
      </c>
      <c r="K722" s="6">
        <f t="shared" si="44"/>
        <v>42244</v>
      </c>
      <c r="L722" s="6">
        <f t="shared" si="45"/>
        <v>74163</v>
      </c>
      <c r="M722" s="6">
        <f t="shared" si="46"/>
        <v>31919</v>
      </c>
      <c r="N722" s="6" t="str">
        <f t="shared" si="47"/>
        <v>profit</v>
      </c>
    </row>
    <row r="723" spans="1:14" ht="15.6" thickTop="1" thickBot="1" x14ac:dyDescent="0.35">
      <c r="A723" s="4">
        <v>45468</v>
      </c>
      <c r="B723" s="4" t="s">
        <v>14</v>
      </c>
      <c r="C723" s="5" t="s">
        <v>292</v>
      </c>
      <c r="D723" s="5" t="s">
        <v>33</v>
      </c>
      <c r="E723" s="5" t="s">
        <v>120</v>
      </c>
      <c r="F723" s="5" t="s">
        <v>78</v>
      </c>
      <c r="G723" s="5" t="s">
        <v>28</v>
      </c>
      <c r="H723" s="5">
        <v>99</v>
      </c>
      <c r="I723" s="5">
        <v>598</v>
      </c>
      <c r="J723" s="5">
        <v>1404</v>
      </c>
      <c r="K723" s="6">
        <f t="shared" si="44"/>
        <v>59202</v>
      </c>
      <c r="L723" s="6">
        <f t="shared" si="45"/>
        <v>138996</v>
      </c>
      <c r="M723" s="6">
        <f t="shared" si="46"/>
        <v>79794</v>
      </c>
      <c r="N723" s="6" t="str">
        <f t="shared" si="47"/>
        <v>profit</v>
      </c>
    </row>
    <row r="724" spans="1:14" ht="15.6" thickTop="1" thickBot="1" x14ac:dyDescent="0.35">
      <c r="A724" s="4">
        <v>45469</v>
      </c>
      <c r="B724" s="4" t="s">
        <v>14</v>
      </c>
      <c r="C724" s="5" t="s">
        <v>293</v>
      </c>
      <c r="D724" s="5" t="s">
        <v>33</v>
      </c>
      <c r="E724" s="5" t="s">
        <v>120</v>
      </c>
      <c r="F724" s="5" t="s">
        <v>35</v>
      </c>
      <c r="G724" s="5" t="s">
        <v>28</v>
      </c>
      <c r="H724" s="5">
        <v>78</v>
      </c>
      <c r="I724" s="5">
        <v>761</v>
      </c>
      <c r="J724" s="5">
        <v>1174</v>
      </c>
      <c r="K724" s="6">
        <f t="shared" si="44"/>
        <v>59358</v>
      </c>
      <c r="L724" s="6">
        <f t="shared" si="45"/>
        <v>91572</v>
      </c>
      <c r="M724" s="6">
        <f t="shared" si="46"/>
        <v>32214</v>
      </c>
      <c r="N724" s="6" t="str">
        <f t="shared" si="47"/>
        <v>profit</v>
      </c>
    </row>
    <row r="725" spans="1:14" ht="15.6" thickTop="1" thickBot="1" x14ac:dyDescent="0.35">
      <c r="A725" s="4">
        <v>45470</v>
      </c>
      <c r="B725" s="4" t="s">
        <v>14</v>
      </c>
      <c r="C725" s="5" t="s">
        <v>294</v>
      </c>
      <c r="D725" s="5" t="s">
        <v>33</v>
      </c>
      <c r="E725" s="5" t="s">
        <v>120</v>
      </c>
      <c r="F725" s="5" t="s">
        <v>44</v>
      </c>
      <c r="G725" s="5" t="s">
        <v>28</v>
      </c>
      <c r="H725" s="5">
        <v>96</v>
      </c>
      <c r="I725" s="5">
        <v>512</v>
      </c>
      <c r="J725" s="5">
        <v>970</v>
      </c>
      <c r="K725" s="6">
        <f t="shared" si="44"/>
        <v>49152</v>
      </c>
      <c r="L725" s="6">
        <f t="shared" si="45"/>
        <v>93120</v>
      </c>
      <c r="M725" s="6">
        <f t="shared" si="46"/>
        <v>43968</v>
      </c>
      <c r="N725" s="6" t="str">
        <f t="shared" si="47"/>
        <v>profit</v>
      </c>
    </row>
    <row r="726" spans="1:14" ht="15.6" thickTop="1" thickBot="1" x14ac:dyDescent="0.35">
      <c r="A726" s="4">
        <v>45471</v>
      </c>
      <c r="B726" s="4" t="s">
        <v>14</v>
      </c>
      <c r="C726" s="5" t="s">
        <v>295</v>
      </c>
      <c r="D726" s="5" t="s">
        <v>33</v>
      </c>
      <c r="E726" s="5" t="s">
        <v>120</v>
      </c>
      <c r="F726" s="5" t="s">
        <v>60</v>
      </c>
      <c r="G726" s="5" t="s">
        <v>28</v>
      </c>
      <c r="H726" s="5">
        <v>85</v>
      </c>
      <c r="I726" s="5">
        <v>765</v>
      </c>
      <c r="J726" s="5">
        <v>1024</v>
      </c>
      <c r="K726" s="6">
        <f t="shared" si="44"/>
        <v>65025</v>
      </c>
      <c r="L726" s="6">
        <f t="shared" si="45"/>
        <v>87040</v>
      </c>
      <c r="M726" s="6">
        <f t="shared" si="46"/>
        <v>22015</v>
      </c>
      <c r="N726" s="6" t="str">
        <f t="shared" si="47"/>
        <v>profit</v>
      </c>
    </row>
    <row r="727" spans="1:14" ht="15.6" thickTop="1" thickBot="1" x14ac:dyDescent="0.35">
      <c r="A727" s="4">
        <v>45495</v>
      </c>
      <c r="B727" s="4" t="s">
        <v>40</v>
      </c>
      <c r="C727" s="5" t="s">
        <v>296</v>
      </c>
      <c r="D727" s="5" t="s">
        <v>33</v>
      </c>
      <c r="E727" s="5" t="s">
        <v>99</v>
      </c>
      <c r="F727" s="5" t="s">
        <v>21</v>
      </c>
      <c r="G727" s="5" t="s">
        <v>19</v>
      </c>
      <c r="H727" s="5">
        <v>59</v>
      </c>
      <c r="I727" s="5">
        <v>663</v>
      </c>
      <c r="J727" s="5">
        <v>872</v>
      </c>
      <c r="K727" s="6">
        <f t="shared" si="44"/>
        <v>39117</v>
      </c>
      <c r="L727" s="6">
        <f t="shared" si="45"/>
        <v>51448</v>
      </c>
      <c r="M727" s="6">
        <f t="shared" si="46"/>
        <v>12331</v>
      </c>
      <c r="N727" s="6" t="str">
        <f t="shared" si="47"/>
        <v>profit</v>
      </c>
    </row>
    <row r="728" spans="1:14" ht="15.6" thickTop="1" thickBot="1" x14ac:dyDescent="0.35">
      <c r="A728" s="4">
        <v>45496</v>
      </c>
      <c r="B728" s="4" t="s">
        <v>40</v>
      </c>
      <c r="C728" s="5" t="s">
        <v>297</v>
      </c>
      <c r="D728" s="5" t="s">
        <v>33</v>
      </c>
      <c r="E728" s="5" t="s">
        <v>99</v>
      </c>
      <c r="F728" s="5" t="s">
        <v>23</v>
      </c>
      <c r="G728" s="5" t="s">
        <v>19</v>
      </c>
      <c r="H728" s="5">
        <v>75</v>
      </c>
      <c r="I728" s="5">
        <v>871</v>
      </c>
      <c r="J728" s="5">
        <v>1274</v>
      </c>
      <c r="K728" s="6">
        <f t="shared" si="44"/>
        <v>65325</v>
      </c>
      <c r="L728" s="6">
        <f t="shared" si="45"/>
        <v>95550</v>
      </c>
      <c r="M728" s="6">
        <f t="shared" si="46"/>
        <v>30225</v>
      </c>
      <c r="N728" s="6" t="str">
        <f t="shared" si="47"/>
        <v>profit</v>
      </c>
    </row>
    <row r="729" spans="1:14" ht="15.6" thickTop="1" thickBot="1" x14ac:dyDescent="0.35">
      <c r="A729" s="4">
        <v>45497</v>
      </c>
      <c r="B729" s="4" t="s">
        <v>40</v>
      </c>
      <c r="C729" s="5" t="s">
        <v>298</v>
      </c>
      <c r="D729" s="5" t="s">
        <v>33</v>
      </c>
      <c r="E729" s="5" t="s">
        <v>99</v>
      </c>
      <c r="F729" s="5" t="s">
        <v>25</v>
      </c>
      <c r="G729" s="5" t="s">
        <v>19</v>
      </c>
      <c r="H729" s="5">
        <v>87</v>
      </c>
      <c r="I729" s="5">
        <v>869</v>
      </c>
      <c r="J729" s="5">
        <v>1247</v>
      </c>
      <c r="K729" s="6">
        <f t="shared" si="44"/>
        <v>75603</v>
      </c>
      <c r="L729" s="6">
        <f t="shared" si="45"/>
        <v>108489</v>
      </c>
      <c r="M729" s="6">
        <f t="shared" si="46"/>
        <v>32886</v>
      </c>
      <c r="N729" s="6" t="str">
        <f t="shared" si="47"/>
        <v>profit</v>
      </c>
    </row>
    <row r="730" spans="1:14" ht="15.6" thickTop="1" thickBot="1" x14ac:dyDescent="0.35">
      <c r="A730" s="4">
        <v>45498</v>
      </c>
      <c r="B730" s="4" t="s">
        <v>40</v>
      </c>
      <c r="C730" s="5" t="s">
        <v>299</v>
      </c>
      <c r="D730" s="5" t="s">
        <v>33</v>
      </c>
      <c r="E730" s="5" t="s">
        <v>99</v>
      </c>
      <c r="F730" s="5" t="s">
        <v>25</v>
      </c>
      <c r="G730" s="5" t="s">
        <v>19</v>
      </c>
      <c r="H730" s="5">
        <v>100</v>
      </c>
      <c r="I730" s="5">
        <v>605</v>
      </c>
      <c r="J730" s="5">
        <v>1249</v>
      </c>
      <c r="K730" s="6">
        <f t="shared" si="44"/>
        <v>60500</v>
      </c>
      <c r="L730" s="6">
        <f t="shared" si="45"/>
        <v>124900</v>
      </c>
      <c r="M730" s="6">
        <f t="shared" si="46"/>
        <v>64400</v>
      </c>
      <c r="N730" s="6" t="str">
        <f t="shared" si="47"/>
        <v>profit</v>
      </c>
    </row>
    <row r="731" spans="1:14" ht="15.6" thickTop="1" thickBot="1" x14ac:dyDescent="0.35">
      <c r="A731" s="4">
        <v>45499</v>
      </c>
      <c r="B731" s="4" t="s">
        <v>40</v>
      </c>
      <c r="C731" s="5" t="s">
        <v>300</v>
      </c>
      <c r="D731" s="5" t="s">
        <v>33</v>
      </c>
      <c r="E731" s="5" t="s">
        <v>99</v>
      </c>
      <c r="F731" s="5" t="s">
        <v>27</v>
      </c>
      <c r="G731" s="5" t="s">
        <v>19</v>
      </c>
      <c r="H731" s="5">
        <v>51</v>
      </c>
      <c r="I731" s="5">
        <v>798</v>
      </c>
      <c r="J731" s="5">
        <v>910</v>
      </c>
      <c r="K731" s="6">
        <f t="shared" si="44"/>
        <v>40698</v>
      </c>
      <c r="L731" s="6">
        <f t="shared" si="45"/>
        <v>46410</v>
      </c>
      <c r="M731" s="6">
        <f t="shared" si="46"/>
        <v>5712</v>
      </c>
      <c r="N731" s="6" t="str">
        <f t="shared" si="47"/>
        <v>profit</v>
      </c>
    </row>
    <row r="732" spans="1:14" ht="15.6" thickTop="1" thickBot="1" x14ac:dyDescent="0.35">
      <c r="A732" s="4">
        <v>45500</v>
      </c>
      <c r="B732" s="4" t="s">
        <v>40</v>
      </c>
      <c r="C732" s="5" t="s">
        <v>301</v>
      </c>
      <c r="D732" s="5" t="s">
        <v>33</v>
      </c>
      <c r="E732" s="5" t="s">
        <v>99</v>
      </c>
      <c r="F732" s="5" t="s">
        <v>30</v>
      </c>
      <c r="G732" s="5" t="s">
        <v>19</v>
      </c>
      <c r="H732" s="5">
        <v>52</v>
      </c>
      <c r="I732" s="5">
        <v>984</v>
      </c>
      <c r="J732" s="5">
        <v>992</v>
      </c>
      <c r="K732" s="6">
        <f t="shared" si="44"/>
        <v>51168</v>
      </c>
      <c r="L732" s="6">
        <f t="shared" si="45"/>
        <v>51584</v>
      </c>
      <c r="M732" s="6">
        <f t="shared" si="46"/>
        <v>416</v>
      </c>
      <c r="N732" s="6" t="str">
        <f t="shared" si="47"/>
        <v>profit</v>
      </c>
    </row>
    <row r="733" spans="1:14" ht="15.6" thickTop="1" thickBot="1" x14ac:dyDescent="0.35">
      <c r="A733" s="4">
        <v>45501</v>
      </c>
      <c r="B733" s="4" t="s">
        <v>40</v>
      </c>
      <c r="C733" s="5" t="s">
        <v>302</v>
      </c>
      <c r="D733" s="5" t="s">
        <v>33</v>
      </c>
      <c r="E733" s="5" t="s">
        <v>99</v>
      </c>
      <c r="F733" s="5" t="s">
        <v>25</v>
      </c>
      <c r="G733" s="5" t="s">
        <v>19</v>
      </c>
      <c r="H733" s="5">
        <v>97</v>
      </c>
      <c r="I733" s="5">
        <v>565</v>
      </c>
      <c r="J733" s="5">
        <v>995</v>
      </c>
      <c r="K733" s="6">
        <f t="shared" si="44"/>
        <v>54805</v>
      </c>
      <c r="L733" s="6">
        <f t="shared" si="45"/>
        <v>96515</v>
      </c>
      <c r="M733" s="6">
        <f t="shared" si="46"/>
        <v>41710</v>
      </c>
      <c r="N733" s="6" t="str">
        <f t="shared" si="47"/>
        <v>profit</v>
      </c>
    </row>
    <row r="734" spans="1:14" ht="15.6" thickTop="1" thickBot="1" x14ac:dyDescent="0.35">
      <c r="A734" s="4">
        <v>45502</v>
      </c>
      <c r="B734" s="4" t="s">
        <v>40</v>
      </c>
      <c r="C734" s="5" t="s">
        <v>303</v>
      </c>
      <c r="D734" s="5" t="s">
        <v>33</v>
      </c>
      <c r="E734" s="5" t="s">
        <v>99</v>
      </c>
      <c r="F734" s="5" t="s">
        <v>76</v>
      </c>
      <c r="G734" s="5" t="s">
        <v>19</v>
      </c>
      <c r="H734" s="5">
        <v>58</v>
      </c>
      <c r="I734" s="5">
        <v>799</v>
      </c>
      <c r="J734" s="5">
        <v>1273</v>
      </c>
      <c r="K734" s="6">
        <f t="shared" si="44"/>
        <v>46342</v>
      </c>
      <c r="L734" s="6">
        <f t="shared" si="45"/>
        <v>73834</v>
      </c>
      <c r="M734" s="6">
        <f t="shared" si="46"/>
        <v>27492</v>
      </c>
      <c r="N734" s="6" t="str">
        <f t="shared" si="47"/>
        <v>profit</v>
      </c>
    </row>
    <row r="735" spans="1:14" ht="15.6" thickTop="1" thickBot="1" x14ac:dyDescent="0.35">
      <c r="A735" s="4">
        <v>45503</v>
      </c>
      <c r="B735" s="4" t="s">
        <v>40</v>
      </c>
      <c r="C735" s="5" t="s">
        <v>304</v>
      </c>
      <c r="D735" s="5" t="s">
        <v>33</v>
      </c>
      <c r="E735" s="5" t="s">
        <v>99</v>
      </c>
      <c r="F735" s="5" t="s">
        <v>71</v>
      </c>
      <c r="G735" s="5" t="s">
        <v>28</v>
      </c>
      <c r="H735" s="5">
        <v>69</v>
      </c>
      <c r="I735" s="5">
        <v>524</v>
      </c>
      <c r="J735" s="5">
        <v>893</v>
      </c>
      <c r="K735" s="6">
        <f t="shared" si="44"/>
        <v>36156</v>
      </c>
      <c r="L735" s="6">
        <f t="shared" si="45"/>
        <v>61617</v>
      </c>
      <c r="M735" s="6">
        <f t="shared" si="46"/>
        <v>25461</v>
      </c>
      <c r="N735" s="6" t="str">
        <f t="shared" si="47"/>
        <v>profit</v>
      </c>
    </row>
    <row r="736" spans="1:14" ht="15.6" thickTop="1" thickBot="1" x14ac:dyDescent="0.35">
      <c r="A736" s="4">
        <v>45504</v>
      </c>
      <c r="B736" s="4" t="s">
        <v>40</v>
      </c>
      <c r="C736" s="5" t="s">
        <v>305</v>
      </c>
      <c r="D736" s="5" t="s">
        <v>33</v>
      </c>
      <c r="E736" s="5" t="s">
        <v>99</v>
      </c>
      <c r="F736" s="5" t="s">
        <v>44</v>
      </c>
      <c r="G736" s="5" t="s">
        <v>28</v>
      </c>
      <c r="H736" s="5">
        <v>81</v>
      </c>
      <c r="I736" s="5">
        <v>903</v>
      </c>
      <c r="J736" s="5">
        <v>1306</v>
      </c>
      <c r="K736" s="6">
        <f t="shared" si="44"/>
        <v>73143</v>
      </c>
      <c r="L736" s="6">
        <f t="shared" si="45"/>
        <v>105786</v>
      </c>
      <c r="M736" s="6">
        <f t="shared" si="46"/>
        <v>32643</v>
      </c>
      <c r="N736" s="6" t="str">
        <f t="shared" si="47"/>
        <v>profit</v>
      </c>
    </row>
    <row r="737" spans="1:14" ht="15.6" thickTop="1" thickBot="1" x14ac:dyDescent="0.35">
      <c r="A737" s="4">
        <v>45505</v>
      </c>
      <c r="B737" s="4" t="s">
        <v>57</v>
      </c>
      <c r="C737" s="5" t="s">
        <v>306</v>
      </c>
      <c r="D737" s="5" t="s">
        <v>33</v>
      </c>
      <c r="E737" s="5" t="s">
        <v>99</v>
      </c>
      <c r="F737" s="5" t="s">
        <v>25</v>
      </c>
      <c r="G737" s="5" t="s">
        <v>28</v>
      </c>
      <c r="H737" s="5">
        <v>89</v>
      </c>
      <c r="I737" s="5">
        <v>584</v>
      </c>
      <c r="J737" s="5">
        <v>777</v>
      </c>
      <c r="K737" s="6">
        <f t="shared" si="44"/>
        <v>51976</v>
      </c>
      <c r="L737" s="6">
        <f t="shared" si="45"/>
        <v>69153</v>
      </c>
      <c r="M737" s="6">
        <f t="shared" si="46"/>
        <v>17177</v>
      </c>
      <c r="N737" s="6" t="str">
        <f t="shared" si="47"/>
        <v>profit</v>
      </c>
    </row>
    <row r="738" spans="1:14" ht="15.6" thickTop="1" thickBot="1" x14ac:dyDescent="0.35">
      <c r="A738" s="4">
        <v>45506</v>
      </c>
      <c r="B738" s="4" t="s">
        <v>57</v>
      </c>
      <c r="C738" s="5" t="s">
        <v>307</v>
      </c>
      <c r="D738" s="5" t="s">
        <v>33</v>
      </c>
      <c r="E738" s="5" t="s">
        <v>99</v>
      </c>
      <c r="F738" s="5" t="s">
        <v>64</v>
      </c>
      <c r="G738" s="5" t="s">
        <v>28</v>
      </c>
      <c r="H738" s="5">
        <v>75</v>
      </c>
      <c r="I738" s="5">
        <v>906</v>
      </c>
      <c r="J738" s="5">
        <v>954</v>
      </c>
      <c r="K738" s="6">
        <f t="shared" si="44"/>
        <v>67950</v>
      </c>
      <c r="L738" s="6">
        <f t="shared" si="45"/>
        <v>71550</v>
      </c>
      <c r="M738" s="6">
        <f t="shared" si="46"/>
        <v>3600</v>
      </c>
      <c r="N738" s="6" t="str">
        <f t="shared" si="47"/>
        <v>profit</v>
      </c>
    </row>
    <row r="739" spans="1:14" ht="15.6" thickTop="1" thickBot="1" x14ac:dyDescent="0.35">
      <c r="A739" s="4">
        <v>45458</v>
      </c>
      <c r="B739" s="4" t="s">
        <v>14</v>
      </c>
      <c r="C739" s="5" t="s">
        <v>114</v>
      </c>
      <c r="D739" s="5" t="s">
        <v>16</v>
      </c>
      <c r="E739" s="5" t="s">
        <v>17</v>
      </c>
      <c r="F739" s="5" t="s">
        <v>25</v>
      </c>
      <c r="G739" s="5" t="s">
        <v>19</v>
      </c>
      <c r="H739" s="5">
        <v>17</v>
      </c>
      <c r="I739" s="5">
        <v>901</v>
      </c>
      <c r="J739" s="5">
        <v>1283</v>
      </c>
      <c r="K739" s="6">
        <f t="shared" si="44"/>
        <v>15317</v>
      </c>
      <c r="L739" s="6">
        <f t="shared" si="45"/>
        <v>21811</v>
      </c>
      <c r="M739" s="6">
        <f t="shared" si="46"/>
        <v>6494</v>
      </c>
      <c r="N739" s="6" t="str">
        <f t="shared" si="47"/>
        <v>profit</v>
      </c>
    </row>
    <row r="740" spans="1:14" ht="15.6" thickTop="1" thickBot="1" x14ac:dyDescent="0.35">
      <c r="A740" s="4">
        <v>45508</v>
      </c>
      <c r="B740" s="4" t="s">
        <v>57</v>
      </c>
      <c r="C740" s="5" t="s">
        <v>308</v>
      </c>
      <c r="D740" s="5" t="s">
        <v>33</v>
      </c>
      <c r="E740" s="5" t="s">
        <v>120</v>
      </c>
      <c r="F740" s="5" t="s">
        <v>78</v>
      </c>
      <c r="G740" s="5" t="s">
        <v>19</v>
      </c>
      <c r="H740" s="5">
        <v>98</v>
      </c>
      <c r="I740" s="5">
        <v>925</v>
      </c>
      <c r="J740" s="5">
        <v>904</v>
      </c>
      <c r="K740" s="6">
        <f t="shared" si="44"/>
        <v>90650</v>
      </c>
      <c r="L740" s="6">
        <f t="shared" si="45"/>
        <v>88592</v>
      </c>
      <c r="M740" s="6">
        <f t="shared" si="46"/>
        <v>-2058</v>
      </c>
      <c r="N740" s="6" t="str">
        <f t="shared" si="47"/>
        <v>loss</v>
      </c>
    </row>
    <row r="741" spans="1:14" ht="15.6" thickTop="1" thickBot="1" x14ac:dyDescent="0.35">
      <c r="A741" s="4">
        <v>45509</v>
      </c>
      <c r="B741" s="4" t="s">
        <v>57</v>
      </c>
      <c r="C741" s="5" t="s">
        <v>309</v>
      </c>
      <c r="D741" s="5" t="s">
        <v>33</v>
      </c>
      <c r="E741" s="5" t="s">
        <v>120</v>
      </c>
      <c r="F741" s="5" t="s">
        <v>35</v>
      </c>
      <c r="G741" s="5" t="s">
        <v>19</v>
      </c>
      <c r="H741" s="5">
        <v>73</v>
      </c>
      <c r="I741" s="5">
        <v>508</v>
      </c>
      <c r="J741" s="5">
        <v>1324</v>
      </c>
      <c r="K741" s="6">
        <f t="shared" si="44"/>
        <v>37084</v>
      </c>
      <c r="L741" s="6">
        <f t="shared" si="45"/>
        <v>96652</v>
      </c>
      <c r="M741" s="6">
        <f t="shared" si="46"/>
        <v>59568</v>
      </c>
      <c r="N741" s="6" t="str">
        <f t="shared" si="47"/>
        <v>profit</v>
      </c>
    </row>
    <row r="742" spans="1:14" ht="15.6" thickTop="1" thickBot="1" x14ac:dyDescent="0.35">
      <c r="A742" s="4">
        <v>45528</v>
      </c>
      <c r="B742" s="4" t="s">
        <v>57</v>
      </c>
      <c r="C742" s="5" t="s">
        <v>310</v>
      </c>
      <c r="D742" s="5" t="s">
        <v>33</v>
      </c>
      <c r="E742" s="5" t="s">
        <v>99</v>
      </c>
      <c r="F742" s="5" t="s">
        <v>39</v>
      </c>
      <c r="G742" s="5" t="s">
        <v>19</v>
      </c>
      <c r="H742" s="5">
        <v>87</v>
      </c>
      <c r="I742" s="5">
        <v>876</v>
      </c>
      <c r="J742" s="5">
        <v>880</v>
      </c>
      <c r="K742" s="6">
        <f t="shared" si="44"/>
        <v>76212</v>
      </c>
      <c r="L742" s="6">
        <f t="shared" si="45"/>
        <v>76560</v>
      </c>
      <c r="M742" s="6">
        <f t="shared" si="46"/>
        <v>348</v>
      </c>
      <c r="N742" s="6" t="str">
        <f t="shared" si="47"/>
        <v>profit</v>
      </c>
    </row>
    <row r="743" spans="1:14" ht="15.6" thickTop="1" thickBot="1" x14ac:dyDescent="0.35">
      <c r="A743" s="4">
        <v>45529</v>
      </c>
      <c r="B743" s="4" t="s">
        <v>57</v>
      </c>
      <c r="C743" s="5" t="s">
        <v>311</v>
      </c>
      <c r="D743" s="5" t="s">
        <v>33</v>
      </c>
      <c r="E743" s="5" t="s">
        <v>99</v>
      </c>
      <c r="F743" s="5" t="s">
        <v>30</v>
      </c>
      <c r="G743" s="5" t="s">
        <v>19</v>
      </c>
      <c r="H743" s="5">
        <v>69</v>
      </c>
      <c r="I743" s="5">
        <v>993</v>
      </c>
      <c r="J743" s="5">
        <v>862</v>
      </c>
      <c r="K743" s="6">
        <f t="shared" si="44"/>
        <v>68517</v>
      </c>
      <c r="L743" s="6">
        <f t="shared" si="45"/>
        <v>59478</v>
      </c>
      <c r="M743" s="6">
        <f t="shared" si="46"/>
        <v>-9039</v>
      </c>
      <c r="N743" s="6" t="str">
        <f t="shared" si="47"/>
        <v>loss</v>
      </c>
    </row>
    <row r="744" spans="1:14" ht="15.6" thickTop="1" thickBot="1" x14ac:dyDescent="0.35">
      <c r="A744" s="4">
        <v>45530</v>
      </c>
      <c r="B744" s="4" t="s">
        <v>57</v>
      </c>
      <c r="C744" s="5" t="s">
        <v>312</v>
      </c>
      <c r="D744" s="5" t="s">
        <v>33</v>
      </c>
      <c r="E744" s="5" t="s">
        <v>99</v>
      </c>
      <c r="F744" s="5" t="s">
        <v>113</v>
      </c>
      <c r="G744" s="5" t="s">
        <v>19</v>
      </c>
      <c r="H744" s="5">
        <v>62</v>
      </c>
      <c r="I744" s="5">
        <v>781</v>
      </c>
      <c r="J744" s="5">
        <v>946</v>
      </c>
      <c r="K744" s="6">
        <f t="shared" si="44"/>
        <v>48422</v>
      </c>
      <c r="L744" s="6">
        <f t="shared" si="45"/>
        <v>58652</v>
      </c>
      <c r="M744" s="6">
        <f t="shared" si="46"/>
        <v>10230</v>
      </c>
      <c r="N744" s="6" t="str">
        <f t="shared" si="47"/>
        <v>profit</v>
      </c>
    </row>
    <row r="745" spans="1:14" ht="15.6" thickTop="1" thickBot="1" x14ac:dyDescent="0.35">
      <c r="A745" s="4">
        <v>45464</v>
      </c>
      <c r="B745" s="4" t="s">
        <v>14</v>
      </c>
      <c r="C745" s="5" t="s">
        <v>115</v>
      </c>
      <c r="D745" s="5" t="s">
        <v>33</v>
      </c>
      <c r="E745" s="5" t="s">
        <v>99</v>
      </c>
      <c r="F745" s="5" t="s">
        <v>44</v>
      </c>
      <c r="G745" s="5" t="s">
        <v>19</v>
      </c>
      <c r="H745" s="5">
        <v>83</v>
      </c>
      <c r="I745" s="5">
        <v>889</v>
      </c>
      <c r="J745" s="5">
        <v>1075</v>
      </c>
      <c r="K745" s="6">
        <f t="shared" si="44"/>
        <v>73787</v>
      </c>
      <c r="L745" s="6">
        <f t="shared" si="45"/>
        <v>89225</v>
      </c>
      <c r="M745" s="6">
        <f t="shared" si="46"/>
        <v>15438</v>
      </c>
      <c r="N745" s="6" t="str">
        <f t="shared" si="47"/>
        <v>profit</v>
      </c>
    </row>
    <row r="746" spans="1:14" ht="15.6" thickTop="1" thickBot="1" x14ac:dyDescent="0.35">
      <c r="A746" s="4">
        <v>45531</v>
      </c>
      <c r="B746" s="4" t="s">
        <v>57</v>
      </c>
      <c r="C746" s="5" t="s">
        <v>313</v>
      </c>
      <c r="D746" s="5" t="s">
        <v>33</v>
      </c>
      <c r="E746" s="5" t="s">
        <v>99</v>
      </c>
      <c r="F746" s="5" t="s">
        <v>44</v>
      </c>
      <c r="G746" s="5" t="s">
        <v>19</v>
      </c>
      <c r="H746" s="5">
        <v>63</v>
      </c>
      <c r="I746" s="5">
        <v>718</v>
      </c>
      <c r="J746" s="5">
        <v>1047</v>
      </c>
      <c r="K746" s="6">
        <f t="shared" si="44"/>
        <v>45234</v>
      </c>
      <c r="L746" s="6">
        <f t="shared" si="45"/>
        <v>65961</v>
      </c>
      <c r="M746" s="6">
        <f t="shared" si="46"/>
        <v>20727</v>
      </c>
      <c r="N746" s="6" t="str">
        <f t="shared" si="47"/>
        <v>profit</v>
      </c>
    </row>
    <row r="747" spans="1:14" ht="15.6" thickTop="1" thickBot="1" x14ac:dyDescent="0.35">
      <c r="A747" s="4">
        <v>45532</v>
      </c>
      <c r="B747" s="4" t="s">
        <v>57</v>
      </c>
      <c r="C747" s="5" t="s">
        <v>314</v>
      </c>
      <c r="D747" s="5" t="s">
        <v>33</v>
      </c>
      <c r="E747" s="5" t="s">
        <v>99</v>
      </c>
      <c r="F747" s="5" t="s">
        <v>153</v>
      </c>
      <c r="G747" s="5" t="s">
        <v>19</v>
      </c>
      <c r="H747" s="5">
        <v>72</v>
      </c>
      <c r="I747" s="5">
        <v>673</v>
      </c>
      <c r="J747" s="5">
        <v>1027</v>
      </c>
      <c r="K747" s="6">
        <f t="shared" si="44"/>
        <v>48456</v>
      </c>
      <c r="L747" s="6">
        <f t="shared" si="45"/>
        <v>73944</v>
      </c>
      <c r="M747" s="6">
        <f t="shared" si="46"/>
        <v>25488</v>
      </c>
      <c r="N747" s="6" t="str">
        <f t="shared" si="47"/>
        <v>profit</v>
      </c>
    </row>
    <row r="748" spans="1:14" ht="15.6" thickTop="1" thickBot="1" x14ac:dyDescent="0.35">
      <c r="A748" s="4">
        <v>45533</v>
      </c>
      <c r="B748" s="4" t="s">
        <v>57</v>
      </c>
      <c r="C748" s="5" t="s">
        <v>315</v>
      </c>
      <c r="D748" s="5" t="s">
        <v>33</v>
      </c>
      <c r="E748" s="5" t="s">
        <v>99</v>
      </c>
      <c r="F748" s="5" t="s">
        <v>155</v>
      </c>
      <c r="G748" s="5" t="s">
        <v>19</v>
      </c>
      <c r="H748" s="5">
        <v>76</v>
      </c>
      <c r="I748" s="5">
        <v>567</v>
      </c>
      <c r="J748" s="5">
        <v>897</v>
      </c>
      <c r="K748" s="6">
        <f t="shared" si="44"/>
        <v>43092</v>
      </c>
      <c r="L748" s="6">
        <f t="shared" si="45"/>
        <v>68172</v>
      </c>
      <c r="M748" s="6">
        <f t="shared" si="46"/>
        <v>25080</v>
      </c>
      <c r="N748" s="6" t="str">
        <f t="shared" si="47"/>
        <v>profit</v>
      </c>
    </row>
    <row r="749" spans="1:14" ht="15.6" thickTop="1" thickBot="1" x14ac:dyDescent="0.35">
      <c r="A749" s="4">
        <v>45534</v>
      </c>
      <c r="B749" s="4" t="s">
        <v>57</v>
      </c>
      <c r="C749" s="5" t="s">
        <v>316</v>
      </c>
      <c r="D749" s="5" t="s">
        <v>33</v>
      </c>
      <c r="E749" s="5" t="s">
        <v>99</v>
      </c>
      <c r="F749" s="5" t="s">
        <v>18</v>
      </c>
      <c r="G749" s="5" t="s">
        <v>28</v>
      </c>
      <c r="H749" s="5">
        <v>70</v>
      </c>
      <c r="I749" s="5">
        <v>751</v>
      </c>
      <c r="J749" s="5">
        <v>1026</v>
      </c>
      <c r="K749" s="6">
        <f t="shared" si="44"/>
        <v>52570</v>
      </c>
      <c r="L749" s="6">
        <f t="shared" si="45"/>
        <v>71820</v>
      </c>
      <c r="M749" s="6">
        <f t="shared" si="46"/>
        <v>19250</v>
      </c>
      <c r="N749" s="6" t="str">
        <f t="shared" si="47"/>
        <v>profit</v>
      </c>
    </row>
    <row r="750" spans="1:14" ht="15.6" thickTop="1" thickBot="1" x14ac:dyDescent="0.35">
      <c r="A750" s="4">
        <v>45536</v>
      </c>
      <c r="B750" s="4" t="s">
        <v>69</v>
      </c>
      <c r="C750" s="5" t="s">
        <v>317</v>
      </c>
      <c r="D750" s="5" t="s">
        <v>33</v>
      </c>
      <c r="E750" s="5" t="s">
        <v>99</v>
      </c>
      <c r="F750" s="5" t="s">
        <v>23</v>
      </c>
      <c r="G750" s="5" t="s">
        <v>28</v>
      </c>
      <c r="H750" s="5">
        <v>56</v>
      </c>
      <c r="I750" s="5">
        <v>559</v>
      </c>
      <c r="J750" s="5">
        <v>1151</v>
      </c>
      <c r="K750" s="6">
        <f t="shared" si="44"/>
        <v>31304</v>
      </c>
      <c r="L750" s="6">
        <f t="shared" si="45"/>
        <v>64456</v>
      </c>
      <c r="M750" s="6">
        <f t="shared" si="46"/>
        <v>33152</v>
      </c>
      <c r="N750" s="6" t="str">
        <f t="shared" si="47"/>
        <v>profit</v>
      </c>
    </row>
    <row r="751" spans="1:14" ht="15.6" thickTop="1" thickBot="1" x14ac:dyDescent="0.35">
      <c r="A751" s="4">
        <v>45537</v>
      </c>
      <c r="B751" s="4" t="s">
        <v>69</v>
      </c>
      <c r="C751" s="5" t="s">
        <v>318</v>
      </c>
      <c r="D751" s="5" t="s">
        <v>33</v>
      </c>
      <c r="E751" s="5" t="s">
        <v>120</v>
      </c>
      <c r="F751" s="5" t="s">
        <v>25</v>
      </c>
      <c r="G751" s="5" t="s">
        <v>28</v>
      </c>
      <c r="H751" s="5">
        <v>72</v>
      </c>
      <c r="I751" s="5">
        <v>719</v>
      </c>
      <c r="J751" s="5">
        <v>911</v>
      </c>
      <c r="K751" s="6">
        <f t="shared" si="44"/>
        <v>51768</v>
      </c>
      <c r="L751" s="6">
        <f t="shared" si="45"/>
        <v>65592</v>
      </c>
      <c r="M751" s="6">
        <f t="shared" si="46"/>
        <v>13824</v>
      </c>
      <c r="N751" s="6" t="str">
        <f t="shared" si="47"/>
        <v>profit</v>
      </c>
    </row>
    <row r="752" spans="1:14" ht="15.6" thickTop="1" thickBot="1" x14ac:dyDescent="0.35">
      <c r="A752" s="4">
        <v>45538</v>
      </c>
      <c r="B752" s="4" t="s">
        <v>69</v>
      </c>
      <c r="C752" s="5" t="s">
        <v>319</v>
      </c>
      <c r="D752" s="5" t="s">
        <v>33</v>
      </c>
      <c r="E752" s="5" t="s">
        <v>120</v>
      </c>
      <c r="F752" s="5" t="s">
        <v>25</v>
      </c>
      <c r="G752" s="5" t="s">
        <v>28</v>
      </c>
      <c r="H752" s="5">
        <v>89</v>
      </c>
      <c r="I752" s="5">
        <v>703</v>
      </c>
      <c r="J752" s="5">
        <v>795</v>
      </c>
      <c r="K752" s="6">
        <f t="shared" si="44"/>
        <v>62567</v>
      </c>
      <c r="L752" s="6">
        <f t="shared" si="45"/>
        <v>70755</v>
      </c>
      <c r="M752" s="6">
        <f t="shared" si="46"/>
        <v>8188</v>
      </c>
      <c r="N752" s="6" t="str">
        <f t="shared" si="47"/>
        <v>profit</v>
      </c>
    </row>
    <row r="753" spans="1:14" ht="15.6" thickTop="1" thickBot="1" x14ac:dyDescent="0.35">
      <c r="A753" s="4">
        <v>45539</v>
      </c>
      <c r="B753" s="4" t="s">
        <v>69</v>
      </c>
      <c r="C753" s="5" t="s">
        <v>320</v>
      </c>
      <c r="D753" s="5" t="s">
        <v>33</v>
      </c>
      <c r="E753" s="5" t="s">
        <v>120</v>
      </c>
      <c r="F753" s="5" t="s">
        <v>27</v>
      </c>
      <c r="G753" s="5" t="s">
        <v>19</v>
      </c>
      <c r="H753" s="5">
        <v>77</v>
      </c>
      <c r="I753" s="5">
        <v>780</v>
      </c>
      <c r="J753" s="5">
        <v>967</v>
      </c>
      <c r="K753" s="6">
        <f t="shared" si="44"/>
        <v>60060</v>
      </c>
      <c r="L753" s="6">
        <f t="shared" si="45"/>
        <v>74459</v>
      </c>
      <c r="M753" s="6">
        <f t="shared" si="46"/>
        <v>14399</v>
      </c>
      <c r="N753" s="6" t="str">
        <f t="shared" si="47"/>
        <v>profit</v>
      </c>
    </row>
    <row r="754" spans="1:14" ht="15.6" thickTop="1" thickBot="1" x14ac:dyDescent="0.35">
      <c r="A754" s="4">
        <v>45541</v>
      </c>
      <c r="B754" s="4" t="s">
        <v>69</v>
      </c>
      <c r="C754" s="5" t="s">
        <v>321</v>
      </c>
      <c r="D754" s="5" t="s">
        <v>33</v>
      </c>
      <c r="E754" s="5" t="s">
        <v>120</v>
      </c>
      <c r="F754" s="5" t="s">
        <v>25</v>
      </c>
      <c r="G754" s="5" t="s">
        <v>19</v>
      </c>
      <c r="H754" s="5">
        <v>54</v>
      </c>
      <c r="I754" s="5">
        <v>762</v>
      </c>
      <c r="J754" s="5">
        <v>1186</v>
      </c>
      <c r="K754" s="6">
        <f t="shared" si="44"/>
        <v>41148</v>
      </c>
      <c r="L754" s="6">
        <f t="shared" si="45"/>
        <v>64044</v>
      </c>
      <c r="M754" s="6">
        <f t="shared" si="46"/>
        <v>22896</v>
      </c>
      <c r="N754" s="6" t="str">
        <f t="shared" si="47"/>
        <v>profit</v>
      </c>
    </row>
    <row r="755" spans="1:14" ht="15.6" thickTop="1" thickBot="1" x14ac:dyDescent="0.35">
      <c r="A755" s="4">
        <v>45542</v>
      </c>
      <c r="B755" s="4" t="s">
        <v>69</v>
      </c>
      <c r="C755" s="5" t="s">
        <v>322</v>
      </c>
      <c r="D755" s="5" t="s">
        <v>33</v>
      </c>
      <c r="E755" s="5" t="s">
        <v>120</v>
      </c>
      <c r="F755" s="5" t="s">
        <v>76</v>
      </c>
      <c r="G755" s="5" t="s">
        <v>28</v>
      </c>
      <c r="H755" s="5">
        <v>91</v>
      </c>
      <c r="I755" s="5">
        <v>647</v>
      </c>
      <c r="J755" s="5">
        <v>1073</v>
      </c>
      <c r="K755" s="6">
        <f t="shared" si="44"/>
        <v>58877</v>
      </c>
      <c r="L755" s="6">
        <f t="shared" si="45"/>
        <v>97643</v>
      </c>
      <c r="M755" s="6">
        <f t="shared" si="46"/>
        <v>38766</v>
      </c>
      <c r="N755" s="6" t="str">
        <f t="shared" si="47"/>
        <v>profit</v>
      </c>
    </row>
    <row r="756" spans="1:14" ht="15.6" thickTop="1" thickBot="1" x14ac:dyDescent="0.35">
      <c r="A756" s="4">
        <v>45475</v>
      </c>
      <c r="B756" s="4" t="s">
        <v>40</v>
      </c>
      <c r="C756" s="5" t="s">
        <v>116</v>
      </c>
      <c r="D756" s="5" t="s">
        <v>16</v>
      </c>
      <c r="E756" s="5" t="s">
        <v>37</v>
      </c>
      <c r="F756" s="5" t="s">
        <v>44</v>
      </c>
      <c r="G756" s="5" t="s">
        <v>19</v>
      </c>
      <c r="H756" s="5">
        <v>14</v>
      </c>
      <c r="I756" s="5">
        <v>684</v>
      </c>
      <c r="J756" s="5">
        <v>1483</v>
      </c>
      <c r="K756" s="6">
        <f t="shared" si="44"/>
        <v>9576</v>
      </c>
      <c r="L756" s="6">
        <f t="shared" si="45"/>
        <v>20762</v>
      </c>
      <c r="M756" s="6">
        <f t="shared" si="46"/>
        <v>11186</v>
      </c>
      <c r="N756" s="6" t="str">
        <f t="shared" si="47"/>
        <v>profit</v>
      </c>
    </row>
    <row r="757" spans="1:14" ht="15.6" thickTop="1" thickBot="1" x14ac:dyDescent="0.35">
      <c r="A757" s="4">
        <v>45555</v>
      </c>
      <c r="B757" s="4" t="s">
        <v>69</v>
      </c>
      <c r="C757" s="5" t="s">
        <v>323</v>
      </c>
      <c r="D757" s="5" t="s">
        <v>33</v>
      </c>
      <c r="E757" s="5" t="s">
        <v>120</v>
      </c>
      <c r="F757" s="5" t="s">
        <v>44</v>
      </c>
      <c r="G757" s="5" t="s">
        <v>28</v>
      </c>
      <c r="H757" s="5">
        <v>63</v>
      </c>
      <c r="I757" s="5">
        <v>720</v>
      </c>
      <c r="J757" s="5">
        <v>1458</v>
      </c>
      <c r="K757" s="6">
        <f t="shared" si="44"/>
        <v>45360</v>
      </c>
      <c r="L757" s="6">
        <f t="shared" si="45"/>
        <v>91854</v>
      </c>
      <c r="M757" s="6">
        <f t="shared" si="46"/>
        <v>46494</v>
      </c>
      <c r="N757" s="6" t="str">
        <f t="shared" si="47"/>
        <v>profit</v>
      </c>
    </row>
    <row r="758" spans="1:14" ht="15.6" thickTop="1" thickBot="1" x14ac:dyDescent="0.35">
      <c r="A758" s="4">
        <v>45556</v>
      </c>
      <c r="B758" s="4" t="s">
        <v>69</v>
      </c>
      <c r="C758" s="5" t="s">
        <v>324</v>
      </c>
      <c r="D758" s="5" t="s">
        <v>33</v>
      </c>
      <c r="E758" s="5" t="s">
        <v>120</v>
      </c>
      <c r="F758" s="5" t="s">
        <v>27</v>
      </c>
      <c r="G758" s="5" t="s">
        <v>28</v>
      </c>
      <c r="H758" s="5">
        <v>66</v>
      </c>
      <c r="I758" s="5">
        <v>958</v>
      </c>
      <c r="J758" s="5">
        <v>1017</v>
      </c>
      <c r="K758" s="6">
        <f t="shared" si="44"/>
        <v>63228</v>
      </c>
      <c r="L758" s="6">
        <f t="shared" si="45"/>
        <v>67122</v>
      </c>
      <c r="M758" s="6">
        <f t="shared" si="46"/>
        <v>3894</v>
      </c>
      <c r="N758" s="6" t="str">
        <f t="shared" si="47"/>
        <v>profit</v>
      </c>
    </row>
    <row r="759" spans="1:14" ht="15.6" thickTop="1" thickBot="1" x14ac:dyDescent="0.35">
      <c r="A759" s="4">
        <v>45557</v>
      </c>
      <c r="B759" s="4" t="s">
        <v>69</v>
      </c>
      <c r="C759" s="5" t="s">
        <v>325</v>
      </c>
      <c r="D759" s="5" t="s">
        <v>33</v>
      </c>
      <c r="E759" s="5" t="s">
        <v>120</v>
      </c>
      <c r="F759" s="5" t="s">
        <v>44</v>
      </c>
      <c r="G759" s="5" t="s">
        <v>28</v>
      </c>
      <c r="H759" s="5">
        <v>54</v>
      </c>
      <c r="I759" s="5">
        <v>663</v>
      </c>
      <c r="J759" s="5">
        <v>943</v>
      </c>
      <c r="K759" s="6">
        <f t="shared" si="44"/>
        <v>35802</v>
      </c>
      <c r="L759" s="6">
        <f t="shared" si="45"/>
        <v>50922</v>
      </c>
      <c r="M759" s="6">
        <f t="shared" si="46"/>
        <v>15120</v>
      </c>
      <c r="N759" s="6" t="str">
        <f t="shared" si="47"/>
        <v>profit</v>
      </c>
    </row>
    <row r="760" spans="1:14" ht="15.6" thickTop="1" thickBot="1" x14ac:dyDescent="0.35">
      <c r="A760" s="4">
        <v>45558</v>
      </c>
      <c r="B760" s="4" t="s">
        <v>69</v>
      </c>
      <c r="C760" s="5" t="s">
        <v>326</v>
      </c>
      <c r="D760" s="5" t="s">
        <v>33</v>
      </c>
      <c r="E760" s="5" t="s">
        <v>120</v>
      </c>
      <c r="F760" s="5" t="s">
        <v>49</v>
      </c>
      <c r="G760" s="5" t="s">
        <v>19</v>
      </c>
      <c r="H760" s="5">
        <v>73</v>
      </c>
      <c r="I760" s="5">
        <v>540</v>
      </c>
      <c r="J760" s="5">
        <v>1397</v>
      </c>
      <c r="K760" s="6">
        <f t="shared" si="44"/>
        <v>39420</v>
      </c>
      <c r="L760" s="6">
        <f t="shared" si="45"/>
        <v>101981</v>
      </c>
      <c r="M760" s="6">
        <f t="shared" si="46"/>
        <v>62561</v>
      </c>
      <c r="N760" s="6" t="str">
        <f t="shared" si="47"/>
        <v>profit</v>
      </c>
    </row>
    <row r="761" spans="1:14" ht="15.6" thickTop="1" thickBot="1" x14ac:dyDescent="0.35">
      <c r="A761" s="4">
        <v>45559</v>
      </c>
      <c r="B761" s="4" t="s">
        <v>69</v>
      </c>
      <c r="C761" s="5" t="s">
        <v>327</v>
      </c>
      <c r="D761" s="5" t="s">
        <v>33</v>
      </c>
      <c r="E761" s="5" t="s">
        <v>120</v>
      </c>
      <c r="F761" s="5" t="s">
        <v>27</v>
      </c>
      <c r="G761" s="5" t="s">
        <v>28</v>
      </c>
      <c r="H761" s="5">
        <v>76</v>
      </c>
      <c r="I761" s="5">
        <v>744</v>
      </c>
      <c r="J761" s="5">
        <v>1145</v>
      </c>
      <c r="K761" s="6">
        <f t="shared" si="44"/>
        <v>56544</v>
      </c>
      <c r="L761" s="6">
        <f t="shared" si="45"/>
        <v>87020</v>
      </c>
      <c r="M761" s="6">
        <f t="shared" si="46"/>
        <v>30476</v>
      </c>
      <c r="N761" s="6" t="str">
        <f t="shared" si="47"/>
        <v>profit</v>
      </c>
    </row>
    <row r="762" spans="1:14" ht="15.6" thickTop="1" thickBot="1" x14ac:dyDescent="0.35">
      <c r="A762" s="4">
        <v>45560</v>
      </c>
      <c r="B762" s="4" t="s">
        <v>69</v>
      </c>
      <c r="C762" s="5" t="s">
        <v>328</v>
      </c>
      <c r="D762" s="5" t="s">
        <v>33</v>
      </c>
      <c r="E762" s="5" t="s">
        <v>120</v>
      </c>
      <c r="F762" s="5" t="s">
        <v>52</v>
      </c>
      <c r="G762" s="5" t="s">
        <v>28</v>
      </c>
      <c r="H762" s="5">
        <v>94</v>
      </c>
      <c r="I762" s="5">
        <v>874</v>
      </c>
      <c r="J762" s="5">
        <v>895</v>
      </c>
      <c r="K762" s="6">
        <f t="shared" si="44"/>
        <v>82156</v>
      </c>
      <c r="L762" s="6">
        <f t="shared" si="45"/>
        <v>84130</v>
      </c>
      <c r="M762" s="6">
        <f t="shared" si="46"/>
        <v>1974</v>
      </c>
      <c r="N762" s="6" t="str">
        <f t="shared" si="47"/>
        <v>profit</v>
      </c>
    </row>
    <row r="763" spans="1:14" ht="15.6" thickTop="1" thickBot="1" x14ac:dyDescent="0.35">
      <c r="A763" s="4">
        <v>45561</v>
      </c>
      <c r="B763" s="4" t="s">
        <v>69</v>
      </c>
      <c r="C763" s="5" t="s">
        <v>329</v>
      </c>
      <c r="D763" s="5" t="s">
        <v>33</v>
      </c>
      <c r="E763" s="5" t="s">
        <v>120</v>
      </c>
      <c r="F763" s="5" t="s">
        <v>54</v>
      </c>
      <c r="G763" s="5" t="s">
        <v>28</v>
      </c>
      <c r="H763" s="5">
        <v>97</v>
      </c>
      <c r="I763" s="5">
        <v>752</v>
      </c>
      <c r="J763" s="5">
        <v>1286</v>
      </c>
      <c r="K763" s="6">
        <f t="shared" si="44"/>
        <v>72944</v>
      </c>
      <c r="L763" s="6">
        <f t="shared" si="45"/>
        <v>124742</v>
      </c>
      <c r="M763" s="6">
        <f t="shared" si="46"/>
        <v>51798</v>
      </c>
      <c r="N763" s="6" t="str">
        <f t="shared" si="47"/>
        <v>profit</v>
      </c>
    </row>
    <row r="764" spans="1:14" ht="15.6" thickTop="1" thickBot="1" x14ac:dyDescent="0.35">
      <c r="A764" s="4">
        <v>45569</v>
      </c>
      <c r="B764" s="4" t="s">
        <v>85</v>
      </c>
      <c r="C764" s="5" t="s">
        <v>330</v>
      </c>
      <c r="D764" s="5" t="s">
        <v>33</v>
      </c>
      <c r="E764" s="5" t="s">
        <v>99</v>
      </c>
      <c r="F764" s="5" t="s">
        <v>30</v>
      </c>
      <c r="G764" s="5" t="s">
        <v>19</v>
      </c>
      <c r="H764" s="5">
        <v>77</v>
      </c>
      <c r="I764" s="5">
        <v>951</v>
      </c>
      <c r="J764" s="5">
        <v>1432</v>
      </c>
      <c r="K764" s="6">
        <f t="shared" si="44"/>
        <v>73227</v>
      </c>
      <c r="L764" s="6">
        <f t="shared" si="45"/>
        <v>110264</v>
      </c>
      <c r="M764" s="6">
        <f t="shared" si="46"/>
        <v>37037</v>
      </c>
      <c r="N764" s="6" t="str">
        <f t="shared" si="47"/>
        <v>profit</v>
      </c>
    </row>
    <row r="765" spans="1:14" ht="15.6" thickTop="1" thickBot="1" x14ac:dyDescent="0.35">
      <c r="A765" s="4">
        <v>45570</v>
      </c>
      <c r="B765" s="4" t="s">
        <v>85</v>
      </c>
      <c r="C765" s="5" t="s">
        <v>331</v>
      </c>
      <c r="D765" s="5" t="s">
        <v>33</v>
      </c>
      <c r="E765" s="5" t="s">
        <v>99</v>
      </c>
      <c r="F765" s="5" t="s">
        <v>113</v>
      </c>
      <c r="G765" s="5" t="s">
        <v>19</v>
      </c>
      <c r="H765" s="5">
        <v>52</v>
      </c>
      <c r="I765" s="5">
        <v>633</v>
      </c>
      <c r="J765" s="5">
        <v>1226</v>
      </c>
      <c r="K765" s="6">
        <f t="shared" si="44"/>
        <v>32916</v>
      </c>
      <c r="L765" s="6">
        <f t="shared" si="45"/>
        <v>63752</v>
      </c>
      <c r="M765" s="6">
        <f t="shared" si="46"/>
        <v>30836</v>
      </c>
      <c r="N765" s="6" t="str">
        <f t="shared" si="47"/>
        <v>profit</v>
      </c>
    </row>
    <row r="766" spans="1:14" ht="15.6" thickTop="1" thickBot="1" x14ac:dyDescent="0.35">
      <c r="A766" s="4">
        <v>45572</v>
      </c>
      <c r="B766" s="4" t="s">
        <v>85</v>
      </c>
      <c r="C766" s="5" t="s">
        <v>332</v>
      </c>
      <c r="D766" s="5" t="s">
        <v>33</v>
      </c>
      <c r="E766" s="5" t="s">
        <v>99</v>
      </c>
      <c r="F766" s="5" t="s">
        <v>153</v>
      </c>
      <c r="G766" s="5" t="s">
        <v>19</v>
      </c>
      <c r="H766" s="5">
        <v>80</v>
      </c>
      <c r="I766" s="5">
        <v>982</v>
      </c>
      <c r="J766" s="5">
        <v>1224</v>
      </c>
      <c r="K766" s="6">
        <f t="shared" si="44"/>
        <v>78560</v>
      </c>
      <c r="L766" s="6">
        <f t="shared" si="45"/>
        <v>97920</v>
      </c>
      <c r="M766" s="6">
        <f t="shared" si="46"/>
        <v>19360</v>
      </c>
      <c r="N766" s="6" t="str">
        <f t="shared" si="47"/>
        <v>profit</v>
      </c>
    </row>
    <row r="767" spans="1:14" ht="15.6" thickTop="1" thickBot="1" x14ac:dyDescent="0.35">
      <c r="A767" s="4">
        <v>45573</v>
      </c>
      <c r="B767" s="4" t="s">
        <v>85</v>
      </c>
      <c r="C767" s="5" t="s">
        <v>333</v>
      </c>
      <c r="D767" s="5" t="s">
        <v>33</v>
      </c>
      <c r="E767" s="5" t="s">
        <v>99</v>
      </c>
      <c r="F767" s="5" t="s">
        <v>155</v>
      </c>
      <c r="G767" s="5" t="s">
        <v>19</v>
      </c>
      <c r="H767" s="5">
        <v>81</v>
      </c>
      <c r="I767" s="5">
        <v>917</v>
      </c>
      <c r="J767" s="5">
        <v>1344</v>
      </c>
      <c r="K767" s="6">
        <f t="shared" si="44"/>
        <v>74277</v>
      </c>
      <c r="L767" s="6">
        <f t="shared" si="45"/>
        <v>108864</v>
      </c>
      <c r="M767" s="6">
        <f t="shared" si="46"/>
        <v>34587</v>
      </c>
      <c r="N767" s="6" t="str">
        <f t="shared" si="47"/>
        <v>profit</v>
      </c>
    </row>
    <row r="768" spans="1:14" ht="15.6" thickTop="1" thickBot="1" x14ac:dyDescent="0.35">
      <c r="A768" s="4">
        <v>45574</v>
      </c>
      <c r="B768" s="4" t="s">
        <v>85</v>
      </c>
      <c r="C768" s="5" t="s">
        <v>334</v>
      </c>
      <c r="D768" s="5" t="s">
        <v>33</v>
      </c>
      <c r="E768" s="5" t="s">
        <v>120</v>
      </c>
      <c r="F768" s="5" t="s">
        <v>18</v>
      </c>
      <c r="G768" s="5" t="s">
        <v>19</v>
      </c>
      <c r="H768" s="5">
        <v>63</v>
      </c>
      <c r="I768" s="5">
        <v>747</v>
      </c>
      <c r="J768" s="5">
        <v>778</v>
      </c>
      <c r="K768" s="6">
        <f t="shared" si="44"/>
        <v>47061</v>
      </c>
      <c r="L768" s="6">
        <f t="shared" si="45"/>
        <v>49014</v>
      </c>
      <c r="M768" s="6">
        <f t="shared" si="46"/>
        <v>1953</v>
      </c>
      <c r="N768" s="6" t="str">
        <f t="shared" si="47"/>
        <v>profit</v>
      </c>
    </row>
    <row r="769" spans="1:14" ht="15.6" thickTop="1" thickBot="1" x14ac:dyDescent="0.35">
      <c r="A769" s="4">
        <v>45488</v>
      </c>
      <c r="B769" s="4" t="s">
        <v>40</v>
      </c>
      <c r="C769" s="5" t="s">
        <v>117</v>
      </c>
      <c r="D769" s="5" t="s">
        <v>46</v>
      </c>
      <c r="E769" s="5" t="s">
        <v>118</v>
      </c>
      <c r="F769" s="5" t="s">
        <v>39</v>
      </c>
      <c r="G769" s="5" t="s">
        <v>19</v>
      </c>
      <c r="H769" s="5">
        <v>23</v>
      </c>
      <c r="I769" s="5">
        <v>559</v>
      </c>
      <c r="J769" s="5">
        <v>1456</v>
      </c>
      <c r="K769" s="6">
        <f t="shared" si="44"/>
        <v>12857</v>
      </c>
      <c r="L769" s="6">
        <f t="shared" si="45"/>
        <v>33488</v>
      </c>
      <c r="M769" s="6">
        <f t="shared" si="46"/>
        <v>20631</v>
      </c>
      <c r="N769" s="6" t="str">
        <f t="shared" si="47"/>
        <v>profit</v>
      </c>
    </row>
    <row r="770" spans="1:14" ht="15.6" thickTop="1" thickBot="1" x14ac:dyDescent="0.35">
      <c r="A770" s="4">
        <v>45575</v>
      </c>
      <c r="B770" s="4" t="s">
        <v>85</v>
      </c>
      <c r="C770" s="5" t="s">
        <v>335</v>
      </c>
      <c r="D770" s="5" t="s">
        <v>33</v>
      </c>
      <c r="E770" s="5" t="s">
        <v>120</v>
      </c>
      <c r="F770" s="5" t="s">
        <v>21</v>
      </c>
      <c r="G770" s="5" t="s">
        <v>19</v>
      </c>
      <c r="H770" s="5">
        <v>88</v>
      </c>
      <c r="I770" s="5">
        <v>978</v>
      </c>
      <c r="J770" s="5">
        <v>1231</v>
      </c>
      <c r="K770" s="6">
        <f t="shared" ref="K770:K833" si="48">H770*I770</f>
        <v>86064</v>
      </c>
      <c r="L770" s="6">
        <f t="shared" ref="L770:L833" si="49">H770*J770</f>
        <v>108328</v>
      </c>
      <c r="M770" s="6">
        <f t="shared" ref="M770:M833" si="50">L770-K770</f>
        <v>22264</v>
      </c>
      <c r="N770" s="6" t="str">
        <f t="shared" ref="N770:N833" si="51">IF(M770&gt;0,"profit","loss")</f>
        <v>profit</v>
      </c>
    </row>
    <row r="771" spans="1:14" ht="15.6" thickTop="1" thickBot="1" x14ac:dyDescent="0.35">
      <c r="A771" s="4">
        <v>45576</v>
      </c>
      <c r="B771" s="4" t="s">
        <v>85</v>
      </c>
      <c r="C771" s="5" t="s">
        <v>336</v>
      </c>
      <c r="D771" s="5" t="s">
        <v>33</v>
      </c>
      <c r="E771" s="5" t="s">
        <v>120</v>
      </c>
      <c r="F771" s="5" t="s">
        <v>23</v>
      </c>
      <c r="G771" s="5" t="s">
        <v>19</v>
      </c>
      <c r="H771" s="5">
        <v>82</v>
      </c>
      <c r="I771" s="5">
        <v>652</v>
      </c>
      <c r="J771" s="5">
        <v>994</v>
      </c>
      <c r="K771" s="6">
        <f t="shared" si="48"/>
        <v>53464</v>
      </c>
      <c r="L771" s="6">
        <f t="shared" si="49"/>
        <v>81508</v>
      </c>
      <c r="M771" s="6">
        <f t="shared" si="50"/>
        <v>28044</v>
      </c>
      <c r="N771" s="6" t="str">
        <f t="shared" si="51"/>
        <v>profit</v>
      </c>
    </row>
    <row r="772" spans="1:14" ht="15.6" thickTop="1" thickBot="1" x14ac:dyDescent="0.35">
      <c r="A772" s="4">
        <v>45577</v>
      </c>
      <c r="B772" s="4" t="s">
        <v>85</v>
      </c>
      <c r="C772" s="5" t="s">
        <v>337</v>
      </c>
      <c r="D772" s="5" t="s">
        <v>33</v>
      </c>
      <c r="E772" s="5" t="s">
        <v>120</v>
      </c>
      <c r="F772" s="5" t="s">
        <v>25</v>
      </c>
      <c r="G772" s="5" t="s">
        <v>19</v>
      </c>
      <c r="H772" s="5">
        <v>80</v>
      </c>
      <c r="I772" s="5">
        <v>841</v>
      </c>
      <c r="J772" s="5">
        <v>1490</v>
      </c>
      <c r="K772" s="6">
        <f t="shared" si="48"/>
        <v>67280</v>
      </c>
      <c r="L772" s="6">
        <f t="shared" si="49"/>
        <v>119200</v>
      </c>
      <c r="M772" s="6">
        <f t="shared" si="50"/>
        <v>51920</v>
      </c>
      <c r="N772" s="6" t="str">
        <f t="shared" si="51"/>
        <v>profit</v>
      </c>
    </row>
    <row r="773" spans="1:14" ht="15.6" thickTop="1" thickBot="1" x14ac:dyDescent="0.35">
      <c r="A773" s="4">
        <v>45579</v>
      </c>
      <c r="B773" s="4" t="s">
        <v>85</v>
      </c>
      <c r="C773" s="5" t="s">
        <v>338</v>
      </c>
      <c r="D773" s="5" t="s">
        <v>33</v>
      </c>
      <c r="E773" s="5" t="s">
        <v>120</v>
      </c>
      <c r="F773" s="5" t="s">
        <v>27</v>
      </c>
      <c r="G773" s="5" t="s">
        <v>28</v>
      </c>
      <c r="H773" s="5">
        <v>70</v>
      </c>
      <c r="I773" s="5">
        <v>798</v>
      </c>
      <c r="J773" s="5">
        <v>1318</v>
      </c>
      <c r="K773" s="6">
        <f t="shared" si="48"/>
        <v>55860</v>
      </c>
      <c r="L773" s="6">
        <f t="shared" si="49"/>
        <v>92260</v>
      </c>
      <c r="M773" s="6">
        <f t="shared" si="50"/>
        <v>36400</v>
      </c>
      <c r="N773" s="6" t="str">
        <f t="shared" si="51"/>
        <v>profit</v>
      </c>
    </row>
    <row r="774" spans="1:14" ht="15.6" thickTop="1" thickBot="1" x14ac:dyDescent="0.35">
      <c r="A774" s="4">
        <v>45592</v>
      </c>
      <c r="B774" s="4" t="s">
        <v>85</v>
      </c>
      <c r="C774" s="5" t="s">
        <v>339</v>
      </c>
      <c r="D774" s="5" t="s">
        <v>33</v>
      </c>
      <c r="E774" s="5" t="s">
        <v>34</v>
      </c>
      <c r="F774" s="5" t="s">
        <v>113</v>
      </c>
      <c r="G774" s="5" t="s">
        <v>28</v>
      </c>
      <c r="H774" s="5">
        <v>69</v>
      </c>
      <c r="I774" s="5">
        <v>921</v>
      </c>
      <c r="J774" s="5">
        <v>1177</v>
      </c>
      <c r="K774" s="6">
        <f t="shared" si="48"/>
        <v>63549</v>
      </c>
      <c r="L774" s="6">
        <f t="shared" si="49"/>
        <v>81213</v>
      </c>
      <c r="M774" s="6">
        <f t="shared" si="50"/>
        <v>17664</v>
      </c>
      <c r="N774" s="6" t="str">
        <f t="shared" si="51"/>
        <v>profit</v>
      </c>
    </row>
    <row r="775" spans="1:14" ht="15.6" thickTop="1" thickBot="1" x14ac:dyDescent="0.35">
      <c r="A775" s="4">
        <v>45593</v>
      </c>
      <c r="B775" s="4" t="s">
        <v>85</v>
      </c>
      <c r="C775" s="5" t="s">
        <v>340</v>
      </c>
      <c r="D775" s="5" t="s">
        <v>33</v>
      </c>
      <c r="E775" s="5" t="s">
        <v>34</v>
      </c>
      <c r="F775" s="5" t="s">
        <v>44</v>
      </c>
      <c r="G775" s="5" t="s">
        <v>28</v>
      </c>
      <c r="H775" s="5">
        <v>60</v>
      </c>
      <c r="I775" s="5">
        <v>729</v>
      </c>
      <c r="J775" s="5">
        <v>759</v>
      </c>
      <c r="K775" s="6">
        <f t="shared" si="48"/>
        <v>43740</v>
      </c>
      <c r="L775" s="6">
        <f t="shared" si="49"/>
        <v>45540</v>
      </c>
      <c r="M775" s="6">
        <f t="shared" si="50"/>
        <v>1800</v>
      </c>
      <c r="N775" s="6" t="str">
        <f t="shared" si="51"/>
        <v>profit</v>
      </c>
    </row>
    <row r="776" spans="1:14" ht="15.6" thickTop="1" thickBot="1" x14ac:dyDescent="0.35">
      <c r="A776" s="4">
        <v>45594</v>
      </c>
      <c r="B776" s="4" t="s">
        <v>85</v>
      </c>
      <c r="C776" s="5" t="s">
        <v>341</v>
      </c>
      <c r="D776" s="5" t="s">
        <v>33</v>
      </c>
      <c r="E776" s="5" t="s">
        <v>34</v>
      </c>
      <c r="F776" s="5" t="s">
        <v>153</v>
      </c>
      <c r="G776" s="5" t="s">
        <v>19</v>
      </c>
      <c r="H776" s="5">
        <v>99</v>
      </c>
      <c r="I776" s="5">
        <v>880</v>
      </c>
      <c r="J776" s="5">
        <v>1318</v>
      </c>
      <c r="K776" s="6">
        <f t="shared" si="48"/>
        <v>87120</v>
      </c>
      <c r="L776" s="6">
        <f t="shared" si="49"/>
        <v>130482</v>
      </c>
      <c r="M776" s="6">
        <f t="shared" si="50"/>
        <v>43362</v>
      </c>
      <c r="N776" s="6" t="str">
        <f t="shared" si="51"/>
        <v>profit</v>
      </c>
    </row>
    <row r="777" spans="1:14" ht="15.6" thickTop="1" thickBot="1" x14ac:dyDescent="0.35">
      <c r="A777" s="4">
        <v>45595</v>
      </c>
      <c r="B777" s="4" t="s">
        <v>85</v>
      </c>
      <c r="C777" s="5" t="s">
        <v>342</v>
      </c>
      <c r="D777" s="5" t="s">
        <v>33</v>
      </c>
      <c r="E777" s="5" t="s">
        <v>34</v>
      </c>
      <c r="F777" s="5" t="s">
        <v>155</v>
      </c>
      <c r="G777" s="5" t="s">
        <v>28</v>
      </c>
      <c r="H777" s="5">
        <v>88</v>
      </c>
      <c r="I777" s="5">
        <v>552</v>
      </c>
      <c r="J777" s="5">
        <v>1422</v>
      </c>
      <c r="K777" s="6">
        <f t="shared" si="48"/>
        <v>48576</v>
      </c>
      <c r="L777" s="6">
        <f t="shared" si="49"/>
        <v>125136</v>
      </c>
      <c r="M777" s="6">
        <f t="shared" si="50"/>
        <v>76560</v>
      </c>
      <c r="N777" s="6" t="str">
        <f t="shared" si="51"/>
        <v>profit</v>
      </c>
    </row>
    <row r="778" spans="1:14" ht="15.6" thickTop="1" thickBot="1" x14ac:dyDescent="0.35">
      <c r="A778" s="4">
        <v>45603</v>
      </c>
      <c r="B778" s="4" t="s">
        <v>161</v>
      </c>
      <c r="C778" s="5" t="s">
        <v>343</v>
      </c>
      <c r="D778" s="5" t="s">
        <v>33</v>
      </c>
      <c r="E778" s="5" t="s">
        <v>163</v>
      </c>
      <c r="F778" s="5" t="s">
        <v>25</v>
      </c>
      <c r="G778" s="5" t="s">
        <v>19</v>
      </c>
      <c r="H778" s="5">
        <v>60</v>
      </c>
      <c r="I778" s="5">
        <v>827</v>
      </c>
      <c r="J778" s="5">
        <v>762</v>
      </c>
      <c r="K778" s="6">
        <f t="shared" si="48"/>
        <v>49620</v>
      </c>
      <c r="L778" s="6">
        <f t="shared" si="49"/>
        <v>45720</v>
      </c>
      <c r="M778" s="6">
        <f t="shared" si="50"/>
        <v>-3900</v>
      </c>
      <c r="N778" s="6" t="str">
        <f t="shared" si="51"/>
        <v>loss</v>
      </c>
    </row>
    <row r="779" spans="1:14" ht="15.6" thickTop="1" thickBot="1" x14ac:dyDescent="0.35">
      <c r="A779" s="4">
        <v>45604</v>
      </c>
      <c r="B779" s="4" t="s">
        <v>161</v>
      </c>
      <c r="C779" s="5" t="s">
        <v>344</v>
      </c>
      <c r="D779" s="5" t="s">
        <v>33</v>
      </c>
      <c r="E779" s="5" t="s">
        <v>163</v>
      </c>
      <c r="F779" s="5" t="s">
        <v>76</v>
      </c>
      <c r="G779" s="5" t="s">
        <v>19</v>
      </c>
      <c r="H779" s="5">
        <v>64</v>
      </c>
      <c r="I779" s="5">
        <v>529</v>
      </c>
      <c r="J779" s="5">
        <v>1195</v>
      </c>
      <c r="K779" s="6">
        <f t="shared" si="48"/>
        <v>33856</v>
      </c>
      <c r="L779" s="6">
        <f t="shared" si="49"/>
        <v>76480</v>
      </c>
      <c r="M779" s="6">
        <f t="shared" si="50"/>
        <v>42624</v>
      </c>
      <c r="N779" s="6" t="str">
        <f t="shared" si="51"/>
        <v>profit</v>
      </c>
    </row>
    <row r="780" spans="1:14" ht="15.6" thickTop="1" thickBot="1" x14ac:dyDescent="0.35">
      <c r="A780" s="4">
        <v>45606</v>
      </c>
      <c r="B780" s="4" t="s">
        <v>161</v>
      </c>
      <c r="C780" s="5" t="s">
        <v>345</v>
      </c>
      <c r="D780" s="5" t="s">
        <v>33</v>
      </c>
      <c r="E780" s="5" t="s">
        <v>163</v>
      </c>
      <c r="F780" s="5" t="s">
        <v>44</v>
      </c>
      <c r="G780" s="5" t="s">
        <v>19</v>
      </c>
      <c r="H780" s="5">
        <v>51</v>
      </c>
      <c r="I780" s="5">
        <v>859</v>
      </c>
      <c r="J780" s="5">
        <v>1243</v>
      </c>
      <c r="K780" s="6">
        <f t="shared" si="48"/>
        <v>43809</v>
      </c>
      <c r="L780" s="6">
        <f t="shared" si="49"/>
        <v>63393</v>
      </c>
      <c r="M780" s="6">
        <f t="shared" si="50"/>
        <v>19584</v>
      </c>
      <c r="N780" s="6" t="str">
        <f t="shared" si="51"/>
        <v>profit</v>
      </c>
    </row>
    <row r="781" spans="1:14" ht="15.6" thickTop="1" thickBot="1" x14ac:dyDescent="0.35">
      <c r="A781" s="4">
        <v>45607</v>
      </c>
      <c r="B781" s="4" t="s">
        <v>161</v>
      </c>
      <c r="C781" s="5" t="s">
        <v>346</v>
      </c>
      <c r="D781" s="5" t="s">
        <v>33</v>
      </c>
      <c r="E781" s="5" t="s">
        <v>163</v>
      </c>
      <c r="F781" s="5" t="s">
        <v>25</v>
      </c>
      <c r="G781" s="5" t="s">
        <v>19</v>
      </c>
      <c r="H781" s="5">
        <v>68</v>
      </c>
      <c r="I781" s="5">
        <v>756</v>
      </c>
      <c r="J781" s="5">
        <v>887</v>
      </c>
      <c r="K781" s="6">
        <f t="shared" si="48"/>
        <v>51408</v>
      </c>
      <c r="L781" s="6">
        <f t="shared" si="49"/>
        <v>60316</v>
      </c>
      <c r="M781" s="6">
        <f t="shared" si="50"/>
        <v>8908</v>
      </c>
      <c r="N781" s="6" t="str">
        <f t="shared" si="51"/>
        <v>profit</v>
      </c>
    </row>
    <row r="782" spans="1:14" ht="15.6" thickTop="1" thickBot="1" x14ac:dyDescent="0.35">
      <c r="A782" s="4">
        <v>45608</v>
      </c>
      <c r="B782" s="4" t="s">
        <v>161</v>
      </c>
      <c r="C782" s="5" t="s">
        <v>347</v>
      </c>
      <c r="D782" s="5" t="s">
        <v>33</v>
      </c>
      <c r="E782" s="5" t="s">
        <v>163</v>
      </c>
      <c r="F782" s="5" t="s">
        <v>64</v>
      </c>
      <c r="G782" s="5" t="s">
        <v>19</v>
      </c>
      <c r="H782" s="5">
        <v>87</v>
      </c>
      <c r="I782" s="5">
        <v>882</v>
      </c>
      <c r="J782" s="5">
        <v>1211</v>
      </c>
      <c r="K782" s="6">
        <f t="shared" si="48"/>
        <v>76734</v>
      </c>
      <c r="L782" s="6">
        <f t="shared" si="49"/>
        <v>105357</v>
      </c>
      <c r="M782" s="6">
        <f t="shared" si="50"/>
        <v>28623</v>
      </c>
      <c r="N782" s="6" t="str">
        <f t="shared" si="51"/>
        <v>profit</v>
      </c>
    </row>
    <row r="783" spans="1:14" ht="15.6" thickTop="1" thickBot="1" x14ac:dyDescent="0.35">
      <c r="A783" s="4">
        <v>45636</v>
      </c>
      <c r="B783" s="4" t="s">
        <v>190</v>
      </c>
      <c r="C783" s="5" t="s">
        <v>192</v>
      </c>
      <c r="D783" s="5" t="s">
        <v>33</v>
      </c>
      <c r="E783" s="5" t="s">
        <v>99</v>
      </c>
      <c r="F783" s="5" t="s">
        <v>18</v>
      </c>
      <c r="G783" s="5" t="s">
        <v>28</v>
      </c>
      <c r="H783" s="5">
        <v>51</v>
      </c>
      <c r="I783" s="5">
        <v>685</v>
      </c>
      <c r="J783" s="5">
        <v>1224</v>
      </c>
      <c r="K783" s="6">
        <f t="shared" si="48"/>
        <v>34935</v>
      </c>
      <c r="L783" s="6">
        <f t="shared" si="49"/>
        <v>62424</v>
      </c>
      <c r="M783" s="6">
        <f t="shared" si="50"/>
        <v>27489</v>
      </c>
      <c r="N783" s="6" t="str">
        <f t="shared" si="51"/>
        <v>profit</v>
      </c>
    </row>
    <row r="784" spans="1:14" ht="15.6" thickTop="1" thickBot="1" x14ac:dyDescent="0.35">
      <c r="A784" s="4">
        <v>45638</v>
      </c>
      <c r="B784" s="4" t="s">
        <v>190</v>
      </c>
      <c r="C784" s="5" t="s">
        <v>348</v>
      </c>
      <c r="D784" s="5" t="s">
        <v>33</v>
      </c>
      <c r="E784" s="5" t="s">
        <v>99</v>
      </c>
      <c r="F784" s="5" t="s">
        <v>23</v>
      </c>
      <c r="G784" s="5" t="s">
        <v>19</v>
      </c>
      <c r="H784" s="5">
        <v>72</v>
      </c>
      <c r="I784" s="5">
        <v>765</v>
      </c>
      <c r="J784" s="5">
        <v>1368</v>
      </c>
      <c r="K784" s="6">
        <f t="shared" si="48"/>
        <v>55080</v>
      </c>
      <c r="L784" s="6">
        <f t="shared" si="49"/>
        <v>98496</v>
      </c>
      <c r="M784" s="6">
        <f t="shared" si="50"/>
        <v>43416</v>
      </c>
      <c r="N784" s="6" t="str">
        <f t="shared" si="51"/>
        <v>profit</v>
      </c>
    </row>
    <row r="785" spans="1:14" ht="15.6" thickTop="1" thickBot="1" x14ac:dyDescent="0.35">
      <c r="A785" s="4">
        <v>45639</v>
      </c>
      <c r="B785" s="4" t="s">
        <v>190</v>
      </c>
      <c r="C785" s="5" t="s">
        <v>349</v>
      </c>
      <c r="D785" s="5" t="s">
        <v>33</v>
      </c>
      <c r="E785" s="5" t="s">
        <v>99</v>
      </c>
      <c r="F785" s="5" t="s">
        <v>25</v>
      </c>
      <c r="G785" s="5" t="s">
        <v>19</v>
      </c>
      <c r="H785" s="5">
        <v>54</v>
      </c>
      <c r="I785" s="5">
        <v>702</v>
      </c>
      <c r="J785" s="5">
        <v>930</v>
      </c>
      <c r="K785" s="6">
        <f t="shared" si="48"/>
        <v>37908</v>
      </c>
      <c r="L785" s="6">
        <f t="shared" si="49"/>
        <v>50220</v>
      </c>
      <c r="M785" s="6">
        <f t="shared" si="50"/>
        <v>12312</v>
      </c>
      <c r="N785" s="6" t="str">
        <f t="shared" si="51"/>
        <v>profit</v>
      </c>
    </row>
    <row r="786" spans="1:14" ht="15.6" thickTop="1" thickBot="1" x14ac:dyDescent="0.35">
      <c r="A786" s="4">
        <v>45640</v>
      </c>
      <c r="B786" s="4" t="s">
        <v>190</v>
      </c>
      <c r="C786" s="5" t="s">
        <v>350</v>
      </c>
      <c r="D786" s="5" t="s">
        <v>33</v>
      </c>
      <c r="E786" s="5" t="s">
        <v>99</v>
      </c>
      <c r="F786" s="5" t="s">
        <v>35</v>
      </c>
      <c r="G786" s="5" t="s">
        <v>19</v>
      </c>
      <c r="H786" s="5">
        <v>97</v>
      </c>
      <c r="I786" s="5">
        <v>917</v>
      </c>
      <c r="J786" s="5">
        <v>1203</v>
      </c>
      <c r="K786" s="6">
        <f t="shared" si="48"/>
        <v>88949</v>
      </c>
      <c r="L786" s="6">
        <f t="shared" si="49"/>
        <v>116691</v>
      </c>
      <c r="M786" s="6">
        <f t="shared" si="50"/>
        <v>27742</v>
      </c>
      <c r="N786" s="6" t="str">
        <f t="shared" si="51"/>
        <v>profit</v>
      </c>
    </row>
    <row r="787" spans="1:14" ht="15.6" thickTop="1" thickBot="1" x14ac:dyDescent="0.35">
      <c r="A787" s="4">
        <v>45641</v>
      </c>
      <c r="B787" s="4" t="s">
        <v>190</v>
      </c>
      <c r="C787" s="5" t="s">
        <v>351</v>
      </c>
      <c r="D787" s="5" t="s">
        <v>33</v>
      </c>
      <c r="E787" s="5" t="s">
        <v>99</v>
      </c>
      <c r="F787" s="5" t="s">
        <v>39</v>
      </c>
      <c r="G787" s="5" t="s">
        <v>19</v>
      </c>
      <c r="H787" s="5">
        <v>84</v>
      </c>
      <c r="I787" s="5">
        <v>516</v>
      </c>
      <c r="J787" s="5">
        <v>820</v>
      </c>
      <c r="K787" s="6">
        <f t="shared" si="48"/>
        <v>43344</v>
      </c>
      <c r="L787" s="6">
        <f t="shared" si="49"/>
        <v>68880</v>
      </c>
      <c r="M787" s="6">
        <f t="shared" si="50"/>
        <v>25536</v>
      </c>
      <c r="N787" s="6" t="str">
        <f t="shared" si="51"/>
        <v>profit</v>
      </c>
    </row>
    <row r="788" spans="1:14" ht="15.6" thickTop="1" thickBot="1" x14ac:dyDescent="0.35">
      <c r="A788" s="4">
        <v>45507</v>
      </c>
      <c r="B788" s="4" t="s">
        <v>57</v>
      </c>
      <c r="C788" s="5" t="s">
        <v>119</v>
      </c>
      <c r="D788" s="5" t="s">
        <v>33</v>
      </c>
      <c r="E788" s="5" t="s">
        <v>120</v>
      </c>
      <c r="F788" s="5" t="s">
        <v>76</v>
      </c>
      <c r="G788" s="5" t="s">
        <v>28</v>
      </c>
      <c r="H788" s="5">
        <v>66</v>
      </c>
      <c r="I788" s="5">
        <v>715</v>
      </c>
      <c r="J788" s="5">
        <v>1460</v>
      </c>
      <c r="K788" s="6">
        <f t="shared" si="48"/>
        <v>47190</v>
      </c>
      <c r="L788" s="6">
        <f t="shared" si="49"/>
        <v>96360</v>
      </c>
      <c r="M788" s="6">
        <f t="shared" si="50"/>
        <v>49170</v>
      </c>
      <c r="N788" s="6" t="str">
        <f t="shared" si="51"/>
        <v>profit</v>
      </c>
    </row>
    <row r="789" spans="1:14" ht="15.6" thickTop="1" thickBot="1" x14ac:dyDescent="0.35">
      <c r="A789" s="4">
        <v>45643</v>
      </c>
      <c r="B789" s="4" t="s">
        <v>190</v>
      </c>
      <c r="C789" s="5" t="s">
        <v>352</v>
      </c>
      <c r="D789" s="5" t="s">
        <v>33</v>
      </c>
      <c r="E789" s="5" t="s">
        <v>99</v>
      </c>
      <c r="F789" s="5" t="s">
        <v>64</v>
      </c>
      <c r="G789" s="5" t="s">
        <v>19</v>
      </c>
      <c r="H789" s="5">
        <v>92</v>
      </c>
      <c r="I789" s="5">
        <v>789</v>
      </c>
      <c r="J789" s="5">
        <v>1229</v>
      </c>
      <c r="K789" s="6">
        <f t="shared" si="48"/>
        <v>72588</v>
      </c>
      <c r="L789" s="6">
        <f t="shared" si="49"/>
        <v>113068</v>
      </c>
      <c r="M789" s="6">
        <f t="shared" si="50"/>
        <v>40480</v>
      </c>
      <c r="N789" s="6" t="str">
        <f t="shared" si="51"/>
        <v>profit</v>
      </c>
    </row>
    <row r="790" spans="1:14" ht="15.6" thickTop="1" thickBot="1" x14ac:dyDescent="0.35">
      <c r="A790" s="4">
        <v>45644</v>
      </c>
      <c r="B790" s="4" t="s">
        <v>190</v>
      </c>
      <c r="C790" s="5" t="s">
        <v>353</v>
      </c>
      <c r="D790" s="5" t="s">
        <v>33</v>
      </c>
      <c r="E790" s="5" t="s">
        <v>99</v>
      </c>
      <c r="F790" s="5" t="s">
        <v>64</v>
      </c>
      <c r="G790" s="5" t="s">
        <v>19</v>
      </c>
      <c r="H790" s="5">
        <v>53</v>
      </c>
      <c r="I790" s="5">
        <v>962</v>
      </c>
      <c r="J790" s="5">
        <v>1442</v>
      </c>
      <c r="K790" s="6">
        <f t="shared" si="48"/>
        <v>50986</v>
      </c>
      <c r="L790" s="6">
        <f t="shared" si="49"/>
        <v>76426</v>
      </c>
      <c r="M790" s="6">
        <f t="shared" si="50"/>
        <v>25440</v>
      </c>
      <c r="N790" s="6" t="str">
        <f t="shared" si="51"/>
        <v>profit</v>
      </c>
    </row>
    <row r="791" spans="1:14" ht="15.6" thickTop="1" thickBot="1" x14ac:dyDescent="0.35">
      <c r="A791" s="4">
        <v>45645</v>
      </c>
      <c r="B791" s="4" t="s">
        <v>190</v>
      </c>
      <c r="C791" s="5" t="s">
        <v>354</v>
      </c>
      <c r="D791" s="5" t="s">
        <v>33</v>
      </c>
      <c r="E791" s="5" t="s">
        <v>99</v>
      </c>
      <c r="F791" s="5" t="s">
        <v>60</v>
      </c>
      <c r="G791" s="5" t="s">
        <v>19</v>
      </c>
      <c r="H791" s="5">
        <v>81</v>
      </c>
      <c r="I791" s="5">
        <v>565</v>
      </c>
      <c r="J791" s="5">
        <v>1224</v>
      </c>
      <c r="K791" s="6">
        <f t="shared" si="48"/>
        <v>45765</v>
      </c>
      <c r="L791" s="6">
        <f t="shared" si="49"/>
        <v>99144</v>
      </c>
      <c r="M791" s="6">
        <f t="shared" si="50"/>
        <v>53379</v>
      </c>
      <c r="N791" s="6" t="str">
        <f t="shared" si="51"/>
        <v>profit</v>
      </c>
    </row>
    <row r="792" spans="1:14" ht="15.6" thickTop="1" thickBot="1" x14ac:dyDescent="0.35">
      <c r="A792" s="4">
        <v>45647</v>
      </c>
      <c r="B792" s="4" t="s">
        <v>190</v>
      </c>
      <c r="C792" s="5" t="s">
        <v>355</v>
      </c>
      <c r="D792" s="5" t="s">
        <v>33</v>
      </c>
      <c r="E792" s="5" t="s">
        <v>99</v>
      </c>
      <c r="F792" s="5" t="s">
        <v>30</v>
      </c>
      <c r="G792" s="5" t="s">
        <v>19</v>
      </c>
      <c r="H792" s="5">
        <v>96</v>
      </c>
      <c r="I792" s="5">
        <v>715</v>
      </c>
      <c r="J792" s="5">
        <v>1171</v>
      </c>
      <c r="K792" s="6">
        <f t="shared" si="48"/>
        <v>68640</v>
      </c>
      <c r="L792" s="6">
        <f t="shared" si="49"/>
        <v>112416</v>
      </c>
      <c r="M792" s="6">
        <f t="shared" si="50"/>
        <v>43776</v>
      </c>
      <c r="N792" s="6" t="str">
        <f t="shared" si="51"/>
        <v>profit</v>
      </c>
    </row>
    <row r="793" spans="1:14" ht="15.6" thickTop="1" thickBot="1" x14ac:dyDescent="0.35">
      <c r="A793" s="4">
        <v>45512</v>
      </c>
      <c r="B793" s="4" t="s">
        <v>57</v>
      </c>
      <c r="C793" s="5" t="s">
        <v>121</v>
      </c>
      <c r="D793" s="5" t="s">
        <v>16</v>
      </c>
      <c r="E793" s="5" t="s">
        <v>37</v>
      </c>
      <c r="F793" s="5" t="s">
        <v>35</v>
      </c>
      <c r="G793" s="5" t="s">
        <v>19</v>
      </c>
      <c r="H793" s="5">
        <v>10</v>
      </c>
      <c r="I793" s="5">
        <v>812</v>
      </c>
      <c r="J793" s="5">
        <v>1112</v>
      </c>
      <c r="K793" s="6">
        <f t="shared" si="48"/>
        <v>8120</v>
      </c>
      <c r="L793" s="6">
        <f t="shared" si="49"/>
        <v>11120</v>
      </c>
      <c r="M793" s="6">
        <f t="shared" si="50"/>
        <v>3000</v>
      </c>
      <c r="N793" s="6" t="str">
        <f t="shared" si="51"/>
        <v>profit</v>
      </c>
    </row>
    <row r="794" spans="1:14" ht="15.6" thickTop="1" thickBot="1" x14ac:dyDescent="0.35">
      <c r="A794" s="4">
        <v>45649</v>
      </c>
      <c r="B794" s="4" t="s">
        <v>190</v>
      </c>
      <c r="C794" s="5" t="s">
        <v>356</v>
      </c>
      <c r="D794" s="5" t="s">
        <v>33</v>
      </c>
      <c r="E794" s="5" t="s">
        <v>120</v>
      </c>
      <c r="F794" s="5" t="s">
        <v>44</v>
      </c>
      <c r="G794" s="5" t="s">
        <v>19</v>
      </c>
      <c r="H794" s="5">
        <v>69</v>
      </c>
      <c r="I794" s="5">
        <v>699</v>
      </c>
      <c r="J794" s="5">
        <v>835</v>
      </c>
      <c r="K794" s="6">
        <f t="shared" si="48"/>
        <v>48231</v>
      </c>
      <c r="L794" s="6">
        <f t="shared" si="49"/>
        <v>57615</v>
      </c>
      <c r="M794" s="6">
        <f t="shared" si="50"/>
        <v>9384</v>
      </c>
      <c r="N794" s="6" t="str">
        <f t="shared" si="51"/>
        <v>profit</v>
      </c>
    </row>
    <row r="795" spans="1:14" ht="15.6" thickTop="1" thickBot="1" x14ac:dyDescent="0.35">
      <c r="A795" s="4">
        <v>45650</v>
      </c>
      <c r="B795" s="4" t="s">
        <v>190</v>
      </c>
      <c r="C795" s="5" t="s">
        <v>357</v>
      </c>
      <c r="D795" s="5" t="s">
        <v>33</v>
      </c>
      <c r="E795" s="5" t="s">
        <v>120</v>
      </c>
      <c r="F795" s="5" t="s">
        <v>153</v>
      </c>
      <c r="G795" s="5" t="s">
        <v>19</v>
      </c>
      <c r="H795" s="5">
        <v>58</v>
      </c>
      <c r="I795" s="5">
        <v>924</v>
      </c>
      <c r="J795" s="5">
        <v>990</v>
      </c>
      <c r="K795" s="6">
        <f t="shared" si="48"/>
        <v>53592</v>
      </c>
      <c r="L795" s="6">
        <f t="shared" si="49"/>
        <v>57420</v>
      </c>
      <c r="M795" s="6">
        <f t="shared" si="50"/>
        <v>3828</v>
      </c>
      <c r="N795" s="6" t="str">
        <f t="shared" si="51"/>
        <v>profit</v>
      </c>
    </row>
    <row r="796" spans="1:14" ht="15.6" thickTop="1" thickBot="1" x14ac:dyDescent="0.35">
      <c r="A796" s="4">
        <v>45651</v>
      </c>
      <c r="B796" s="4" t="s">
        <v>190</v>
      </c>
      <c r="C796" s="5" t="s">
        <v>358</v>
      </c>
      <c r="D796" s="5" t="s">
        <v>33</v>
      </c>
      <c r="E796" s="5" t="s">
        <v>120</v>
      </c>
      <c r="F796" s="5" t="s">
        <v>155</v>
      </c>
      <c r="G796" s="5" t="s">
        <v>19</v>
      </c>
      <c r="H796" s="5">
        <v>83</v>
      </c>
      <c r="I796" s="5">
        <v>790</v>
      </c>
      <c r="J796" s="5">
        <v>1164</v>
      </c>
      <c r="K796" s="6">
        <f t="shared" si="48"/>
        <v>65570</v>
      </c>
      <c r="L796" s="6">
        <f t="shared" si="49"/>
        <v>96612</v>
      </c>
      <c r="M796" s="6">
        <f t="shared" si="50"/>
        <v>31042</v>
      </c>
      <c r="N796" s="6" t="str">
        <f t="shared" si="51"/>
        <v>profit</v>
      </c>
    </row>
    <row r="797" spans="1:14" ht="15.6" thickTop="1" thickBot="1" x14ac:dyDescent="0.35">
      <c r="A797" s="4">
        <v>45652</v>
      </c>
      <c r="B797" s="4" t="s">
        <v>190</v>
      </c>
      <c r="C797" s="5" t="s">
        <v>359</v>
      </c>
      <c r="D797" s="5" t="s">
        <v>33</v>
      </c>
      <c r="E797" s="5" t="s">
        <v>120</v>
      </c>
      <c r="F797" s="5" t="s">
        <v>18</v>
      </c>
      <c r="G797" s="5" t="s">
        <v>19</v>
      </c>
      <c r="H797" s="5">
        <v>60</v>
      </c>
      <c r="I797" s="5">
        <v>867</v>
      </c>
      <c r="J797" s="5">
        <v>854</v>
      </c>
      <c r="K797" s="6">
        <f t="shared" si="48"/>
        <v>52020</v>
      </c>
      <c r="L797" s="6">
        <f t="shared" si="49"/>
        <v>51240</v>
      </c>
      <c r="M797" s="6">
        <f t="shared" si="50"/>
        <v>-780</v>
      </c>
      <c r="N797" s="6" t="str">
        <f t="shared" si="51"/>
        <v>loss</v>
      </c>
    </row>
    <row r="798" spans="1:14" ht="15.6" thickTop="1" thickBot="1" x14ac:dyDescent="0.35">
      <c r="A798" s="4">
        <v>45654</v>
      </c>
      <c r="B798" s="4" t="s">
        <v>190</v>
      </c>
      <c r="C798" s="5" t="s">
        <v>360</v>
      </c>
      <c r="D798" s="5" t="s">
        <v>33</v>
      </c>
      <c r="E798" s="5" t="s">
        <v>120</v>
      </c>
      <c r="F798" s="5" t="s">
        <v>23</v>
      </c>
      <c r="G798" s="5" t="s">
        <v>28</v>
      </c>
      <c r="H798" s="5">
        <v>89</v>
      </c>
      <c r="I798" s="5">
        <v>702</v>
      </c>
      <c r="J798" s="5">
        <v>1314</v>
      </c>
      <c r="K798" s="6">
        <f t="shared" si="48"/>
        <v>62478</v>
      </c>
      <c r="L798" s="6">
        <f t="shared" si="49"/>
        <v>116946</v>
      </c>
      <c r="M798" s="6">
        <f t="shared" si="50"/>
        <v>54468</v>
      </c>
      <c r="N798" s="6" t="str">
        <f t="shared" si="51"/>
        <v>profit</v>
      </c>
    </row>
    <row r="799" spans="1:14" ht="15.6" thickTop="1" thickBot="1" x14ac:dyDescent="0.35">
      <c r="A799" s="4">
        <v>45655</v>
      </c>
      <c r="B799" s="4" t="s">
        <v>190</v>
      </c>
      <c r="C799" s="5" t="s">
        <v>361</v>
      </c>
      <c r="D799" s="5" t="s">
        <v>33</v>
      </c>
      <c r="E799" s="5" t="s">
        <v>120</v>
      </c>
      <c r="F799" s="5" t="s">
        <v>25</v>
      </c>
      <c r="G799" s="5" t="s">
        <v>28</v>
      </c>
      <c r="H799" s="5">
        <v>91</v>
      </c>
      <c r="I799" s="5">
        <v>805</v>
      </c>
      <c r="J799" s="5">
        <v>1361</v>
      </c>
      <c r="K799" s="6">
        <f t="shared" si="48"/>
        <v>73255</v>
      </c>
      <c r="L799" s="6">
        <f t="shared" si="49"/>
        <v>123851</v>
      </c>
      <c r="M799" s="6">
        <f t="shared" si="50"/>
        <v>50596</v>
      </c>
      <c r="N799" s="6" t="str">
        <f t="shared" si="51"/>
        <v>profit</v>
      </c>
    </row>
    <row r="800" spans="1:14" ht="15.6" thickTop="1" thickBot="1" x14ac:dyDescent="0.35">
      <c r="A800" s="4">
        <v>45656</v>
      </c>
      <c r="B800" s="4" t="s">
        <v>190</v>
      </c>
      <c r="C800" s="5" t="s">
        <v>362</v>
      </c>
      <c r="D800" s="5" t="s">
        <v>33</v>
      </c>
      <c r="E800" s="5" t="s">
        <v>120</v>
      </c>
      <c r="F800" s="5" t="s">
        <v>25</v>
      </c>
      <c r="G800" s="5" t="s">
        <v>28</v>
      </c>
      <c r="H800" s="5">
        <v>78</v>
      </c>
      <c r="I800" s="5">
        <v>682</v>
      </c>
      <c r="J800" s="5">
        <v>962</v>
      </c>
      <c r="K800" s="6">
        <f t="shared" si="48"/>
        <v>53196</v>
      </c>
      <c r="L800" s="6">
        <f t="shared" si="49"/>
        <v>75036</v>
      </c>
      <c r="M800" s="6">
        <f t="shared" si="50"/>
        <v>21840</v>
      </c>
      <c r="N800" s="6" t="str">
        <f t="shared" si="51"/>
        <v>profit</v>
      </c>
    </row>
    <row r="801" spans="1:14" ht="15.6" thickTop="1" thickBot="1" x14ac:dyDescent="0.35">
      <c r="A801" s="4">
        <v>45520</v>
      </c>
      <c r="B801" s="4" t="s">
        <v>57</v>
      </c>
      <c r="C801" s="5" t="s">
        <v>122</v>
      </c>
      <c r="D801" s="5" t="s">
        <v>46</v>
      </c>
      <c r="E801" s="5" t="s">
        <v>118</v>
      </c>
      <c r="F801" s="5" t="s">
        <v>52</v>
      </c>
      <c r="G801" s="5" t="s">
        <v>28</v>
      </c>
      <c r="H801" s="5">
        <v>22</v>
      </c>
      <c r="I801" s="5">
        <v>888</v>
      </c>
      <c r="J801" s="5">
        <v>1284</v>
      </c>
      <c r="K801" s="6">
        <f t="shared" si="48"/>
        <v>19536</v>
      </c>
      <c r="L801" s="6">
        <f t="shared" si="49"/>
        <v>28248</v>
      </c>
      <c r="M801" s="6">
        <f t="shared" si="50"/>
        <v>8712</v>
      </c>
      <c r="N801" s="6" t="str">
        <f t="shared" si="51"/>
        <v>profit</v>
      </c>
    </row>
    <row r="802" spans="1:14" ht="15.6" thickTop="1" thickBot="1" x14ac:dyDescent="0.35">
      <c r="A802" s="4">
        <v>45657</v>
      </c>
      <c r="B802" s="4" t="s">
        <v>190</v>
      </c>
      <c r="C802" s="5" t="s">
        <v>363</v>
      </c>
      <c r="D802" s="5" t="s">
        <v>33</v>
      </c>
      <c r="E802" s="5" t="s">
        <v>120</v>
      </c>
      <c r="F802" s="5" t="s">
        <v>27</v>
      </c>
      <c r="G802" s="5" t="s">
        <v>28</v>
      </c>
      <c r="H802" s="5">
        <v>54</v>
      </c>
      <c r="I802" s="5">
        <v>990</v>
      </c>
      <c r="J802" s="5">
        <v>970</v>
      </c>
      <c r="K802" s="6">
        <f t="shared" si="48"/>
        <v>53460</v>
      </c>
      <c r="L802" s="6">
        <f t="shared" si="49"/>
        <v>52380</v>
      </c>
      <c r="M802" s="6">
        <f t="shared" si="50"/>
        <v>-1080</v>
      </c>
      <c r="N802" s="6" t="str">
        <f t="shared" si="51"/>
        <v>loss</v>
      </c>
    </row>
    <row r="803" spans="1:14" ht="15.6" thickTop="1" thickBot="1" x14ac:dyDescent="0.35">
      <c r="A803" s="4">
        <v>45658</v>
      </c>
      <c r="B803" s="4" t="s">
        <v>95</v>
      </c>
      <c r="C803" s="5" t="s">
        <v>364</v>
      </c>
      <c r="D803" s="5" t="s">
        <v>33</v>
      </c>
      <c r="E803" s="5" t="s">
        <v>120</v>
      </c>
      <c r="F803" s="5" t="s">
        <v>30</v>
      </c>
      <c r="G803" s="5" t="s">
        <v>19</v>
      </c>
      <c r="H803" s="5">
        <v>72</v>
      </c>
      <c r="I803" s="5">
        <v>749</v>
      </c>
      <c r="J803" s="5">
        <v>1262</v>
      </c>
      <c r="K803" s="6">
        <f t="shared" si="48"/>
        <v>53928</v>
      </c>
      <c r="L803" s="6">
        <f t="shared" si="49"/>
        <v>90864</v>
      </c>
      <c r="M803" s="6">
        <f t="shared" si="50"/>
        <v>36936</v>
      </c>
      <c r="N803" s="6" t="str">
        <f t="shared" si="51"/>
        <v>profit</v>
      </c>
    </row>
    <row r="804" spans="1:14" ht="15.6" thickTop="1" thickBot="1" x14ac:dyDescent="0.35">
      <c r="A804" s="4">
        <v>45666</v>
      </c>
      <c r="B804" s="4" t="s">
        <v>95</v>
      </c>
      <c r="C804" s="5" t="s">
        <v>365</v>
      </c>
      <c r="D804" s="5" t="s">
        <v>33</v>
      </c>
      <c r="E804" s="5" t="s">
        <v>99</v>
      </c>
      <c r="F804" s="5" t="s">
        <v>35</v>
      </c>
      <c r="G804" s="5" t="s">
        <v>28</v>
      </c>
      <c r="H804" s="5">
        <v>51</v>
      </c>
      <c r="I804" s="5">
        <v>925</v>
      </c>
      <c r="J804" s="5">
        <v>750</v>
      </c>
      <c r="K804" s="6">
        <f t="shared" si="48"/>
        <v>47175</v>
      </c>
      <c r="L804" s="6">
        <f t="shared" si="49"/>
        <v>38250</v>
      </c>
      <c r="M804" s="6">
        <f t="shared" si="50"/>
        <v>-8925</v>
      </c>
      <c r="N804" s="6" t="str">
        <f t="shared" si="51"/>
        <v>loss</v>
      </c>
    </row>
    <row r="805" spans="1:14" ht="15.6" thickTop="1" thickBot="1" x14ac:dyDescent="0.35">
      <c r="A805" s="4">
        <v>45667</v>
      </c>
      <c r="B805" s="4" t="s">
        <v>95</v>
      </c>
      <c r="C805" s="5" t="s">
        <v>366</v>
      </c>
      <c r="D805" s="5" t="s">
        <v>33</v>
      </c>
      <c r="E805" s="5" t="s">
        <v>99</v>
      </c>
      <c r="F805" s="5" t="s">
        <v>39</v>
      </c>
      <c r="G805" s="5" t="s">
        <v>28</v>
      </c>
      <c r="H805" s="5">
        <v>56</v>
      </c>
      <c r="I805" s="5">
        <v>782</v>
      </c>
      <c r="J805" s="5">
        <v>1353</v>
      </c>
      <c r="K805" s="6">
        <f t="shared" si="48"/>
        <v>43792</v>
      </c>
      <c r="L805" s="6">
        <f t="shared" si="49"/>
        <v>75768</v>
      </c>
      <c r="M805" s="6">
        <f t="shared" si="50"/>
        <v>31976</v>
      </c>
      <c r="N805" s="6" t="str">
        <f t="shared" si="51"/>
        <v>profit</v>
      </c>
    </row>
    <row r="806" spans="1:14" ht="15.6" thickTop="1" thickBot="1" x14ac:dyDescent="0.35">
      <c r="A806" s="4">
        <v>45668</v>
      </c>
      <c r="B806" s="4" t="s">
        <v>95</v>
      </c>
      <c r="C806" s="5" t="s">
        <v>367</v>
      </c>
      <c r="D806" s="5" t="s">
        <v>33</v>
      </c>
      <c r="E806" s="5" t="s">
        <v>99</v>
      </c>
      <c r="F806" s="5" t="s">
        <v>39</v>
      </c>
      <c r="G806" s="5" t="s">
        <v>28</v>
      </c>
      <c r="H806" s="5">
        <v>92</v>
      </c>
      <c r="I806" s="5">
        <v>978</v>
      </c>
      <c r="J806" s="5">
        <v>1062</v>
      </c>
      <c r="K806" s="6">
        <f t="shared" si="48"/>
        <v>89976</v>
      </c>
      <c r="L806" s="6">
        <f t="shared" si="49"/>
        <v>97704</v>
      </c>
      <c r="M806" s="6">
        <f t="shared" si="50"/>
        <v>7728</v>
      </c>
      <c r="N806" s="6" t="str">
        <f t="shared" si="51"/>
        <v>profit</v>
      </c>
    </row>
    <row r="807" spans="1:14" ht="15.6" thickTop="1" thickBot="1" x14ac:dyDescent="0.35">
      <c r="A807" s="4">
        <v>45526</v>
      </c>
      <c r="B807" s="4" t="s">
        <v>57</v>
      </c>
      <c r="C807" s="5" t="s">
        <v>123</v>
      </c>
      <c r="D807" s="5" t="s">
        <v>46</v>
      </c>
      <c r="E807" s="5" t="s">
        <v>118</v>
      </c>
      <c r="F807" s="5" t="s">
        <v>64</v>
      </c>
      <c r="G807" s="5" t="s">
        <v>19</v>
      </c>
      <c r="H807" s="5">
        <v>29</v>
      </c>
      <c r="I807" s="5">
        <v>818</v>
      </c>
      <c r="J807" s="5">
        <v>999</v>
      </c>
      <c r="K807" s="6">
        <f t="shared" si="48"/>
        <v>23722</v>
      </c>
      <c r="L807" s="6">
        <f t="shared" si="49"/>
        <v>28971</v>
      </c>
      <c r="M807" s="6">
        <f t="shared" si="50"/>
        <v>5249</v>
      </c>
      <c r="N807" s="6" t="str">
        <f t="shared" si="51"/>
        <v>profit</v>
      </c>
    </row>
    <row r="808" spans="1:14" ht="15.6" thickTop="1" thickBot="1" x14ac:dyDescent="0.35">
      <c r="A808" s="4">
        <v>45669</v>
      </c>
      <c r="B808" s="4" t="s">
        <v>95</v>
      </c>
      <c r="C808" s="5" t="s">
        <v>368</v>
      </c>
      <c r="D808" s="5" t="s">
        <v>33</v>
      </c>
      <c r="E808" s="5" t="s">
        <v>99</v>
      </c>
      <c r="F808" s="5" t="s">
        <v>64</v>
      </c>
      <c r="G808" s="5" t="s">
        <v>19</v>
      </c>
      <c r="H808" s="5">
        <v>75</v>
      </c>
      <c r="I808" s="5">
        <v>539</v>
      </c>
      <c r="J808" s="5">
        <v>1068</v>
      </c>
      <c r="K808" s="6">
        <f t="shared" si="48"/>
        <v>40425</v>
      </c>
      <c r="L808" s="6">
        <f t="shared" si="49"/>
        <v>80100</v>
      </c>
      <c r="M808" s="6">
        <f t="shared" si="50"/>
        <v>39675</v>
      </c>
      <c r="N808" s="6" t="str">
        <f t="shared" si="51"/>
        <v>profit</v>
      </c>
    </row>
    <row r="809" spans="1:14" ht="15.6" thickTop="1" thickBot="1" x14ac:dyDescent="0.35">
      <c r="A809" s="4">
        <v>45670</v>
      </c>
      <c r="B809" s="4" t="s">
        <v>95</v>
      </c>
      <c r="C809" s="5" t="s">
        <v>369</v>
      </c>
      <c r="D809" s="5" t="s">
        <v>33</v>
      </c>
      <c r="E809" s="5" t="s">
        <v>99</v>
      </c>
      <c r="F809" s="5" t="s">
        <v>64</v>
      </c>
      <c r="G809" s="5" t="s">
        <v>28</v>
      </c>
      <c r="H809" s="5">
        <v>78</v>
      </c>
      <c r="I809" s="5">
        <v>608</v>
      </c>
      <c r="J809" s="5">
        <v>1496</v>
      </c>
      <c r="K809" s="6">
        <f t="shared" si="48"/>
        <v>47424</v>
      </c>
      <c r="L809" s="6">
        <f t="shared" si="49"/>
        <v>116688</v>
      </c>
      <c r="M809" s="6">
        <f t="shared" si="50"/>
        <v>69264</v>
      </c>
      <c r="N809" s="6" t="str">
        <f t="shared" si="51"/>
        <v>profit</v>
      </c>
    </row>
    <row r="810" spans="1:14" ht="15.6" thickTop="1" thickBot="1" x14ac:dyDescent="0.35">
      <c r="A810" s="4">
        <v>45672</v>
      </c>
      <c r="B810" s="4" t="s">
        <v>95</v>
      </c>
      <c r="C810" s="5" t="s">
        <v>370</v>
      </c>
      <c r="D810" s="5" t="s">
        <v>33</v>
      </c>
      <c r="E810" s="5" t="s">
        <v>120</v>
      </c>
      <c r="F810" s="5" t="s">
        <v>39</v>
      </c>
      <c r="G810" s="5" t="s">
        <v>28</v>
      </c>
      <c r="H810" s="5">
        <v>66</v>
      </c>
      <c r="I810" s="5">
        <v>831</v>
      </c>
      <c r="J810" s="5">
        <v>787</v>
      </c>
      <c r="K810" s="6">
        <f t="shared" si="48"/>
        <v>54846</v>
      </c>
      <c r="L810" s="6">
        <f t="shared" si="49"/>
        <v>51942</v>
      </c>
      <c r="M810" s="6">
        <f t="shared" si="50"/>
        <v>-2904</v>
      </c>
      <c r="N810" s="6" t="str">
        <f t="shared" si="51"/>
        <v>loss</v>
      </c>
    </row>
    <row r="811" spans="1:14" ht="15.6" thickTop="1" thickBot="1" x14ac:dyDescent="0.35">
      <c r="A811" s="4">
        <v>45673</v>
      </c>
      <c r="B811" s="4" t="s">
        <v>95</v>
      </c>
      <c r="C811" s="5" t="s">
        <v>371</v>
      </c>
      <c r="D811" s="5" t="s">
        <v>33</v>
      </c>
      <c r="E811" s="5" t="s">
        <v>120</v>
      </c>
      <c r="F811" s="5" t="s">
        <v>30</v>
      </c>
      <c r="G811" s="5" t="s">
        <v>28</v>
      </c>
      <c r="H811" s="5">
        <v>86</v>
      </c>
      <c r="I811" s="5">
        <v>855</v>
      </c>
      <c r="J811" s="5">
        <v>930</v>
      </c>
      <c r="K811" s="6">
        <f t="shared" si="48"/>
        <v>73530</v>
      </c>
      <c r="L811" s="6">
        <f t="shared" si="49"/>
        <v>79980</v>
      </c>
      <c r="M811" s="6">
        <f t="shared" si="50"/>
        <v>6450</v>
      </c>
      <c r="N811" s="6" t="str">
        <f t="shared" si="51"/>
        <v>profit</v>
      </c>
    </row>
    <row r="812" spans="1:14" ht="15.6" thickTop="1" thickBot="1" x14ac:dyDescent="0.35">
      <c r="A812" s="4">
        <v>45674</v>
      </c>
      <c r="B812" s="4" t="s">
        <v>95</v>
      </c>
      <c r="C812" s="5" t="s">
        <v>372</v>
      </c>
      <c r="D812" s="5" t="s">
        <v>33</v>
      </c>
      <c r="E812" s="5" t="s">
        <v>120</v>
      </c>
      <c r="F812" s="5" t="s">
        <v>113</v>
      </c>
      <c r="G812" s="5" t="s">
        <v>19</v>
      </c>
      <c r="H812" s="5">
        <v>84</v>
      </c>
      <c r="I812" s="5">
        <v>948</v>
      </c>
      <c r="J812" s="5">
        <v>1156</v>
      </c>
      <c r="K812" s="6">
        <f t="shared" si="48"/>
        <v>79632</v>
      </c>
      <c r="L812" s="6">
        <f t="shared" si="49"/>
        <v>97104</v>
      </c>
      <c r="M812" s="6">
        <f t="shared" si="50"/>
        <v>17472</v>
      </c>
      <c r="N812" s="6" t="str">
        <f t="shared" si="51"/>
        <v>profit</v>
      </c>
    </row>
    <row r="813" spans="1:14" ht="15.6" thickTop="1" thickBot="1" x14ac:dyDescent="0.35">
      <c r="A813" s="4">
        <v>45675</v>
      </c>
      <c r="B813" s="4" t="s">
        <v>95</v>
      </c>
      <c r="C813" s="5" t="s">
        <v>373</v>
      </c>
      <c r="D813" s="5" t="s">
        <v>33</v>
      </c>
      <c r="E813" s="5" t="s">
        <v>120</v>
      </c>
      <c r="F813" s="5" t="s">
        <v>44</v>
      </c>
      <c r="G813" s="5" t="s">
        <v>19</v>
      </c>
      <c r="H813" s="5">
        <v>90</v>
      </c>
      <c r="I813" s="5">
        <v>962</v>
      </c>
      <c r="J813" s="5">
        <v>970</v>
      </c>
      <c r="K813" s="6">
        <f t="shared" si="48"/>
        <v>86580</v>
      </c>
      <c r="L813" s="6">
        <f t="shared" si="49"/>
        <v>87300</v>
      </c>
      <c r="M813" s="6">
        <f t="shared" si="50"/>
        <v>720</v>
      </c>
      <c r="N813" s="6" t="str">
        <f t="shared" si="51"/>
        <v>profit</v>
      </c>
    </row>
    <row r="814" spans="1:14" ht="15.6" thickTop="1" thickBot="1" x14ac:dyDescent="0.35">
      <c r="A814" s="4">
        <v>45676</v>
      </c>
      <c r="B814" s="4" t="s">
        <v>95</v>
      </c>
      <c r="C814" s="5" t="s">
        <v>374</v>
      </c>
      <c r="D814" s="5" t="s">
        <v>33</v>
      </c>
      <c r="E814" s="5" t="s">
        <v>120</v>
      </c>
      <c r="F814" s="5" t="s">
        <v>153</v>
      </c>
      <c r="G814" s="5" t="s">
        <v>19</v>
      </c>
      <c r="H814" s="5">
        <v>84</v>
      </c>
      <c r="I814" s="5">
        <v>521</v>
      </c>
      <c r="J814" s="5">
        <v>1320</v>
      </c>
      <c r="K814" s="6">
        <f t="shared" si="48"/>
        <v>43764</v>
      </c>
      <c r="L814" s="6">
        <f t="shared" si="49"/>
        <v>110880</v>
      </c>
      <c r="M814" s="6">
        <f t="shared" si="50"/>
        <v>67116</v>
      </c>
      <c r="N814" s="6" t="str">
        <f t="shared" si="51"/>
        <v>profit</v>
      </c>
    </row>
    <row r="815" spans="1:14" ht="15.6" thickTop="1" thickBot="1" x14ac:dyDescent="0.35">
      <c r="A815" s="4">
        <v>45700</v>
      </c>
      <c r="B815" s="4" t="s">
        <v>239</v>
      </c>
      <c r="C815" s="5" t="s">
        <v>375</v>
      </c>
      <c r="D815" s="5" t="s">
        <v>33</v>
      </c>
      <c r="E815" s="5" t="s">
        <v>99</v>
      </c>
      <c r="F815" s="5" t="s">
        <v>39</v>
      </c>
      <c r="G815" s="5" t="s">
        <v>19</v>
      </c>
      <c r="H815" s="5">
        <v>85</v>
      </c>
      <c r="I815" s="5">
        <v>938</v>
      </c>
      <c r="J815" s="5">
        <v>802</v>
      </c>
      <c r="K815" s="6">
        <f t="shared" si="48"/>
        <v>79730</v>
      </c>
      <c r="L815" s="6">
        <f t="shared" si="49"/>
        <v>68170</v>
      </c>
      <c r="M815" s="6">
        <f t="shared" si="50"/>
        <v>-11560</v>
      </c>
      <c r="N815" s="6" t="str">
        <f t="shared" si="51"/>
        <v>loss</v>
      </c>
    </row>
    <row r="816" spans="1:14" ht="15.6" thickTop="1" thickBot="1" x14ac:dyDescent="0.35">
      <c r="A816" s="4">
        <v>45535</v>
      </c>
      <c r="B816" s="4" t="s">
        <v>57</v>
      </c>
      <c r="C816" s="5" t="s">
        <v>124</v>
      </c>
      <c r="D816" s="5" t="s">
        <v>33</v>
      </c>
      <c r="E816" s="5" t="s">
        <v>99</v>
      </c>
      <c r="F816" s="5" t="s">
        <v>21</v>
      </c>
      <c r="G816" s="5" t="s">
        <v>28</v>
      </c>
      <c r="H816" s="5">
        <v>60</v>
      </c>
      <c r="I816" s="5">
        <v>645</v>
      </c>
      <c r="J816" s="5">
        <v>936</v>
      </c>
      <c r="K816" s="6">
        <f t="shared" si="48"/>
        <v>38700</v>
      </c>
      <c r="L816" s="6">
        <f t="shared" si="49"/>
        <v>56160</v>
      </c>
      <c r="M816" s="6">
        <f t="shared" si="50"/>
        <v>17460</v>
      </c>
      <c r="N816" s="6" t="str">
        <f t="shared" si="51"/>
        <v>profit</v>
      </c>
    </row>
    <row r="817" spans="1:14" ht="15.6" thickTop="1" thickBot="1" x14ac:dyDescent="0.35">
      <c r="A817" s="4">
        <v>45701</v>
      </c>
      <c r="B817" s="4" t="s">
        <v>239</v>
      </c>
      <c r="C817" s="5" t="s">
        <v>376</v>
      </c>
      <c r="D817" s="5" t="s">
        <v>33</v>
      </c>
      <c r="E817" s="5" t="s">
        <v>99</v>
      </c>
      <c r="F817" s="5" t="s">
        <v>39</v>
      </c>
      <c r="G817" s="5" t="s">
        <v>19</v>
      </c>
      <c r="H817" s="5">
        <v>62</v>
      </c>
      <c r="I817" s="5">
        <v>562</v>
      </c>
      <c r="J817" s="5">
        <v>884</v>
      </c>
      <c r="K817" s="6">
        <f t="shared" si="48"/>
        <v>34844</v>
      </c>
      <c r="L817" s="6">
        <f t="shared" si="49"/>
        <v>54808</v>
      </c>
      <c r="M817" s="6">
        <f t="shared" si="50"/>
        <v>19964</v>
      </c>
      <c r="N817" s="6" t="str">
        <f t="shared" si="51"/>
        <v>profit</v>
      </c>
    </row>
    <row r="818" spans="1:14" ht="15.6" thickTop="1" thickBot="1" x14ac:dyDescent="0.35">
      <c r="A818" s="4">
        <v>45703</v>
      </c>
      <c r="B818" s="4" t="s">
        <v>239</v>
      </c>
      <c r="C818" s="5" t="s">
        <v>377</v>
      </c>
      <c r="D818" s="5" t="s">
        <v>33</v>
      </c>
      <c r="E818" s="5" t="s">
        <v>99</v>
      </c>
      <c r="F818" s="5" t="s">
        <v>64</v>
      </c>
      <c r="G818" s="5" t="s">
        <v>19</v>
      </c>
      <c r="H818" s="5">
        <v>50</v>
      </c>
      <c r="I818" s="5">
        <v>887</v>
      </c>
      <c r="J818" s="5">
        <v>1068</v>
      </c>
      <c r="K818" s="6">
        <f t="shared" si="48"/>
        <v>44350</v>
      </c>
      <c r="L818" s="6">
        <f t="shared" si="49"/>
        <v>53400</v>
      </c>
      <c r="M818" s="6">
        <f t="shared" si="50"/>
        <v>9050</v>
      </c>
      <c r="N818" s="6" t="str">
        <f t="shared" si="51"/>
        <v>profit</v>
      </c>
    </row>
    <row r="819" spans="1:14" ht="15.6" thickTop="1" thickBot="1" x14ac:dyDescent="0.35">
      <c r="A819" s="4">
        <v>45704</v>
      </c>
      <c r="B819" s="4" t="s">
        <v>239</v>
      </c>
      <c r="C819" s="5" t="s">
        <v>378</v>
      </c>
      <c r="D819" s="5" t="s">
        <v>33</v>
      </c>
      <c r="E819" s="5" t="s">
        <v>99</v>
      </c>
      <c r="F819" s="5" t="s">
        <v>60</v>
      </c>
      <c r="G819" s="5" t="s">
        <v>28</v>
      </c>
      <c r="H819" s="5">
        <v>66</v>
      </c>
      <c r="I819" s="5">
        <v>771</v>
      </c>
      <c r="J819" s="5">
        <v>1492</v>
      </c>
      <c r="K819" s="6">
        <f t="shared" si="48"/>
        <v>50886</v>
      </c>
      <c r="L819" s="6">
        <f t="shared" si="49"/>
        <v>98472</v>
      </c>
      <c r="M819" s="6">
        <f t="shared" si="50"/>
        <v>47586</v>
      </c>
      <c r="N819" s="6" t="str">
        <f t="shared" si="51"/>
        <v>profit</v>
      </c>
    </row>
    <row r="820" spans="1:14" ht="15.6" thickTop="1" thickBot="1" x14ac:dyDescent="0.35">
      <c r="A820" s="4">
        <v>45705</v>
      </c>
      <c r="B820" s="4" t="s">
        <v>239</v>
      </c>
      <c r="C820" s="5" t="s">
        <v>379</v>
      </c>
      <c r="D820" s="5" t="s">
        <v>33</v>
      </c>
      <c r="E820" s="5" t="s">
        <v>99</v>
      </c>
      <c r="F820" s="5" t="s">
        <v>39</v>
      </c>
      <c r="G820" s="5" t="s">
        <v>28</v>
      </c>
      <c r="H820" s="5">
        <v>61</v>
      </c>
      <c r="I820" s="5">
        <v>529</v>
      </c>
      <c r="J820" s="5">
        <v>1419</v>
      </c>
      <c r="K820" s="6">
        <f t="shared" si="48"/>
        <v>32269</v>
      </c>
      <c r="L820" s="6">
        <f t="shared" si="49"/>
        <v>86559</v>
      </c>
      <c r="M820" s="6">
        <f t="shared" si="50"/>
        <v>54290</v>
      </c>
      <c r="N820" s="6" t="str">
        <f t="shared" si="51"/>
        <v>profit</v>
      </c>
    </row>
    <row r="821" spans="1:14" ht="15.6" thickTop="1" thickBot="1" x14ac:dyDescent="0.35">
      <c r="A821" s="4">
        <v>45540</v>
      </c>
      <c r="B821" s="4" t="s">
        <v>69</v>
      </c>
      <c r="C821" s="5" t="s">
        <v>125</v>
      </c>
      <c r="D821" s="5" t="s">
        <v>33</v>
      </c>
      <c r="E821" s="5" t="s">
        <v>120</v>
      </c>
      <c r="F821" s="5" t="s">
        <v>30</v>
      </c>
      <c r="G821" s="5" t="s">
        <v>19</v>
      </c>
      <c r="H821" s="5">
        <v>68</v>
      </c>
      <c r="I821" s="5">
        <v>777</v>
      </c>
      <c r="J821" s="5">
        <v>1433</v>
      </c>
      <c r="K821" s="6">
        <f t="shared" si="48"/>
        <v>52836</v>
      </c>
      <c r="L821" s="6">
        <f t="shared" si="49"/>
        <v>97444</v>
      </c>
      <c r="M821" s="6">
        <f t="shared" si="50"/>
        <v>44608</v>
      </c>
      <c r="N821" s="6" t="str">
        <f t="shared" si="51"/>
        <v>profit</v>
      </c>
    </row>
    <row r="822" spans="1:14" ht="15.6" thickTop="1" thickBot="1" x14ac:dyDescent="0.35">
      <c r="A822" s="4">
        <v>45706</v>
      </c>
      <c r="B822" s="4" t="s">
        <v>239</v>
      </c>
      <c r="C822" s="5" t="s">
        <v>380</v>
      </c>
      <c r="D822" s="5" t="s">
        <v>33</v>
      </c>
      <c r="E822" s="5" t="s">
        <v>99</v>
      </c>
      <c r="F822" s="5" t="s">
        <v>30</v>
      </c>
      <c r="G822" s="5" t="s">
        <v>28</v>
      </c>
      <c r="H822" s="5">
        <v>78</v>
      </c>
      <c r="I822" s="5">
        <v>511</v>
      </c>
      <c r="J822" s="5">
        <v>1368</v>
      </c>
      <c r="K822" s="6">
        <f t="shared" si="48"/>
        <v>39858</v>
      </c>
      <c r="L822" s="6">
        <f t="shared" si="49"/>
        <v>106704</v>
      </c>
      <c r="M822" s="6">
        <f t="shared" si="50"/>
        <v>66846</v>
      </c>
      <c r="N822" s="6" t="str">
        <f t="shared" si="51"/>
        <v>profit</v>
      </c>
    </row>
    <row r="823" spans="1:14" ht="15.6" thickTop="1" thickBot="1" x14ac:dyDescent="0.35">
      <c r="A823" s="4">
        <v>45707</v>
      </c>
      <c r="B823" s="4" t="s">
        <v>239</v>
      </c>
      <c r="C823" s="5" t="s">
        <v>381</v>
      </c>
      <c r="D823" s="5" t="s">
        <v>33</v>
      </c>
      <c r="E823" s="5" t="s">
        <v>99</v>
      </c>
      <c r="F823" s="5" t="s">
        <v>113</v>
      </c>
      <c r="G823" s="5" t="s">
        <v>28</v>
      </c>
      <c r="H823" s="5">
        <v>96</v>
      </c>
      <c r="I823" s="5">
        <v>790</v>
      </c>
      <c r="J823" s="5">
        <v>1335</v>
      </c>
      <c r="K823" s="6">
        <f t="shared" si="48"/>
        <v>75840</v>
      </c>
      <c r="L823" s="6">
        <f t="shared" si="49"/>
        <v>128160</v>
      </c>
      <c r="M823" s="6">
        <f t="shared" si="50"/>
        <v>52320</v>
      </c>
      <c r="N823" s="6" t="str">
        <f t="shared" si="51"/>
        <v>profit</v>
      </c>
    </row>
    <row r="824" spans="1:14" ht="15.6" thickTop="1" thickBot="1" x14ac:dyDescent="0.35">
      <c r="A824" s="4">
        <v>45708</v>
      </c>
      <c r="B824" s="4" t="s">
        <v>239</v>
      </c>
      <c r="C824" s="5" t="s">
        <v>382</v>
      </c>
      <c r="D824" s="5" t="s">
        <v>33</v>
      </c>
      <c r="E824" s="5" t="s">
        <v>99</v>
      </c>
      <c r="F824" s="5" t="s">
        <v>44</v>
      </c>
      <c r="G824" s="5" t="s">
        <v>19</v>
      </c>
      <c r="H824" s="5">
        <v>63</v>
      </c>
      <c r="I824" s="5">
        <v>722</v>
      </c>
      <c r="J824" s="5">
        <v>1374</v>
      </c>
      <c r="K824" s="6">
        <f t="shared" si="48"/>
        <v>45486</v>
      </c>
      <c r="L824" s="6">
        <f t="shared" si="49"/>
        <v>86562</v>
      </c>
      <c r="M824" s="6">
        <f t="shared" si="50"/>
        <v>41076</v>
      </c>
      <c r="N824" s="6" t="str">
        <f t="shared" si="51"/>
        <v>profit</v>
      </c>
    </row>
    <row r="825" spans="1:14" ht="15.6" thickTop="1" thickBot="1" x14ac:dyDescent="0.35">
      <c r="A825" s="4">
        <v>45710</v>
      </c>
      <c r="B825" s="4" t="s">
        <v>239</v>
      </c>
      <c r="C825" s="5" t="s">
        <v>383</v>
      </c>
      <c r="D825" s="5" t="s">
        <v>33</v>
      </c>
      <c r="E825" s="5" t="s">
        <v>99</v>
      </c>
      <c r="F825" s="5" t="s">
        <v>155</v>
      </c>
      <c r="G825" s="5" t="s">
        <v>28</v>
      </c>
      <c r="H825" s="5">
        <v>92</v>
      </c>
      <c r="I825" s="5">
        <v>521</v>
      </c>
      <c r="J825" s="5">
        <v>1414</v>
      </c>
      <c r="K825" s="6">
        <f t="shared" si="48"/>
        <v>47932</v>
      </c>
      <c r="L825" s="6">
        <f t="shared" si="49"/>
        <v>130088</v>
      </c>
      <c r="M825" s="6">
        <f t="shared" si="50"/>
        <v>82156</v>
      </c>
      <c r="N825" s="6" t="str">
        <f t="shared" si="51"/>
        <v>profit</v>
      </c>
    </row>
    <row r="826" spans="1:14" ht="15.6" thickTop="1" thickBot="1" x14ac:dyDescent="0.35">
      <c r="A826" s="4">
        <v>45711</v>
      </c>
      <c r="B826" s="4" t="s">
        <v>239</v>
      </c>
      <c r="C826" s="5" t="s">
        <v>384</v>
      </c>
      <c r="D826" s="5" t="s">
        <v>33</v>
      </c>
      <c r="E826" s="5" t="s">
        <v>99</v>
      </c>
      <c r="F826" s="5" t="s">
        <v>18</v>
      </c>
      <c r="G826" s="5" t="s">
        <v>28</v>
      </c>
      <c r="H826" s="5">
        <v>65</v>
      </c>
      <c r="I826" s="5">
        <v>661</v>
      </c>
      <c r="J826" s="5">
        <v>1425</v>
      </c>
      <c r="K826" s="6">
        <f t="shared" si="48"/>
        <v>42965</v>
      </c>
      <c r="L826" s="6">
        <f t="shared" si="49"/>
        <v>92625</v>
      </c>
      <c r="M826" s="6">
        <f t="shared" si="50"/>
        <v>49660</v>
      </c>
      <c r="N826" s="6" t="str">
        <f t="shared" si="51"/>
        <v>profit</v>
      </c>
    </row>
    <row r="827" spans="1:14" ht="15.6" thickTop="1" thickBot="1" x14ac:dyDescent="0.35">
      <c r="A827" s="4">
        <v>45712</v>
      </c>
      <c r="B827" s="4" t="s">
        <v>239</v>
      </c>
      <c r="C827" s="5" t="s">
        <v>385</v>
      </c>
      <c r="D827" s="5" t="s">
        <v>33</v>
      </c>
      <c r="E827" s="5" t="s">
        <v>120</v>
      </c>
      <c r="F827" s="5" t="s">
        <v>21</v>
      </c>
      <c r="G827" s="5" t="s">
        <v>28</v>
      </c>
      <c r="H827" s="5">
        <v>77</v>
      </c>
      <c r="I827" s="5">
        <v>595</v>
      </c>
      <c r="J827" s="5">
        <v>1470</v>
      </c>
      <c r="K827" s="6">
        <f t="shared" si="48"/>
        <v>45815</v>
      </c>
      <c r="L827" s="6">
        <f t="shared" si="49"/>
        <v>113190</v>
      </c>
      <c r="M827" s="6">
        <f t="shared" si="50"/>
        <v>67375</v>
      </c>
      <c r="N827" s="6" t="str">
        <f t="shared" si="51"/>
        <v>profit</v>
      </c>
    </row>
    <row r="828" spans="1:14" ht="15.6" thickTop="1" thickBot="1" x14ac:dyDescent="0.35">
      <c r="A828" s="4">
        <v>45713</v>
      </c>
      <c r="B828" s="4" t="s">
        <v>239</v>
      </c>
      <c r="C828" s="5" t="s">
        <v>386</v>
      </c>
      <c r="D828" s="5" t="s">
        <v>33</v>
      </c>
      <c r="E828" s="5" t="s">
        <v>387</v>
      </c>
      <c r="F828" s="5" t="s">
        <v>21</v>
      </c>
      <c r="G828" s="5" t="s">
        <v>28</v>
      </c>
      <c r="H828" s="5">
        <v>62</v>
      </c>
      <c r="I828" s="5">
        <v>774</v>
      </c>
      <c r="J828" s="5">
        <v>1050</v>
      </c>
      <c r="K828" s="6">
        <f t="shared" si="48"/>
        <v>47988</v>
      </c>
      <c r="L828" s="6">
        <f t="shared" si="49"/>
        <v>65100</v>
      </c>
      <c r="M828" s="6">
        <f t="shared" si="50"/>
        <v>17112</v>
      </c>
      <c r="N828" s="6" t="str">
        <f t="shared" si="51"/>
        <v>profit</v>
      </c>
    </row>
    <row r="829" spans="1:14" ht="15.6" thickTop="1" thickBot="1" x14ac:dyDescent="0.35">
      <c r="A829" s="4">
        <v>45387</v>
      </c>
      <c r="B829" s="4" t="s">
        <v>31</v>
      </c>
      <c r="C829" s="5" t="s">
        <v>255</v>
      </c>
      <c r="D829" s="5" t="s">
        <v>33</v>
      </c>
      <c r="E829" s="5" t="s">
        <v>34</v>
      </c>
      <c r="F829" s="5" t="s">
        <v>76</v>
      </c>
      <c r="G829" s="5" t="s">
        <v>28</v>
      </c>
      <c r="H829" s="5">
        <v>65</v>
      </c>
      <c r="I829" s="5">
        <v>816</v>
      </c>
      <c r="J829" s="5">
        <v>1347</v>
      </c>
      <c r="K829" s="6">
        <f t="shared" si="48"/>
        <v>53040</v>
      </c>
      <c r="L829" s="6">
        <f t="shared" si="49"/>
        <v>87555</v>
      </c>
      <c r="M829" s="6">
        <f t="shared" si="50"/>
        <v>34515</v>
      </c>
      <c r="N829" s="6" t="str">
        <f t="shared" si="51"/>
        <v>profit</v>
      </c>
    </row>
    <row r="830" spans="1:14" ht="15.6" thickTop="1" thickBot="1" x14ac:dyDescent="0.35">
      <c r="A830" s="4">
        <v>45549</v>
      </c>
      <c r="B830" s="4" t="s">
        <v>69</v>
      </c>
      <c r="C830" s="5" t="s">
        <v>126</v>
      </c>
      <c r="D830" s="5" t="s">
        <v>16</v>
      </c>
      <c r="E830" s="5" t="s">
        <v>37</v>
      </c>
      <c r="F830" s="5" t="s">
        <v>35</v>
      </c>
      <c r="G830" s="5" t="s">
        <v>19</v>
      </c>
      <c r="H830" s="5">
        <v>19</v>
      </c>
      <c r="I830" s="5">
        <v>576</v>
      </c>
      <c r="J830" s="5">
        <v>1181</v>
      </c>
      <c r="K830" s="6">
        <f t="shared" si="48"/>
        <v>10944</v>
      </c>
      <c r="L830" s="6">
        <f t="shared" si="49"/>
        <v>22439</v>
      </c>
      <c r="M830" s="6">
        <f t="shared" si="50"/>
        <v>11495</v>
      </c>
      <c r="N830" s="6" t="str">
        <f t="shared" si="51"/>
        <v>profit</v>
      </c>
    </row>
    <row r="831" spans="1:14" ht="15.6" thickTop="1" thickBot="1" x14ac:dyDescent="0.35">
      <c r="A831" s="4">
        <v>45388</v>
      </c>
      <c r="B831" s="4" t="s">
        <v>31</v>
      </c>
      <c r="C831" s="5" t="s">
        <v>256</v>
      </c>
      <c r="D831" s="5" t="s">
        <v>33</v>
      </c>
      <c r="E831" s="5" t="s">
        <v>34</v>
      </c>
      <c r="F831" s="5" t="s">
        <v>78</v>
      </c>
      <c r="G831" s="5" t="s">
        <v>28</v>
      </c>
      <c r="H831" s="5">
        <v>100</v>
      </c>
      <c r="I831" s="5">
        <v>893</v>
      </c>
      <c r="J831" s="5">
        <v>1460</v>
      </c>
      <c r="K831" s="6">
        <f t="shared" si="48"/>
        <v>89300</v>
      </c>
      <c r="L831" s="6">
        <f t="shared" si="49"/>
        <v>146000</v>
      </c>
      <c r="M831" s="6">
        <f t="shared" si="50"/>
        <v>56700</v>
      </c>
      <c r="N831" s="6" t="str">
        <f t="shared" si="51"/>
        <v>profit</v>
      </c>
    </row>
    <row r="832" spans="1:14" ht="15.6" thickTop="1" thickBot="1" x14ac:dyDescent="0.35">
      <c r="A832" s="4">
        <v>45390</v>
      </c>
      <c r="B832" s="4" t="s">
        <v>31</v>
      </c>
      <c r="C832" s="5" t="s">
        <v>257</v>
      </c>
      <c r="D832" s="5" t="s">
        <v>33</v>
      </c>
      <c r="E832" s="5" t="s">
        <v>34</v>
      </c>
      <c r="F832" s="5" t="s">
        <v>44</v>
      </c>
      <c r="G832" s="5" t="s">
        <v>28</v>
      </c>
      <c r="H832" s="5">
        <v>79</v>
      </c>
      <c r="I832" s="5">
        <v>632</v>
      </c>
      <c r="J832" s="5">
        <v>1271</v>
      </c>
      <c r="K832" s="6">
        <f t="shared" si="48"/>
        <v>49928</v>
      </c>
      <c r="L832" s="6">
        <f t="shared" si="49"/>
        <v>100409</v>
      </c>
      <c r="M832" s="6">
        <f t="shared" si="50"/>
        <v>50481</v>
      </c>
      <c r="N832" s="6" t="str">
        <f t="shared" si="51"/>
        <v>profit</v>
      </c>
    </row>
    <row r="833" spans="1:14" ht="15.6" thickTop="1" thickBot="1" x14ac:dyDescent="0.35">
      <c r="A833" s="4">
        <v>45397</v>
      </c>
      <c r="B833" s="4" t="s">
        <v>31</v>
      </c>
      <c r="C833" s="5" t="s">
        <v>258</v>
      </c>
      <c r="D833" s="5" t="s">
        <v>33</v>
      </c>
      <c r="E833" s="5" t="s">
        <v>163</v>
      </c>
      <c r="F833" s="5" t="s">
        <v>44</v>
      </c>
      <c r="G833" s="5" t="s">
        <v>19</v>
      </c>
      <c r="H833" s="5">
        <v>74</v>
      </c>
      <c r="I833" s="5">
        <v>859</v>
      </c>
      <c r="J833" s="5">
        <v>1315</v>
      </c>
      <c r="K833" s="6">
        <f t="shared" si="48"/>
        <v>63566</v>
      </c>
      <c r="L833" s="6">
        <f t="shared" si="49"/>
        <v>97310</v>
      </c>
      <c r="M833" s="6">
        <f t="shared" si="50"/>
        <v>33744</v>
      </c>
      <c r="N833" s="6" t="str">
        <f t="shared" si="51"/>
        <v>profit</v>
      </c>
    </row>
    <row r="834" spans="1:14" ht="15.6" thickTop="1" thickBot="1" x14ac:dyDescent="0.35">
      <c r="A834" s="4">
        <v>45398</v>
      </c>
      <c r="B834" s="4" t="s">
        <v>31</v>
      </c>
      <c r="C834" s="5" t="s">
        <v>259</v>
      </c>
      <c r="D834" s="5" t="s">
        <v>33</v>
      </c>
      <c r="E834" s="5" t="s">
        <v>163</v>
      </c>
      <c r="F834" s="5" t="s">
        <v>49</v>
      </c>
      <c r="G834" s="5" t="s">
        <v>19</v>
      </c>
      <c r="H834" s="5">
        <v>77</v>
      </c>
      <c r="I834" s="5">
        <v>579</v>
      </c>
      <c r="J834" s="5">
        <v>1178</v>
      </c>
      <c r="K834" s="6">
        <f t="shared" ref="K834:K897" si="52">H834*I834</f>
        <v>44583</v>
      </c>
      <c r="L834" s="6">
        <f t="shared" ref="L834:L897" si="53">H834*J834</f>
        <v>90706</v>
      </c>
      <c r="M834" s="6">
        <f t="shared" ref="M834:M897" si="54">L834-K834</f>
        <v>46123</v>
      </c>
      <c r="N834" s="6" t="str">
        <f t="shared" ref="N834:N897" si="55">IF(M834&gt;0,"profit","loss")</f>
        <v>profit</v>
      </c>
    </row>
    <row r="835" spans="1:14" ht="15.6" thickTop="1" thickBot="1" x14ac:dyDescent="0.35">
      <c r="A835" s="4">
        <v>45554</v>
      </c>
      <c r="B835" s="4" t="s">
        <v>69</v>
      </c>
      <c r="C835" s="5" t="s">
        <v>127</v>
      </c>
      <c r="D835" s="5" t="s">
        <v>16</v>
      </c>
      <c r="E835" s="5" t="s">
        <v>37</v>
      </c>
      <c r="F835" s="5" t="s">
        <v>39</v>
      </c>
      <c r="G835" s="5" t="s">
        <v>28</v>
      </c>
      <c r="H835" s="5">
        <v>16</v>
      </c>
      <c r="I835" s="5">
        <v>689</v>
      </c>
      <c r="J835" s="5">
        <v>1068</v>
      </c>
      <c r="K835" s="6">
        <f t="shared" si="52"/>
        <v>11024</v>
      </c>
      <c r="L835" s="6">
        <f t="shared" si="53"/>
        <v>17088</v>
      </c>
      <c r="M835" s="6">
        <f t="shared" si="54"/>
        <v>6064</v>
      </c>
      <c r="N835" s="6" t="str">
        <f t="shared" si="55"/>
        <v>profit</v>
      </c>
    </row>
    <row r="836" spans="1:14" ht="15.6" thickTop="1" thickBot="1" x14ac:dyDescent="0.35">
      <c r="A836" s="4">
        <v>45399</v>
      </c>
      <c r="B836" s="4" t="s">
        <v>31</v>
      </c>
      <c r="C836" s="5" t="s">
        <v>260</v>
      </c>
      <c r="D836" s="5" t="s">
        <v>33</v>
      </c>
      <c r="E836" s="5" t="s">
        <v>163</v>
      </c>
      <c r="F836" s="5" t="s">
        <v>27</v>
      </c>
      <c r="G836" s="5" t="s">
        <v>19</v>
      </c>
      <c r="H836" s="5">
        <v>61</v>
      </c>
      <c r="I836" s="5">
        <v>865</v>
      </c>
      <c r="J836" s="5">
        <v>894</v>
      </c>
      <c r="K836" s="6">
        <f t="shared" si="52"/>
        <v>52765</v>
      </c>
      <c r="L836" s="6">
        <f t="shared" si="53"/>
        <v>54534</v>
      </c>
      <c r="M836" s="6">
        <f t="shared" si="54"/>
        <v>1769</v>
      </c>
      <c r="N836" s="6" t="str">
        <f t="shared" si="55"/>
        <v>profit</v>
      </c>
    </row>
    <row r="837" spans="1:14" ht="15.6" thickTop="1" thickBot="1" x14ac:dyDescent="0.35">
      <c r="A837" s="4">
        <v>45400</v>
      </c>
      <c r="B837" s="4" t="s">
        <v>31</v>
      </c>
      <c r="C837" s="5" t="s">
        <v>261</v>
      </c>
      <c r="D837" s="5" t="s">
        <v>33</v>
      </c>
      <c r="E837" s="5" t="s">
        <v>163</v>
      </c>
      <c r="F837" s="5" t="s">
        <v>52</v>
      </c>
      <c r="G837" s="5" t="s">
        <v>19</v>
      </c>
      <c r="H837" s="5">
        <v>57</v>
      </c>
      <c r="I837" s="5">
        <v>881</v>
      </c>
      <c r="J837" s="5">
        <v>1185</v>
      </c>
      <c r="K837" s="6">
        <f t="shared" si="52"/>
        <v>50217</v>
      </c>
      <c r="L837" s="6">
        <f t="shared" si="53"/>
        <v>67545</v>
      </c>
      <c r="M837" s="6">
        <f t="shared" si="54"/>
        <v>17328</v>
      </c>
      <c r="N837" s="6" t="str">
        <f t="shared" si="55"/>
        <v>profit</v>
      </c>
    </row>
    <row r="838" spans="1:14" ht="15.6" thickTop="1" thickBot="1" x14ac:dyDescent="0.35">
      <c r="A838" s="4">
        <v>45401</v>
      </c>
      <c r="B838" s="4" t="s">
        <v>31</v>
      </c>
      <c r="C838" s="5" t="s">
        <v>262</v>
      </c>
      <c r="D838" s="5" t="s">
        <v>33</v>
      </c>
      <c r="E838" s="5" t="s">
        <v>163</v>
      </c>
      <c r="F838" s="5" t="s">
        <v>54</v>
      </c>
      <c r="G838" s="5" t="s">
        <v>19</v>
      </c>
      <c r="H838" s="5">
        <v>57</v>
      </c>
      <c r="I838" s="5">
        <v>548</v>
      </c>
      <c r="J838" s="5">
        <v>1306</v>
      </c>
      <c r="K838" s="6">
        <f t="shared" si="52"/>
        <v>31236</v>
      </c>
      <c r="L838" s="6">
        <f t="shared" si="53"/>
        <v>74442</v>
      </c>
      <c r="M838" s="6">
        <f t="shared" si="54"/>
        <v>43206</v>
      </c>
      <c r="N838" s="6" t="str">
        <f t="shared" si="55"/>
        <v>profit</v>
      </c>
    </row>
    <row r="839" spans="1:14" ht="15.6" thickTop="1" thickBot="1" x14ac:dyDescent="0.35">
      <c r="A839" s="4">
        <v>45402</v>
      </c>
      <c r="B839" s="4" t="s">
        <v>31</v>
      </c>
      <c r="C839" s="5" t="s">
        <v>263</v>
      </c>
      <c r="D839" s="5" t="s">
        <v>33</v>
      </c>
      <c r="E839" s="5" t="s">
        <v>163</v>
      </c>
      <c r="F839" s="5" t="s">
        <v>35</v>
      </c>
      <c r="G839" s="5" t="s">
        <v>28</v>
      </c>
      <c r="H839" s="5">
        <v>84</v>
      </c>
      <c r="I839" s="5">
        <v>702</v>
      </c>
      <c r="J839" s="5">
        <v>787</v>
      </c>
      <c r="K839" s="6">
        <f t="shared" si="52"/>
        <v>58968</v>
      </c>
      <c r="L839" s="6">
        <f t="shared" si="53"/>
        <v>66108</v>
      </c>
      <c r="M839" s="6">
        <f t="shared" si="54"/>
        <v>7140</v>
      </c>
      <c r="N839" s="6" t="str">
        <f t="shared" si="55"/>
        <v>profit</v>
      </c>
    </row>
    <row r="840" spans="1:14" ht="15.6" thickTop="1" thickBot="1" x14ac:dyDescent="0.35">
      <c r="A840" s="4">
        <v>45403</v>
      </c>
      <c r="B840" s="4" t="s">
        <v>31</v>
      </c>
      <c r="C840" s="5" t="s">
        <v>264</v>
      </c>
      <c r="D840" s="5" t="s">
        <v>33</v>
      </c>
      <c r="E840" s="5" t="s">
        <v>163</v>
      </c>
      <c r="F840" s="5" t="s">
        <v>39</v>
      </c>
      <c r="G840" s="5" t="s">
        <v>28</v>
      </c>
      <c r="H840" s="5">
        <v>76</v>
      </c>
      <c r="I840" s="5">
        <v>875</v>
      </c>
      <c r="J840" s="5">
        <v>1268</v>
      </c>
      <c r="K840" s="6">
        <f t="shared" si="52"/>
        <v>66500</v>
      </c>
      <c r="L840" s="6">
        <f t="shared" si="53"/>
        <v>96368</v>
      </c>
      <c r="M840" s="6">
        <f t="shared" si="54"/>
        <v>29868</v>
      </c>
      <c r="N840" s="6" t="str">
        <f t="shared" si="55"/>
        <v>profit</v>
      </c>
    </row>
    <row r="841" spans="1:14" ht="15.6" thickTop="1" thickBot="1" x14ac:dyDescent="0.35">
      <c r="A841" s="4">
        <v>45431</v>
      </c>
      <c r="B841" s="4" t="s">
        <v>97</v>
      </c>
      <c r="C841" s="5" t="s">
        <v>265</v>
      </c>
      <c r="D841" s="5" t="s">
        <v>33</v>
      </c>
      <c r="E841" s="5" t="s">
        <v>99</v>
      </c>
      <c r="F841" s="5" t="s">
        <v>60</v>
      </c>
      <c r="G841" s="5" t="s">
        <v>28</v>
      </c>
      <c r="H841" s="5">
        <v>50</v>
      </c>
      <c r="I841" s="5">
        <v>885</v>
      </c>
      <c r="J841" s="5">
        <v>927</v>
      </c>
      <c r="K841" s="6">
        <f t="shared" si="52"/>
        <v>44250</v>
      </c>
      <c r="L841" s="6">
        <f t="shared" si="53"/>
        <v>46350</v>
      </c>
      <c r="M841" s="6">
        <f t="shared" si="54"/>
        <v>2100</v>
      </c>
      <c r="N841" s="6" t="str">
        <f t="shared" si="55"/>
        <v>profit</v>
      </c>
    </row>
    <row r="842" spans="1:14" ht="15.6" thickTop="1" thickBot="1" x14ac:dyDescent="0.35">
      <c r="A842" s="4">
        <v>45433</v>
      </c>
      <c r="B842" s="4" t="s">
        <v>97</v>
      </c>
      <c r="C842" s="5" t="s">
        <v>266</v>
      </c>
      <c r="D842" s="5" t="s">
        <v>33</v>
      </c>
      <c r="E842" s="5" t="s">
        <v>99</v>
      </c>
      <c r="F842" s="5" t="s">
        <v>39</v>
      </c>
      <c r="G842" s="5" t="s">
        <v>19</v>
      </c>
      <c r="H842" s="5">
        <v>53</v>
      </c>
      <c r="I842" s="5">
        <v>950</v>
      </c>
      <c r="J842" s="5">
        <v>875</v>
      </c>
      <c r="K842" s="6">
        <f t="shared" si="52"/>
        <v>50350</v>
      </c>
      <c r="L842" s="6">
        <f t="shared" si="53"/>
        <v>46375</v>
      </c>
      <c r="M842" s="6">
        <f t="shared" si="54"/>
        <v>-3975</v>
      </c>
      <c r="N842" s="6" t="str">
        <f t="shared" si="55"/>
        <v>loss</v>
      </c>
    </row>
    <row r="843" spans="1:14" ht="15.6" thickTop="1" thickBot="1" x14ac:dyDescent="0.35">
      <c r="A843" s="4">
        <v>45434</v>
      </c>
      <c r="B843" s="4" t="s">
        <v>97</v>
      </c>
      <c r="C843" s="5" t="s">
        <v>267</v>
      </c>
      <c r="D843" s="5" t="s">
        <v>33</v>
      </c>
      <c r="E843" s="5" t="s">
        <v>99</v>
      </c>
      <c r="F843" s="5" t="s">
        <v>39</v>
      </c>
      <c r="G843" s="5" t="s">
        <v>19</v>
      </c>
      <c r="H843" s="5">
        <v>62</v>
      </c>
      <c r="I843" s="5">
        <v>623</v>
      </c>
      <c r="J843" s="5">
        <v>1253</v>
      </c>
      <c r="K843" s="6">
        <f t="shared" si="52"/>
        <v>38626</v>
      </c>
      <c r="L843" s="6">
        <f t="shared" si="53"/>
        <v>77686</v>
      </c>
      <c r="M843" s="6">
        <f t="shared" si="54"/>
        <v>39060</v>
      </c>
      <c r="N843" s="6" t="str">
        <f t="shared" si="55"/>
        <v>profit</v>
      </c>
    </row>
    <row r="844" spans="1:14" ht="15.6" thickTop="1" thickBot="1" x14ac:dyDescent="0.35">
      <c r="A844" s="4">
        <v>45563</v>
      </c>
      <c r="B844" s="4" t="s">
        <v>69</v>
      </c>
      <c r="C844" s="5" t="s">
        <v>128</v>
      </c>
      <c r="D844" s="5" t="s">
        <v>16</v>
      </c>
      <c r="E844" s="5" t="s">
        <v>17</v>
      </c>
      <c r="F844" s="5" t="s">
        <v>39</v>
      </c>
      <c r="G844" s="5" t="s">
        <v>19</v>
      </c>
      <c r="H844" s="5">
        <v>18</v>
      </c>
      <c r="I844" s="5">
        <v>835</v>
      </c>
      <c r="J844" s="5">
        <v>1234</v>
      </c>
      <c r="K844" s="6">
        <f t="shared" si="52"/>
        <v>15030</v>
      </c>
      <c r="L844" s="6">
        <f t="shared" si="53"/>
        <v>22212</v>
      </c>
      <c r="M844" s="6">
        <f t="shared" si="54"/>
        <v>7182</v>
      </c>
      <c r="N844" s="6" t="str">
        <f t="shared" si="55"/>
        <v>profit</v>
      </c>
    </row>
    <row r="845" spans="1:14" ht="15.6" thickTop="1" thickBot="1" x14ac:dyDescent="0.35">
      <c r="A845" s="4">
        <v>45435</v>
      </c>
      <c r="B845" s="4" t="s">
        <v>97</v>
      </c>
      <c r="C845" s="5" t="s">
        <v>268</v>
      </c>
      <c r="D845" s="5" t="s">
        <v>33</v>
      </c>
      <c r="E845" s="5" t="s">
        <v>99</v>
      </c>
      <c r="F845" s="5" t="s">
        <v>44</v>
      </c>
      <c r="G845" s="5" t="s">
        <v>19</v>
      </c>
      <c r="H845" s="5">
        <v>72</v>
      </c>
      <c r="I845" s="5">
        <v>920</v>
      </c>
      <c r="J845" s="5">
        <v>753</v>
      </c>
      <c r="K845" s="6">
        <f t="shared" si="52"/>
        <v>66240</v>
      </c>
      <c r="L845" s="6">
        <f t="shared" si="53"/>
        <v>54216</v>
      </c>
      <c r="M845" s="6">
        <f t="shared" si="54"/>
        <v>-12024</v>
      </c>
      <c r="N845" s="6" t="str">
        <f t="shared" si="55"/>
        <v>loss</v>
      </c>
    </row>
    <row r="846" spans="1:14" ht="15.6" thickTop="1" thickBot="1" x14ac:dyDescent="0.35">
      <c r="A846" s="4">
        <v>45565</v>
      </c>
      <c r="B846" s="4" t="s">
        <v>69</v>
      </c>
      <c r="C846" s="5" t="s">
        <v>129</v>
      </c>
      <c r="D846" s="5" t="s">
        <v>16</v>
      </c>
      <c r="E846" s="5" t="s">
        <v>17</v>
      </c>
      <c r="F846" s="5" t="s">
        <v>64</v>
      </c>
      <c r="G846" s="5" t="s">
        <v>19</v>
      </c>
      <c r="H846" s="5">
        <v>13</v>
      </c>
      <c r="I846" s="5">
        <v>855</v>
      </c>
      <c r="J846" s="5">
        <v>951</v>
      </c>
      <c r="K846" s="6">
        <f t="shared" si="52"/>
        <v>11115</v>
      </c>
      <c r="L846" s="6">
        <f t="shared" si="53"/>
        <v>12363</v>
      </c>
      <c r="M846" s="6">
        <f t="shared" si="54"/>
        <v>1248</v>
      </c>
      <c r="N846" s="6" t="str">
        <f t="shared" si="55"/>
        <v>profit</v>
      </c>
    </row>
    <row r="847" spans="1:14" ht="15.6" thickTop="1" thickBot="1" x14ac:dyDescent="0.35">
      <c r="A847" s="4">
        <v>45436</v>
      </c>
      <c r="B847" s="4" t="s">
        <v>97</v>
      </c>
      <c r="C847" s="5" t="s">
        <v>269</v>
      </c>
      <c r="D847" s="5" t="s">
        <v>33</v>
      </c>
      <c r="E847" s="5" t="s">
        <v>99</v>
      </c>
      <c r="F847" s="5" t="s">
        <v>27</v>
      </c>
      <c r="G847" s="5" t="s">
        <v>19</v>
      </c>
      <c r="H847" s="5">
        <v>69</v>
      </c>
      <c r="I847" s="5">
        <v>860</v>
      </c>
      <c r="J847" s="5">
        <v>1081</v>
      </c>
      <c r="K847" s="6">
        <f t="shared" si="52"/>
        <v>59340</v>
      </c>
      <c r="L847" s="6">
        <f t="shared" si="53"/>
        <v>74589</v>
      </c>
      <c r="M847" s="6">
        <f t="shared" si="54"/>
        <v>15249</v>
      </c>
      <c r="N847" s="6" t="str">
        <f t="shared" si="55"/>
        <v>profit</v>
      </c>
    </row>
    <row r="848" spans="1:14" ht="15.6" thickTop="1" thickBot="1" x14ac:dyDescent="0.35">
      <c r="A848" s="4">
        <v>45437</v>
      </c>
      <c r="B848" s="4" t="s">
        <v>97</v>
      </c>
      <c r="C848" s="5" t="s">
        <v>270</v>
      </c>
      <c r="D848" s="5" t="s">
        <v>33</v>
      </c>
      <c r="E848" s="5" t="s">
        <v>99</v>
      </c>
      <c r="F848" s="5" t="s">
        <v>44</v>
      </c>
      <c r="G848" s="5" t="s">
        <v>19</v>
      </c>
      <c r="H848" s="5">
        <v>80</v>
      </c>
      <c r="I848" s="5">
        <v>765</v>
      </c>
      <c r="J848" s="5">
        <v>924</v>
      </c>
      <c r="K848" s="6">
        <f t="shared" si="52"/>
        <v>61200</v>
      </c>
      <c r="L848" s="6">
        <f t="shared" si="53"/>
        <v>73920</v>
      </c>
      <c r="M848" s="6">
        <f t="shared" si="54"/>
        <v>12720</v>
      </c>
      <c r="N848" s="6" t="str">
        <f t="shared" si="55"/>
        <v>profit</v>
      </c>
    </row>
    <row r="849" spans="1:14" ht="15.6" thickTop="1" thickBot="1" x14ac:dyDescent="0.35">
      <c r="A849" s="4">
        <v>45438</v>
      </c>
      <c r="B849" s="4" t="s">
        <v>97</v>
      </c>
      <c r="C849" s="5" t="s">
        <v>271</v>
      </c>
      <c r="D849" s="5" t="s">
        <v>33</v>
      </c>
      <c r="E849" s="5" t="s">
        <v>99</v>
      </c>
      <c r="F849" s="5" t="s">
        <v>49</v>
      </c>
      <c r="G849" s="5" t="s">
        <v>19</v>
      </c>
      <c r="H849" s="5">
        <v>75</v>
      </c>
      <c r="I849" s="5">
        <v>690</v>
      </c>
      <c r="J849" s="5">
        <v>817</v>
      </c>
      <c r="K849" s="6">
        <f t="shared" si="52"/>
        <v>51750</v>
      </c>
      <c r="L849" s="6">
        <f t="shared" si="53"/>
        <v>61275</v>
      </c>
      <c r="M849" s="6">
        <f t="shared" si="54"/>
        <v>9525</v>
      </c>
      <c r="N849" s="6" t="str">
        <f t="shared" si="55"/>
        <v>profit</v>
      </c>
    </row>
    <row r="850" spans="1:14" ht="15.6" thickTop="1" thickBot="1" x14ac:dyDescent="0.35">
      <c r="A850" s="4">
        <v>45439</v>
      </c>
      <c r="B850" s="4" t="s">
        <v>97</v>
      </c>
      <c r="C850" s="5" t="s">
        <v>272</v>
      </c>
      <c r="D850" s="5" t="s">
        <v>33</v>
      </c>
      <c r="E850" s="5" t="s">
        <v>99</v>
      </c>
      <c r="F850" s="5" t="s">
        <v>27</v>
      </c>
      <c r="G850" s="5" t="s">
        <v>19</v>
      </c>
      <c r="H850" s="5">
        <v>100</v>
      </c>
      <c r="I850" s="5">
        <v>795</v>
      </c>
      <c r="J850" s="5">
        <v>1136</v>
      </c>
      <c r="K850" s="6">
        <f t="shared" si="52"/>
        <v>79500</v>
      </c>
      <c r="L850" s="6">
        <f t="shared" si="53"/>
        <v>113600</v>
      </c>
      <c r="M850" s="6">
        <f t="shared" si="54"/>
        <v>34100</v>
      </c>
      <c r="N850" s="6" t="str">
        <f t="shared" si="55"/>
        <v>profit</v>
      </c>
    </row>
    <row r="851" spans="1:14" ht="15.6" thickTop="1" thickBot="1" x14ac:dyDescent="0.35">
      <c r="A851" s="4">
        <v>45440</v>
      </c>
      <c r="B851" s="4" t="s">
        <v>97</v>
      </c>
      <c r="C851" s="5" t="s">
        <v>273</v>
      </c>
      <c r="D851" s="5" t="s">
        <v>33</v>
      </c>
      <c r="E851" s="5" t="s">
        <v>99</v>
      </c>
      <c r="F851" s="5" t="s">
        <v>52</v>
      </c>
      <c r="G851" s="5" t="s">
        <v>28</v>
      </c>
      <c r="H851" s="5">
        <v>85</v>
      </c>
      <c r="I851" s="5">
        <v>845</v>
      </c>
      <c r="J851" s="5">
        <v>1155</v>
      </c>
      <c r="K851" s="6">
        <f t="shared" si="52"/>
        <v>71825</v>
      </c>
      <c r="L851" s="6">
        <f t="shared" si="53"/>
        <v>98175</v>
      </c>
      <c r="M851" s="6">
        <f t="shared" si="54"/>
        <v>26350</v>
      </c>
      <c r="N851" s="6" t="str">
        <f t="shared" si="55"/>
        <v>profit</v>
      </c>
    </row>
    <row r="852" spans="1:14" ht="15.6" thickTop="1" thickBot="1" x14ac:dyDescent="0.35">
      <c r="A852" s="4">
        <v>45571</v>
      </c>
      <c r="B852" s="4" t="s">
        <v>85</v>
      </c>
      <c r="C852" s="5" t="s">
        <v>130</v>
      </c>
      <c r="D852" s="5" t="s">
        <v>33</v>
      </c>
      <c r="E852" s="5" t="s">
        <v>99</v>
      </c>
      <c r="F852" s="5" t="s">
        <v>44</v>
      </c>
      <c r="G852" s="5" t="s">
        <v>19</v>
      </c>
      <c r="H852" s="5">
        <v>79</v>
      </c>
      <c r="I852" s="5">
        <v>683</v>
      </c>
      <c r="J852" s="5">
        <v>1444</v>
      </c>
      <c r="K852" s="6">
        <f t="shared" si="52"/>
        <v>53957</v>
      </c>
      <c r="L852" s="6">
        <f t="shared" si="53"/>
        <v>114076</v>
      </c>
      <c r="M852" s="6">
        <f t="shared" si="54"/>
        <v>60119</v>
      </c>
      <c r="N852" s="6" t="str">
        <f t="shared" si="55"/>
        <v>profit</v>
      </c>
    </row>
    <row r="853" spans="1:14" ht="15.6" thickTop="1" thickBot="1" x14ac:dyDescent="0.35">
      <c r="A853" s="4">
        <v>45442</v>
      </c>
      <c r="B853" s="4" t="s">
        <v>97</v>
      </c>
      <c r="C853" s="5" t="s">
        <v>274</v>
      </c>
      <c r="D853" s="5" t="s">
        <v>33</v>
      </c>
      <c r="E853" s="5" t="s">
        <v>99</v>
      </c>
      <c r="F853" s="5" t="s">
        <v>35</v>
      </c>
      <c r="G853" s="5" t="s">
        <v>28</v>
      </c>
      <c r="H853" s="5">
        <v>51</v>
      </c>
      <c r="I853" s="5">
        <v>876</v>
      </c>
      <c r="J853" s="5">
        <v>1252</v>
      </c>
      <c r="K853" s="6">
        <f t="shared" si="52"/>
        <v>44676</v>
      </c>
      <c r="L853" s="6">
        <f t="shared" si="53"/>
        <v>63852</v>
      </c>
      <c r="M853" s="6">
        <f t="shared" si="54"/>
        <v>19176</v>
      </c>
      <c r="N853" s="6" t="str">
        <f t="shared" si="55"/>
        <v>profit</v>
      </c>
    </row>
    <row r="854" spans="1:14" ht="15.6" thickTop="1" thickBot="1" x14ac:dyDescent="0.35">
      <c r="A854" s="4">
        <v>45443</v>
      </c>
      <c r="B854" s="4" t="s">
        <v>97</v>
      </c>
      <c r="C854" s="5" t="s">
        <v>275</v>
      </c>
      <c r="D854" s="5" t="s">
        <v>33</v>
      </c>
      <c r="E854" s="5" t="s">
        <v>120</v>
      </c>
      <c r="F854" s="5" t="s">
        <v>39</v>
      </c>
      <c r="G854" s="5" t="s">
        <v>28</v>
      </c>
      <c r="H854" s="5">
        <v>55</v>
      </c>
      <c r="I854" s="5">
        <v>793</v>
      </c>
      <c r="J854" s="5">
        <v>1045</v>
      </c>
      <c r="K854" s="6">
        <f t="shared" si="52"/>
        <v>43615</v>
      </c>
      <c r="L854" s="6">
        <f t="shared" si="53"/>
        <v>57475</v>
      </c>
      <c r="M854" s="6">
        <f t="shared" si="54"/>
        <v>13860</v>
      </c>
      <c r="N854" s="6" t="str">
        <f t="shared" si="55"/>
        <v>profit</v>
      </c>
    </row>
    <row r="855" spans="1:14" ht="15.6" thickTop="1" thickBot="1" x14ac:dyDescent="0.35">
      <c r="A855" s="4">
        <v>45444</v>
      </c>
      <c r="B855" s="4" t="s">
        <v>14</v>
      </c>
      <c r="C855" s="5" t="s">
        <v>276</v>
      </c>
      <c r="D855" s="5" t="s">
        <v>33</v>
      </c>
      <c r="E855" s="5" t="s">
        <v>120</v>
      </c>
      <c r="F855" s="5" t="s">
        <v>39</v>
      </c>
      <c r="G855" s="5" t="s">
        <v>19</v>
      </c>
      <c r="H855" s="5">
        <v>82</v>
      </c>
      <c r="I855" s="5">
        <v>641</v>
      </c>
      <c r="J855" s="5">
        <v>809</v>
      </c>
      <c r="K855" s="6">
        <f t="shared" si="52"/>
        <v>52562</v>
      </c>
      <c r="L855" s="6">
        <f t="shared" si="53"/>
        <v>66338</v>
      </c>
      <c r="M855" s="6">
        <f t="shared" si="54"/>
        <v>13776</v>
      </c>
      <c r="N855" s="6" t="str">
        <f t="shared" si="55"/>
        <v>profit</v>
      </c>
    </row>
    <row r="856" spans="1:14" ht="15.6" thickTop="1" thickBot="1" x14ac:dyDescent="0.35">
      <c r="A856" s="4">
        <v>45445</v>
      </c>
      <c r="B856" s="4" t="s">
        <v>14</v>
      </c>
      <c r="C856" s="5" t="s">
        <v>277</v>
      </c>
      <c r="D856" s="5" t="s">
        <v>33</v>
      </c>
      <c r="E856" s="5" t="s">
        <v>120</v>
      </c>
      <c r="F856" s="5" t="s">
        <v>64</v>
      </c>
      <c r="G856" s="5" t="s">
        <v>28</v>
      </c>
      <c r="H856" s="5">
        <v>80</v>
      </c>
      <c r="I856" s="5">
        <v>678</v>
      </c>
      <c r="J856" s="5">
        <v>1016</v>
      </c>
      <c r="K856" s="6">
        <f t="shared" si="52"/>
        <v>54240</v>
      </c>
      <c r="L856" s="6">
        <f t="shared" si="53"/>
        <v>81280</v>
      </c>
      <c r="M856" s="6">
        <f t="shared" si="54"/>
        <v>27040</v>
      </c>
      <c r="N856" s="6" t="str">
        <f t="shared" si="55"/>
        <v>profit</v>
      </c>
    </row>
    <row r="857" spans="1:14" ht="15.6" thickTop="1" thickBot="1" x14ac:dyDescent="0.35">
      <c r="A857" s="4">
        <v>45446</v>
      </c>
      <c r="B857" s="4" t="s">
        <v>14</v>
      </c>
      <c r="C857" s="5" t="s">
        <v>278</v>
      </c>
      <c r="D857" s="5" t="s">
        <v>33</v>
      </c>
      <c r="E857" s="5" t="s">
        <v>120</v>
      </c>
      <c r="F857" s="5" t="s">
        <v>64</v>
      </c>
      <c r="G857" s="5" t="s">
        <v>28</v>
      </c>
      <c r="H857" s="5">
        <v>76</v>
      </c>
      <c r="I857" s="5">
        <v>585</v>
      </c>
      <c r="J857" s="5">
        <v>1366</v>
      </c>
      <c r="K857" s="6">
        <f t="shared" si="52"/>
        <v>44460</v>
      </c>
      <c r="L857" s="6">
        <f t="shared" si="53"/>
        <v>103816</v>
      </c>
      <c r="M857" s="6">
        <f t="shared" si="54"/>
        <v>59356</v>
      </c>
      <c r="N857" s="6" t="str">
        <f t="shared" si="55"/>
        <v>profit</v>
      </c>
    </row>
    <row r="858" spans="1:14" ht="15.6" thickTop="1" thickBot="1" x14ac:dyDescent="0.35">
      <c r="A858" s="4">
        <v>45447</v>
      </c>
      <c r="B858" s="4" t="s">
        <v>14</v>
      </c>
      <c r="C858" s="5" t="s">
        <v>279</v>
      </c>
      <c r="D858" s="5" t="s">
        <v>33</v>
      </c>
      <c r="E858" s="5" t="s">
        <v>120</v>
      </c>
      <c r="F858" s="5" t="s">
        <v>60</v>
      </c>
      <c r="G858" s="5" t="s">
        <v>28</v>
      </c>
      <c r="H858" s="5">
        <v>93</v>
      </c>
      <c r="I858" s="5">
        <v>662</v>
      </c>
      <c r="J858" s="5">
        <v>1319</v>
      </c>
      <c r="K858" s="6">
        <f t="shared" si="52"/>
        <v>61566</v>
      </c>
      <c r="L858" s="6">
        <f t="shared" si="53"/>
        <v>122667</v>
      </c>
      <c r="M858" s="6">
        <f t="shared" si="54"/>
        <v>61101</v>
      </c>
      <c r="N858" s="6" t="str">
        <f t="shared" si="55"/>
        <v>profit</v>
      </c>
    </row>
    <row r="859" spans="1:14" ht="15.6" thickTop="1" thickBot="1" x14ac:dyDescent="0.35">
      <c r="A859" s="4">
        <v>45578</v>
      </c>
      <c r="B859" s="4" t="s">
        <v>85</v>
      </c>
      <c r="C859" s="5" t="s">
        <v>135</v>
      </c>
      <c r="D859" s="5" t="s">
        <v>33</v>
      </c>
      <c r="E859" s="5" t="s">
        <v>120</v>
      </c>
      <c r="F859" s="5" t="s">
        <v>25</v>
      </c>
      <c r="G859" s="5" t="s">
        <v>28</v>
      </c>
      <c r="H859" s="5">
        <v>67</v>
      </c>
      <c r="I859" s="5">
        <v>711</v>
      </c>
      <c r="J859" s="5">
        <v>1280</v>
      </c>
      <c r="K859" s="6">
        <f t="shared" si="52"/>
        <v>47637</v>
      </c>
      <c r="L859" s="6">
        <f t="shared" si="53"/>
        <v>85760</v>
      </c>
      <c r="M859" s="6">
        <f t="shared" si="54"/>
        <v>38123</v>
      </c>
      <c r="N859" s="6" t="str">
        <f t="shared" si="55"/>
        <v>profit</v>
      </c>
    </row>
    <row r="860" spans="1:14" ht="15.6" thickTop="1" thickBot="1" x14ac:dyDescent="0.35">
      <c r="A860" s="4">
        <v>45448</v>
      </c>
      <c r="B860" s="4" t="s">
        <v>14</v>
      </c>
      <c r="C860" s="5" t="s">
        <v>280</v>
      </c>
      <c r="D860" s="5" t="s">
        <v>33</v>
      </c>
      <c r="E860" s="5" t="s">
        <v>120</v>
      </c>
      <c r="F860" s="5" t="s">
        <v>39</v>
      </c>
      <c r="G860" s="5" t="s">
        <v>28</v>
      </c>
      <c r="H860" s="5">
        <v>51</v>
      </c>
      <c r="I860" s="5">
        <v>744</v>
      </c>
      <c r="J860" s="5">
        <v>782</v>
      </c>
      <c r="K860" s="6">
        <f t="shared" si="52"/>
        <v>37944</v>
      </c>
      <c r="L860" s="6">
        <f t="shared" si="53"/>
        <v>39882</v>
      </c>
      <c r="M860" s="6">
        <f t="shared" si="54"/>
        <v>1938</v>
      </c>
      <c r="N860" s="6" t="str">
        <f t="shared" si="55"/>
        <v>profit</v>
      </c>
    </row>
    <row r="861" spans="1:14" ht="15.6" thickTop="1" thickBot="1" x14ac:dyDescent="0.35">
      <c r="A861" s="4">
        <v>45449</v>
      </c>
      <c r="B861" s="4" t="s">
        <v>14</v>
      </c>
      <c r="C861" s="5" t="s">
        <v>281</v>
      </c>
      <c r="D861" s="5" t="s">
        <v>33</v>
      </c>
      <c r="E861" s="5" t="s">
        <v>120</v>
      </c>
      <c r="F861" s="5" t="s">
        <v>30</v>
      </c>
      <c r="G861" s="5" t="s">
        <v>19</v>
      </c>
      <c r="H861" s="5">
        <v>88</v>
      </c>
      <c r="I861" s="5">
        <v>820</v>
      </c>
      <c r="J861" s="5">
        <v>1241</v>
      </c>
      <c r="K861" s="6">
        <f t="shared" si="52"/>
        <v>72160</v>
      </c>
      <c r="L861" s="6">
        <f t="shared" si="53"/>
        <v>109208</v>
      </c>
      <c r="M861" s="6">
        <f t="shared" si="54"/>
        <v>37048</v>
      </c>
      <c r="N861" s="6" t="str">
        <f t="shared" si="55"/>
        <v>profit</v>
      </c>
    </row>
    <row r="862" spans="1:14" ht="15.6" thickTop="1" thickBot="1" x14ac:dyDescent="0.35">
      <c r="A862" s="4">
        <v>45450</v>
      </c>
      <c r="B862" s="4" t="s">
        <v>14</v>
      </c>
      <c r="C862" s="5" t="s">
        <v>282</v>
      </c>
      <c r="D862" s="5" t="s">
        <v>33</v>
      </c>
      <c r="E862" s="5" t="s">
        <v>120</v>
      </c>
      <c r="F862" s="5" t="s">
        <v>113</v>
      </c>
      <c r="G862" s="5" t="s">
        <v>19</v>
      </c>
      <c r="H862" s="5">
        <v>72</v>
      </c>
      <c r="I862" s="5">
        <v>937</v>
      </c>
      <c r="J862" s="5">
        <v>1154</v>
      </c>
      <c r="K862" s="6">
        <f t="shared" si="52"/>
        <v>67464</v>
      </c>
      <c r="L862" s="6">
        <f t="shared" si="53"/>
        <v>83088</v>
      </c>
      <c r="M862" s="6">
        <f t="shared" si="54"/>
        <v>15624</v>
      </c>
      <c r="N862" s="6" t="str">
        <f t="shared" si="55"/>
        <v>profit</v>
      </c>
    </row>
    <row r="863" spans="1:14" ht="15.6" thickTop="1" thickBot="1" x14ac:dyDescent="0.35">
      <c r="A863" s="4">
        <v>45451</v>
      </c>
      <c r="B863" s="4" t="s">
        <v>14</v>
      </c>
      <c r="C863" s="5" t="s">
        <v>283</v>
      </c>
      <c r="D863" s="5" t="s">
        <v>33</v>
      </c>
      <c r="E863" s="5" t="s">
        <v>120</v>
      </c>
      <c r="F863" s="5" t="s">
        <v>44</v>
      </c>
      <c r="G863" s="5" t="s">
        <v>19</v>
      </c>
      <c r="H863" s="5">
        <v>55</v>
      </c>
      <c r="I863" s="5">
        <v>685</v>
      </c>
      <c r="J863" s="5">
        <v>824</v>
      </c>
      <c r="K863" s="6">
        <f t="shared" si="52"/>
        <v>37675</v>
      </c>
      <c r="L863" s="6">
        <f t="shared" si="53"/>
        <v>45320</v>
      </c>
      <c r="M863" s="6">
        <f t="shared" si="54"/>
        <v>7645</v>
      </c>
      <c r="N863" s="6" t="str">
        <f t="shared" si="55"/>
        <v>profit</v>
      </c>
    </row>
    <row r="864" spans="1:14" ht="15.6" thickTop="1" thickBot="1" x14ac:dyDescent="0.35">
      <c r="A864" s="4">
        <v>45583</v>
      </c>
      <c r="B864" s="4" t="s">
        <v>85</v>
      </c>
      <c r="C864" s="5" t="s">
        <v>140</v>
      </c>
      <c r="D864" s="5" t="s">
        <v>16</v>
      </c>
      <c r="E864" s="5" t="s">
        <v>37</v>
      </c>
      <c r="F864" s="5" t="s">
        <v>54</v>
      </c>
      <c r="G864" s="5" t="s">
        <v>19</v>
      </c>
      <c r="H864" s="5">
        <v>20</v>
      </c>
      <c r="I864" s="5">
        <v>963</v>
      </c>
      <c r="J864" s="5">
        <v>865</v>
      </c>
      <c r="K864" s="6">
        <f t="shared" si="52"/>
        <v>19260</v>
      </c>
      <c r="L864" s="6">
        <f t="shared" si="53"/>
        <v>17300</v>
      </c>
      <c r="M864" s="6">
        <f t="shared" si="54"/>
        <v>-1960</v>
      </c>
      <c r="N864" s="6" t="str">
        <f t="shared" si="55"/>
        <v>loss</v>
      </c>
    </row>
    <row r="865" spans="1:14" ht="15.6" thickTop="1" thickBot="1" x14ac:dyDescent="0.35">
      <c r="A865" s="4">
        <v>45452</v>
      </c>
      <c r="B865" s="4" t="s">
        <v>14</v>
      </c>
      <c r="C865" s="5" t="s">
        <v>284</v>
      </c>
      <c r="D865" s="5" t="s">
        <v>33</v>
      </c>
      <c r="E865" s="5" t="s">
        <v>120</v>
      </c>
      <c r="F865" s="5" t="s">
        <v>153</v>
      </c>
      <c r="G865" s="5" t="s">
        <v>19</v>
      </c>
      <c r="H865" s="5">
        <v>55</v>
      </c>
      <c r="I865" s="5">
        <v>661</v>
      </c>
      <c r="J865" s="5">
        <v>1133</v>
      </c>
      <c r="K865" s="6">
        <f t="shared" si="52"/>
        <v>36355</v>
      </c>
      <c r="L865" s="6">
        <f t="shared" si="53"/>
        <v>62315</v>
      </c>
      <c r="M865" s="6">
        <f t="shared" si="54"/>
        <v>25960</v>
      </c>
      <c r="N865" s="6" t="str">
        <f t="shared" si="55"/>
        <v>profit</v>
      </c>
    </row>
    <row r="866" spans="1:14" ht="15.6" thickTop="1" thickBot="1" x14ac:dyDescent="0.35">
      <c r="A866" s="4">
        <v>45453</v>
      </c>
      <c r="B866" s="4" t="s">
        <v>14</v>
      </c>
      <c r="C866" s="5" t="s">
        <v>285</v>
      </c>
      <c r="D866" s="5" t="s">
        <v>33</v>
      </c>
      <c r="E866" s="5" t="s">
        <v>120</v>
      </c>
      <c r="F866" s="5" t="s">
        <v>155</v>
      </c>
      <c r="G866" s="5" t="s">
        <v>19</v>
      </c>
      <c r="H866" s="5">
        <v>72</v>
      </c>
      <c r="I866" s="5">
        <v>804</v>
      </c>
      <c r="J866" s="5">
        <v>833</v>
      </c>
      <c r="K866" s="6">
        <f t="shared" si="52"/>
        <v>57888</v>
      </c>
      <c r="L866" s="6">
        <f t="shared" si="53"/>
        <v>59976</v>
      </c>
      <c r="M866" s="6">
        <f t="shared" si="54"/>
        <v>2088</v>
      </c>
      <c r="N866" s="6" t="str">
        <f t="shared" si="55"/>
        <v>profit</v>
      </c>
    </row>
    <row r="867" spans="1:14" ht="15.6" thickTop="1" thickBot="1" x14ac:dyDescent="0.35">
      <c r="A867" s="4">
        <v>45586</v>
      </c>
      <c r="B867" s="4" t="s">
        <v>85</v>
      </c>
      <c r="C867" s="5" t="s">
        <v>143</v>
      </c>
      <c r="D867" s="5" t="s">
        <v>16</v>
      </c>
      <c r="E867" s="5" t="s">
        <v>37</v>
      </c>
      <c r="F867" s="5" t="s">
        <v>39</v>
      </c>
      <c r="G867" s="5" t="s">
        <v>19</v>
      </c>
      <c r="H867" s="5">
        <v>14</v>
      </c>
      <c r="I867" s="5">
        <v>913</v>
      </c>
      <c r="J867" s="5">
        <v>1155</v>
      </c>
      <c r="K867" s="6">
        <f t="shared" si="52"/>
        <v>12782</v>
      </c>
      <c r="L867" s="6">
        <f t="shared" si="53"/>
        <v>16170</v>
      </c>
      <c r="M867" s="6">
        <f t="shared" si="54"/>
        <v>3388</v>
      </c>
      <c r="N867" s="6" t="str">
        <f t="shared" si="55"/>
        <v>profit</v>
      </c>
    </row>
    <row r="868" spans="1:14" ht="15.6" thickTop="1" thickBot="1" x14ac:dyDescent="0.35">
      <c r="A868" s="4">
        <v>45461</v>
      </c>
      <c r="B868" s="4" t="s">
        <v>14</v>
      </c>
      <c r="C868" s="5" t="s">
        <v>286</v>
      </c>
      <c r="D868" s="5" t="s">
        <v>33</v>
      </c>
      <c r="E868" s="5" t="s">
        <v>99</v>
      </c>
      <c r="F868" s="5" t="s">
        <v>25</v>
      </c>
      <c r="G868" s="5" t="s">
        <v>28</v>
      </c>
      <c r="H868" s="5">
        <v>87</v>
      </c>
      <c r="I868" s="5">
        <v>616</v>
      </c>
      <c r="J868" s="5">
        <v>1447</v>
      </c>
      <c r="K868" s="6">
        <f t="shared" si="52"/>
        <v>53592</v>
      </c>
      <c r="L868" s="6">
        <f t="shared" si="53"/>
        <v>125889</v>
      </c>
      <c r="M868" s="6">
        <f t="shared" si="54"/>
        <v>72297</v>
      </c>
      <c r="N868" s="6" t="str">
        <f t="shared" si="55"/>
        <v>profit</v>
      </c>
    </row>
    <row r="869" spans="1:14" ht="15.6" thickTop="1" thickBot="1" x14ac:dyDescent="0.35">
      <c r="A869" s="4">
        <v>45588</v>
      </c>
      <c r="B869" s="4" t="s">
        <v>85</v>
      </c>
      <c r="C869" s="5" t="s">
        <v>145</v>
      </c>
      <c r="D869" s="5" t="s">
        <v>46</v>
      </c>
      <c r="E869" s="5" t="s">
        <v>47</v>
      </c>
      <c r="F869" s="5" t="s">
        <v>64</v>
      </c>
      <c r="G869" s="5" t="s">
        <v>19</v>
      </c>
      <c r="H869" s="5">
        <v>23</v>
      </c>
      <c r="I869" s="5">
        <v>616</v>
      </c>
      <c r="J869" s="5">
        <v>919</v>
      </c>
      <c r="K869" s="6">
        <f t="shared" si="52"/>
        <v>14168</v>
      </c>
      <c r="L869" s="6">
        <f t="shared" si="53"/>
        <v>21137</v>
      </c>
      <c r="M869" s="6">
        <f t="shared" si="54"/>
        <v>6969</v>
      </c>
      <c r="N869" s="6" t="str">
        <f t="shared" si="55"/>
        <v>profit</v>
      </c>
    </row>
    <row r="870" spans="1:14" ht="15.6" thickTop="1" thickBot="1" x14ac:dyDescent="0.35">
      <c r="A870" s="4">
        <v>45462</v>
      </c>
      <c r="B870" s="4" t="s">
        <v>14</v>
      </c>
      <c r="C870" s="5" t="s">
        <v>287</v>
      </c>
      <c r="D870" s="5" t="s">
        <v>33</v>
      </c>
      <c r="E870" s="5" t="s">
        <v>99</v>
      </c>
      <c r="F870" s="5" t="s">
        <v>76</v>
      </c>
      <c r="G870" s="5" t="s">
        <v>28</v>
      </c>
      <c r="H870" s="5">
        <v>57</v>
      </c>
      <c r="I870" s="5">
        <v>724</v>
      </c>
      <c r="J870" s="5">
        <v>1432</v>
      </c>
      <c r="K870" s="6">
        <f t="shared" si="52"/>
        <v>41268</v>
      </c>
      <c r="L870" s="6">
        <f t="shared" si="53"/>
        <v>81624</v>
      </c>
      <c r="M870" s="6">
        <f t="shared" si="54"/>
        <v>40356</v>
      </c>
      <c r="N870" s="6" t="str">
        <f t="shared" si="55"/>
        <v>profit</v>
      </c>
    </row>
    <row r="871" spans="1:14" ht="15.6" thickTop="1" thickBot="1" x14ac:dyDescent="0.35">
      <c r="A871" s="4">
        <v>45590</v>
      </c>
      <c r="B871" s="4" t="s">
        <v>85</v>
      </c>
      <c r="C871" s="5" t="s">
        <v>147</v>
      </c>
      <c r="D871" s="5" t="s">
        <v>46</v>
      </c>
      <c r="E871" s="5" t="s">
        <v>133</v>
      </c>
      <c r="F871" s="5" t="s">
        <v>39</v>
      </c>
      <c r="G871" s="5" t="s">
        <v>28</v>
      </c>
      <c r="H871" s="5">
        <v>28</v>
      </c>
      <c r="I871" s="5">
        <v>539</v>
      </c>
      <c r="J871" s="5">
        <v>1106</v>
      </c>
      <c r="K871" s="6">
        <f t="shared" si="52"/>
        <v>15092</v>
      </c>
      <c r="L871" s="6">
        <f t="shared" si="53"/>
        <v>30968</v>
      </c>
      <c r="M871" s="6">
        <f t="shared" si="54"/>
        <v>15876</v>
      </c>
      <c r="N871" s="6" t="str">
        <f t="shared" si="55"/>
        <v>profit</v>
      </c>
    </row>
    <row r="872" spans="1:14" ht="15.6" thickTop="1" thickBot="1" x14ac:dyDescent="0.35">
      <c r="A872" s="4">
        <v>45463</v>
      </c>
      <c r="B872" s="4" t="s">
        <v>14</v>
      </c>
      <c r="C872" s="5" t="s">
        <v>288</v>
      </c>
      <c r="D872" s="5" t="s">
        <v>33</v>
      </c>
      <c r="E872" s="5" t="s">
        <v>99</v>
      </c>
      <c r="F872" s="5" t="s">
        <v>71</v>
      </c>
      <c r="G872" s="5" t="s">
        <v>28</v>
      </c>
      <c r="H872" s="5">
        <v>85</v>
      </c>
      <c r="I872" s="5">
        <v>639</v>
      </c>
      <c r="J872" s="5">
        <v>1447</v>
      </c>
      <c r="K872" s="6">
        <f t="shared" si="52"/>
        <v>54315</v>
      </c>
      <c r="L872" s="6">
        <f t="shared" si="53"/>
        <v>122995</v>
      </c>
      <c r="M872" s="6">
        <f t="shared" si="54"/>
        <v>68680</v>
      </c>
      <c r="N872" s="6" t="str">
        <f t="shared" si="55"/>
        <v>profit</v>
      </c>
    </row>
    <row r="873" spans="1:14" ht="15.6" thickTop="1" thickBot="1" x14ac:dyDescent="0.35">
      <c r="A873" s="4">
        <v>45465</v>
      </c>
      <c r="B873" s="4" t="s">
        <v>14</v>
      </c>
      <c r="C873" s="5" t="s">
        <v>289</v>
      </c>
      <c r="D873" s="5" t="s">
        <v>33</v>
      </c>
      <c r="E873" s="5" t="s">
        <v>99</v>
      </c>
      <c r="F873" s="5" t="s">
        <v>25</v>
      </c>
      <c r="G873" s="5" t="s">
        <v>19</v>
      </c>
      <c r="H873" s="5">
        <v>81</v>
      </c>
      <c r="I873" s="5">
        <v>776</v>
      </c>
      <c r="J873" s="5">
        <v>895</v>
      </c>
      <c r="K873" s="6">
        <f t="shared" si="52"/>
        <v>62856</v>
      </c>
      <c r="L873" s="6">
        <f t="shared" si="53"/>
        <v>72495</v>
      </c>
      <c r="M873" s="6">
        <f t="shared" si="54"/>
        <v>9639</v>
      </c>
      <c r="N873" s="6" t="str">
        <f t="shared" si="55"/>
        <v>profit</v>
      </c>
    </row>
    <row r="874" spans="1:14" ht="15.6" thickTop="1" thickBot="1" x14ac:dyDescent="0.35">
      <c r="A874" s="4">
        <v>45466</v>
      </c>
      <c r="B874" s="4" t="s">
        <v>14</v>
      </c>
      <c r="C874" s="5" t="s">
        <v>290</v>
      </c>
      <c r="D874" s="5" t="s">
        <v>33</v>
      </c>
      <c r="E874" s="5" t="s">
        <v>120</v>
      </c>
      <c r="F874" s="5" t="s">
        <v>64</v>
      </c>
      <c r="G874" s="5" t="s">
        <v>19</v>
      </c>
      <c r="H874" s="5">
        <v>86</v>
      </c>
      <c r="I874" s="5">
        <v>705</v>
      </c>
      <c r="J874" s="5">
        <v>1483</v>
      </c>
      <c r="K874" s="6">
        <f t="shared" si="52"/>
        <v>60630</v>
      </c>
      <c r="L874" s="6">
        <f t="shared" si="53"/>
        <v>127538</v>
      </c>
      <c r="M874" s="6">
        <f t="shared" si="54"/>
        <v>66908</v>
      </c>
      <c r="N874" s="6" t="str">
        <f t="shared" si="55"/>
        <v>profit</v>
      </c>
    </row>
    <row r="875" spans="1:14" ht="15.6" thickTop="1" thickBot="1" x14ac:dyDescent="0.35">
      <c r="A875" s="4">
        <v>45467</v>
      </c>
      <c r="B875" s="4" t="s">
        <v>14</v>
      </c>
      <c r="C875" s="5" t="s">
        <v>291</v>
      </c>
      <c r="D875" s="5" t="s">
        <v>33</v>
      </c>
      <c r="E875" s="5" t="s">
        <v>120</v>
      </c>
      <c r="F875" s="5" t="s">
        <v>76</v>
      </c>
      <c r="G875" s="5" t="s">
        <v>28</v>
      </c>
      <c r="H875" s="5">
        <v>80</v>
      </c>
      <c r="I875" s="5">
        <v>901</v>
      </c>
      <c r="J875" s="5">
        <v>1109</v>
      </c>
      <c r="K875" s="6">
        <f t="shared" si="52"/>
        <v>72080</v>
      </c>
      <c r="L875" s="6">
        <f t="shared" si="53"/>
        <v>88720</v>
      </c>
      <c r="M875" s="6">
        <f t="shared" si="54"/>
        <v>16640</v>
      </c>
      <c r="N875" s="6" t="str">
        <f t="shared" si="55"/>
        <v>profit</v>
      </c>
    </row>
    <row r="876" spans="1:14" ht="15.6" thickTop="1" thickBot="1" x14ac:dyDescent="0.35">
      <c r="A876" s="4">
        <v>45468</v>
      </c>
      <c r="B876" s="4" t="s">
        <v>14</v>
      </c>
      <c r="C876" s="5" t="s">
        <v>292</v>
      </c>
      <c r="D876" s="5" t="s">
        <v>33</v>
      </c>
      <c r="E876" s="5" t="s">
        <v>120</v>
      </c>
      <c r="F876" s="5" t="s">
        <v>78</v>
      </c>
      <c r="G876" s="5" t="s">
        <v>28</v>
      </c>
      <c r="H876" s="5">
        <v>59</v>
      </c>
      <c r="I876" s="5">
        <v>502</v>
      </c>
      <c r="J876" s="5">
        <v>1212</v>
      </c>
      <c r="K876" s="6">
        <f t="shared" si="52"/>
        <v>29618</v>
      </c>
      <c r="L876" s="6">
        <f t="shared" si="53"/>
        <v>71508</v>
      </c>
      <c r="M876" s="6">
        <f t="shared" si="54"/>
        <v>41890</v>
      </c>
      <c r="N876" s="6" t="str">
        <f t="shared" si="55"/>
        <v>profit</v>
      </c>
    </row>
    <row r="877" spans="1:14" ht="15.6" thickTop="1" thickBot="1" x14ac:dyDescent="0.35">
      <c r="A877" s="4">
        <v>45469</v>
      </c>
      <c r="B877" s="4" t="s">
        <v>14</v>
      </c>
      <c r="C877" s="5" t="s">
        <v>293</v>
      </c>
      <c r="D877" s="5" t="s">
        <v>33</v>
      </c>
      <c r="E877" s="5" t="s">
        <v>120</v>
      </c>
      <c r="F877" s="5" t="s">
        <v>35</v>
      </c>
      <c r="G877" s="5" t="s">
        <v>28</v>
      </c>
      <c r="H877" s="5">
        <v>52</v>
      </c>
      <c r="I877" s="5">
        <v>556</v>
      </c>
      <c r="J877" s="5">
        <v>1402</v>
      </c>
      <c r="K877" s="6">
        <f t="shared" si="52"/>
        <v>28912</v>
      </c>
      <c r="L877" s="6">
        <f t="shared" si="53"/>
        <v>72904</v>
      </c>
      <c r="M877" s="6">
        <f t="shared" si="54"/>
        <v>43992</v>
      </c>
      <c r="N877" s="6" t="str">
        <f t="shared" si="55"/>
        <v>profit</v>
      </c>
    </row>
    <row r="878" spans="1:14" ht="15.6" thickTop="1" thickBot="1" x14ac:dyDescent="0.35">
      <c r="A878" s="4">
        <v>45470</v>
      </c>
      <c r="B878" s="4" t="s">
        <v>14</v>
      </c>
      <c r="C878" s="5" t="s">
        <v>294</v>
      </c>
      <c r="D878" s="5" t="s">
        <v>33</v>
      </c>
      <c r="E878" s="5" t="s">
        <v>120</v>
      </c>
      <c r="F878" s="5" t="s">
        <v>44</v>
      </c>
      <c r="G878" s="5" t="s">
        <v>28</v>
      </c>
      <c r="H878" s="5">
        <v>92</v>
      </c>
      <c r="I878" s="5">
        <v>953</v>
      </c>
      <c r="J878" s="5">
        <v>790</v>
      </c>
      <c r="K878" s="6">
        <f t="shared" si="52"/>
        <v>87676</v>
      </c>
      <c r="L878" s="6">
        <f t="shared" si="53"/>
        <v>72680</v>
      </c>
      <c r="M878" s="6">
        <f t="shared" si="54"/>
        <v>-14996</v>
      </c>
      <c r="N878" s="6" t="str">
        <f t="shared" si="55"/>
        <v>loss</v>
      </c>
    </row>
    <row r="879" spans="1:14" ht="15.6" thickTop="1" thickBot="1" x14ac:dyDescent="0.35">
      <c r="A879" s="4">
        <v>45471</v>
      </c>
      <c r="B879" s="4" t="s">
        <v>14</v>
      </c>
      <c r="C879" s="5" t="s">
        <v>295</v>
      </c>
      <c r="D879" s="5" t="s">
        <v>33</v>
      </c>
      <c r="E879" s="5" t="s">
        <v>120</v>
      </c>
      <c r="F879" s="5" t="s">
        <v>60</v>
      </c>
      <c r="G879" s="5" t="s">
        <v>28</v>
      </c>
      <c r="H879" s="5">
        <v>96</v>
      </c>
      <c r="I879" s="5">
        <v>961</v>
      </c>
      <c r="J879" s="5">
        <v>1174</v>
      </c>
      <c r="K879" s="6">
        <f t="shared" si="52"/>
        <v>92256</v>
      </c>
      <c r="L879" s="6">
        <f t="shared" si="53"/>
        <v>112704</v>
      </c>
      <c r="M879" s="6">
        <f t="shared" si="54"/>
        <v>20448</v>
      </c>
      <c r="N879" s="6" t="str">
        <f t="shared" si="55"/>
        <v>profit</v>
      </c>
    </row>
    <row r="880" spans="1:14" ht="15.6" thickTop="1" thickBot="1" x14ac:dyDescent="0.35">
      <c r="A880" s="4">
        <v>45495</v>
      </c>
      <c r="B880" s="4" t="s">
        <v>40</v>
      </c>
      <c r="C880" s="5" t="s">
        <v>296</v>
      </c>
      <c r="D880" s="5" t="s">
        <v>33</v>
      </c>
      <c r="E880" s="5" t="s">
        <v>99</v>
      </c>
      <c r="F880" s="5" t="s">
        <v>21</v>
      </c>
      <c r="G880" s="5" t="s">
        <v>19</v>
      </c>
      <c r="H880" s="5">
        <v>79</v>
      </c>
      <c r="I880" s="5">
        <v>880</v>
      </c>
      <c r="J880" s="5">
        <v>1403</v>
      </c>
      <c r="K880" s="6">
        <f t="shared" si="52"/>
        <v>69520</v>
      </c>
      <c r="L880" s="6">
        <f t="shared" si="53"/>
        <v>110837</v>
      </c>
      <c r="M880" s="6">
        <f t="shared" si="54"/>
        <v>41317</v>
      </c>
      <c r="N880" s="6" t="str">
        <f t="shared" si="55"/>
        <v>profit</v>
      </c>
    </row>
    <row r="881" spans="1:14" ht="15.6" thickTop="1" thickBot="1" x14ac:dyDescent="0.35">
      <c r="A881" s="4">
        <v>45496</v>
      </c>
      <c r="B881" s="4" t="s">
        <v>40</v>
      </c>
      <c r="C881" s="5" t="s">
        <v>297</v>
      </c>
      <c r="D881" s="5" t="s">
        <v>33</v>
      </c>
      <c r="E881" s="5" t="s">
        <v>99</v>
      </c>
      <c r="F881" s="5" t="s">
        <v>23</v>
      </c>
      <c r="G881" s="5" t="s">
        <v>19</v>
      </c>
      <c r="H881" s="5">
        <v>62</v>
      </c>
      <c r="I881" s="5">
        <v>936</v>
      </c>
      <c r="J881" s="5">
        <v>1364</v>
      </c>
      <c r="K881" s="6">
        <f t="shared" si="52"/>
        <v>58032</v>
      </c>
      <c r="L881" s="6">
        <f t="shared" si="53"/>
        <v>84568</v>
      </c>
      <c r="M881" s="6">
        <f t="shared" si="54"/>
        <v>26536</v>
      </c>
      <c r="N881" s="6" t="str">
        <f t="shared" si="55"/>
        <v>profit</v>
      </c>
    </row>
    <row r="882" spans="1:14" ht="15.6" thickTop="1" thickBot="1" x14ac:dyDescent="0.35">
      <c r="A882" s="4">
        <v>45497</v>
      </c>
      <c r="B882" s="4" t="s">
        <v>40</v>
      </c>
      <c r="C882" s="5" t="s">
        <v>298</v>
      </c>
      <c r="D882" s="5" t="s">
        <v>33</v>
      </c>
      <c r="E882" s="5" t="s">
        <v>99</v>
      </c>
      <c r="F882" s="5" t="s">
        <v>25</v>
      </c>
      <c r="G882" s="5" t="s">
        <v>19</v>
      </c>
      <c r="H882" s="5">
        <v>53</v>
      </c>
      <c r="I882" s="5">
        <v>791</v>
      </c>
      <c r="J882" s="5">
        <v>1253</v>
      </c>
      <c r="K882" s="6">
        <f t="shared" si="52"/>
        <v>41923</v>
      </c>
      <c r="L882" s="6">
        <f t="shared" si="53"/>
        <v>66409</v>
      </c>
      <c r="M882" s="6">
        <f t="shared" si="54"/>
        <v>24486</v>
      </c>
      <c r="N882" s="6" t="str">
        <f t="shared" si="55"/>
        <v>profit</v>
      </c>
    </row>
    <row r="883" spans="1:14" ht="15.6" thickTop="1" thickBot="1" x14ac:dyDescent="0.35">
      <c r="A883" s="4">
        <v>45602</v>
      </c>
      <c r="B883" s="4" t="s">
        <v>161</v>
      </c>
      <c r="C883" s="5" t="s">
        <v>162</v>
      </c>
      <c r="D883" s="5" t="s">
        <v>33</v>
      </c>
      <c r="E883" s="5" t="s">
        <v>163</v>
      </c>
      <c r="F883" s="5" t="s">
        <v>30</v>
      </c>
      <c r="G883" s="5" t="s">
        <v>19</v>
      </c>
      <c r="H883" s="5">
        <v>74</v>
      </c>
      <c r="I883" s="5">
        <v>636</v>
      </c>
      <c r="J883" s="5">
        <v>955</v>
      </c>
      <c r="K883" s="6">
        <f t="shared" si="52"/>
        <v>47064</v>
      </c>
      <c r="L883" s="6">
        <f t="shared" si="53"/>
        <v>70670</v>
      </c>
      <c r="M883" s="6">
        <f t="shared" si="54"/>
        <v>23606</v>
      </c>
      <c r="N883" s="6" t="str">
        <f t="shared" si="55"/>
        <v>profit</v>
      </c>
    </row>
    <row r="884" spans="1:14" ht="15.6" thickTop="1" thickBot="1" x14ac:dyDescent="0.35">
      <c r="A884" s="4">
        <v>45498</v>
      </c>
      <c r="B884" s="4" t="s">
        <v>40</v>
      </c>
      <c r="C884" s="5" t="s">
        <v>299</v>
      </c>
      <c r="D884" s="5" t="s">
        <v>33</v>
      </c>
      <c r="E884" s="5" t="s">
        <v>99</v>
      </c>
      <c r="F884" s="5" t="s">
        <v>25</v>
      </c>
      <c r="G884" s="5" t="s">
        <v>19</v>
      </c>
      <c r="H884" s="5">
        <v>56</v>
      </c>
      <c r="I884" s="5">
        <v>740</v>
      </c>
      <c r="J884" s="5">
        <v>1464</v>
      </c>
      <c r="K884" s="6">
        <f t="shared" si="52"/>
        <v>41440</v>
      </c>
      <c r="L884" s="6">
        <f t="shared" si="53"/>
        <v>81984</v>
      </c>
      <c r="M884" s="6">
        <f t="shared" si="54"/>
        <v>40544</v>
      </c>
      <c r="N884" s="6" t="str">
        <f t="shared" si="55"/>
        <v>profit</v>
      </c>
    </row>
    <row r="885" spans="1:14" ht="15.6" thickTop="1" thickBot="1" x14ac:dyDescent="0.35">
      <c r="A885" s="4">
        <v>45499</v>
      </c>
      <c r="B885" s="4" t="s">
        <v>40</v>
      </c>
      <c r="C885" s="5" t="s">
        <v>300</v>
      </c>
      <c r="D885" s="5" t="s">
        <v>33</v>
      </c>
      <c r="E885" s="5" t="s">
        <v>99</v>
      </c>
      <c r="F885" s="5" t="s">
        <v>27</v>
      </c>
      <c r="G885" s="5" t="s">
        <v>19</v>
      </c>
      <c r="H885" s="5">
        <v>63</v>
      </c>
      <c r="I885" s="5">
        <v>519</v>
      </c>
      <c r="J885" s="5">
        <v>826</v>
      </c>
      <c r="K885" s="6">
        <f t="shared" si="52"/>
        <v>32697</v>
      </c>
      <c r="L885" s="6">
        <f t="shared" si="53"/>
        <v>52038</v>
      </c>
      <c r="M885" s="6">
        <f t="shared" si="54"/>
        <v>19341</v>
      </c>
      <c r="N885" s="6" t="str">
        <f t="shared" si="55"/>
        <v>profit</v>
      </c>
    </row>
    <row r="886" spans="1:14" ht="15.6" thickTop="1" thickBot="1" x14ac:dyDescent="0.35">
      <c r="A886" s="4">
        <v>45605</v>
      </c>
      <c r="B886" s="4" t="s">
        <v>161</v>
      </c>
      <c r="C886" s="5" t="s">
        <v>166</v>
      </c>
      <c r="D886" s="5" t="s">
        <v>33</v>
      </c>
      <c r="E886" s="5" t="s">
        <v>163</v>
      </c>
      <c r="F886" s="5" t="s">
        <v>71</v>
      </c>
      <c r="G886" s="5" t="s">
        <v>19</v>
      </c>
      <c r="H886" s="5">
        <v>83</v>
      </c>
      <c r="I886" s="5">
        <v>569</v>
      </c>
      <c r="J886" s="5">
        <v>1232</v>
      </c>
      <c r="K886" s="6">
        <f t="shared" si="52"/>
        <v>47227</v>
      </c>
      <c r="L886" s="6">
        <f t="shared" si="53"/>
        <v>102256</v>
      </c>
      <c r="M886" s="6">
        <f t="shared" si="54"/>
        <v>55029</v>
      </c>
      <c r="N886" s="6" t="str">
        <f t="shared" si="55"/>
        <v>profit</v>
      </c>
    </row>
    <row r="887" spans="1:14" ht="15.6" thickTop="1" thickBot="1" x14ac:dyDescent="0.35">
      <c r="A887" s="4">
        <v>45500</v>
      </c>
      <c r="B887" s="4" t="s">
        <v>40</v>
      </c>
      <c r="C887" s="5" t="s">
        <v>301</v>
      </c>
      <c r="D887" s="5" t="s">
        <v>33</v>
      </c>
      <c r="E887" s="5" t="s">
        <v>99</v>
      </c>
      <c r="F887" s="5" t="s">
        <v>30</v>
      </c>
      <c r="G887" s="5" t="s">
        <v>19</v>
      </c>
      <c r="H887" s="5">
        <v>73</v>
      </c>
      <c r="I887" s="5">
        <v>857</v>
      </c>
      <c r="J887" s="5">
        <v>1024</v>
      </c>
      <c r="K887" s="6">
        <f t="shared" si="52"/>
        <v>62561</v>
      </c>
      <c r="L887" s="6">
        <f t="shared" si="53"/>
        <v>74752</v>
      </c>
      <c r="M887" s="6">
        <f t="shared" si="54"/>
        <v>12191</v>
      </c>
      <c r="N887" s="6" t="str">
        <f t="shared" si="55"/>
        <v>profit</v>
      </c>
    </row>
    <row r="888" spans="1:14" ht="15.6" thickTop="1" thickBot="1" x14ac:dyDescent="0.35">
      <c r="A888" s="4">
        <v>45501</v>
      </c>
      <c r="B888" s="4" t="s">
        <v>40</v>
      </c>
      <c r="C888" s="5" t="s">
        <v>302</v>
      </c>
      <c r="D888" s="5" t="s">
        <v>33</v>
      </c>
      <c r="E888" s="5" t="s">
        <v>99</v>
      </c>
      <c r="F888" s="5" t="s">
        <v>25</v>
      </c>
      <c r="G888" s="5" t="s">
        <v>19</v>
      </c>
      <c r="H888" s="5">
        <v>67</v>
      </c>
      <c r="I888" s="5">
        <v>725</v>
      </c>
      <c r="J888" s="5">
        <v>884</v>
      </c>
      <c r="K888" s="6">
        <f t="shared" si="52"/>
        <v>48575</v>
      </c>
      <c r="L888" s="6">
        <f t="shared" si="53"/>
        <v>59228</v>
      </c>
      <c r="M888" s="6">
        <f t="shared" si="54"/>
        <v>10653</v>
      </c>
      <c r="N888" s="6" t="str">
        <f t="shared" si="55"/>
        <v>profit</v>
      </c>
    </row>
    <row r="889" spans="1:14" ht="15.6" thickTop="1" thickBot="1" x14ac:dyDescent="0.35">
      <c r="A889" s="4">
        <v>45502</v>
      </c>
      <c r="B889" s="4" t="s">
        <v>40</v>
      </c>
      <c r="C889" s="5" t="s">
        <v>303</v>
      </c>
      <c r="D889" s="5" t="s">
        <v>33</v>
      </c>
      <c r="E889" s="5" t="s">
        <v>99</v>
      </c>
      <c r="F889" s="5" t="s">
        <v>76</v>
      </c>
      <c r="G889" s="5" t="s">
        <v>19</v>
      </c>
      <c r="H889" s="5">
        <v>74</v>
      </c>
      <c r="I889" s="5">
        <v>691</v>
      </c>
      <c r="J889" s="5">
        <v>871</v>
      </c>
      <c r="K889" s="6">
        <f t="shared" si="52"/>
        <v>51134</v>
      </c>
      <c r="L889" s="6">
        <f t="shared" si="53"/>
        <v>64454</v>
      </c>
      <c r="M889" s="6">
        <f t="shared" si="54"/>
        <v>13320</v>
      </c>
      <c r="N889" s="6" t="str">
        <f t="shared" si="55"/>
        <v>profit</v>
      </c>
    </row>
    <row r="890" spans="1:14" ht="15.6" thickTop="1" thickBot="1" x14ac:dyDescent="0.35">
      <c r="A890" s="4">
        <v>45503</v>
      </c>
      <c r="B890" s="4" t="s">
        <v>40</v>
      </c>
      <c r="C890" s="5" t="s">
        <v>304</v>
      </c>
      <c r="D890" s="5" t="s">
        <v>33</v>
      </c>
      <c r="E890" s="5" t="s">
        <v>99</v>
      </c>
      <c r="F890" s="5" t="s">
        <v>71</v>
      </c>
      <c r="G890" s="5" t="s">
        <v>28</v>
      </c>
      <c r="H890" s="5">
        <v>92</v>
      </c>
      <c r="I890" s="5">
        <v>981</v>
      </c>
      <c r="J890" s="5">
        <v>1157</v>
      </c>
      <c r="K890" s="6">
        <f t="shared" si="52"/>
        <v>90252</v>
      </c>
      <c r="L890" s="6">
        <f t="shared" si="53"/>
        <v>106444</v>
      </c>
      <c r="M890" s="6">
        <f t="shared" si="54"/>
        <v>16192</v>
      </c>
      <c r="N890" s="6" t="str">
        <f t="shared" si="55"/>
        <v>profit</v>
      </c>
    </row>
    <row r="891" spans="1:14" ht="15.6" thickTop="1" thickBot="1" x14ac:dyDescent="0.35">
      <c r="A891" s="4">
        <v>45610</v>
      </c>
      <c r="B891" s="4" t="s">
        <v>161</v>
      </c>
      <c r="C891" s="5" t="s">
        <v>171</v>
      </c>
      <c r="D891" s="5" t="s">
        <v>46</v>
      </c>
      <c r="E891" s="5" t="s">
        <v>63</v>
      </c>
      <c r="F891" s="5" t="s">
        <v>78</v>
      </c>
      <c r="G891" s="5" t="s">
        <v>28</v>
      </c>
      <c r="H891" s="5">
        <v>23</v>
      </c>
      <c r="I891" s="5">
        <v>663</v>
      </c>
      <c r="J891" s="5">
        <v>1215</v>
      </c>
      <c r="K891" s="6">
        <f t="shared" si="52"/>
        <v>15249</v>
      </c>
      <c r="L891" s="6">
        <f t="shared" si="53"/>
        <v>27945</v>
      </c>
      <c r="M891" s="6">
        <f t="shared" si="54"/>
        <v>12696</v>
      </c>
      <c r="N891" s="6" t="str">
        <f t="shared" si="55"/>
        <v>profit</v>
      </c>
    </row>
    <row r="892" spans="1:14" ht="15.6" thickTop="1" thickBot="1" x14ac:dyDescent="0.35">
      <c r="A892" s="4">
        <v>45504</v>
      </c>
      <c r="B892" s="4" t="s">
        <v>40</v>
      </c>
      <c r="C892" s="5" t="s">
        <v>305</v>
      </c>
      <c r="D892" s="5" t="s">
        <v>33</v>
      </c>
      <c r="E892" s="5" t="s">
        <v>99</v>
      </c>
      <c r="F892" s="5" t="s">
        <v>44</v>
      </c>
      <c r="G892" s="5" t="s">
        <v>28</v>
      </c>
      <c r="H892" s="5">
        <v>63</v>
      </c>
      <c r="I892" s="5">
        <v>547</v>
      </c>
      <c r="J892" s="5">
        <v>1150</v>
      </c>
      <c r="K892" s="6">
        <f t="shared" si="52"/>
        <v>34461</v>
      </c>
      <c r="L892" s="6">
        <f t="shared" si="53"/>
        <v>72450</v>
      </c>
      <c r="M892" s="6">
        <f t="shared" si="54"/>
        <v>37989</v>
      </c>
      <c r="N892" s="6" t="str">
        <f t="shared" si="55"/>
        <v>profit</v>
      </c>
    </row>
    <row r="893" spans="1:14" ht="15.6" thickTop="1" thickBot="1" x14ac:dyDescent="0.35">
      <c r="A893" s="4">
        <v>45505</v>
      </c>
      <c r="B893" s="4" t="s">
        <v>57</v>
      </c>
      <c r="C893" s="5" t="s">
        <v>306</v>
      </c>
      <c r="D893" s="5" t="s">
        <v>33</v>
      </c>
      <c r="E893" s="5" t="s">
        <v>99</v>
      </c>
      <c r="F893" s="5" t="s">
        <v>25</v>
      </c>
      <c r="G893" s="5" t="s">
        <v>28</v>
      </c>
      <c r="H893" s="5">
        <v>69</v>
      </c>
      <c r="I893" s="5">
        <v>531</v>
      </c>
      <c r="J893" s="5">
        <v>1210</v>
      </c>
      <c r="K893" s="6">
        <f t="shared" si="52"/>
        <v>36639</v>
      </c>
      <c r="L893" s="6">
        <f t="shared" si="53"/>
        <v>83490</v>
      </c>
      <c r="M893" s="6">
        <f t="shared" si="54"/>
        <v>46851</v>
      </c>
      <c r="N893" s="6" t="str">
        <f t="shared" si="55"/>
        <v>profit</v>
      </c>
    </row>
    <row r="894" spans="1:14" ht="15.6" thickTop="1" thickBot="1" x14ac:dyDescent="0.35">
      <c r="A894" s="4">
        <v>45506</v>
      </c>
      <c r="B894" s="4" t="s">
        <v>57</v>
      </c>
      <c r="C894" s="5" t="s">
        <v>307</v>
      </c>
      <c r="D894" s="5" t="s">
        <v>33</v>
      </c>
      <c r="E894" s="5" t="s">
        <v>99</v>
      </c>
      <c r="F894" s="5" t="s">
        <v>64</v>
      </c>
      <c r="G894" s="5" t="s">
        <v>28</v>
      </c>
      <c r="H894" s="5">
        <v>84</v>
      </c>
      <c r="I894" s="5">
        <v>806</v>
      </c>
      <c r="J894" s="5">
        <v>1242</v>
      </c>
      <c r="K894" s="6">
        <f t="shared" si="52"/>
        <v>67704</v>
      </c>
      <c r="L894" s="6">
        <f t="shared" si="53"/>
        <v>104328</v>
      </c>
      <c r="M894" s="6">
        <f t="shared" si="54"/>
        <v>36624</v>
      </c>
      <c r="N894" s="6" t="str">
        <f t="shared" si="55"/>
        <v>profit</v>
      </c>
    </row>
    <row r="895" spans="1:14" ht="15.6" thickTop="1" thickBot="1" x14ac:dyDescent="0.35">
      <c r="A895" s="4">
        <v>45614</v>
      </c>
      <c r="B895" s="4" t="s">
        <v>161</v>
      </c>
      <c r="C895" s="5" t="s">
        <v>175</v>
      </c>
      <c r="D895" s="5" t="s">
        <v>46</v>
      </c>
      <c r="E895" s="5" t="s">
        <v>63</v>
      </c>
      <c r="F895" s="5" t="s">
        <v>35</v>
      </c>
      <c r="G895" s="5" t="s">
        <v>19</v>
      </c>
      <c r="H895" s="5">
        <v>26</v>
      </c>
      <c r="I895" s="5">
        <v>878</v>
      </c>
      <c r="J895" s="5">
        <v>1492</v>
      </c>
      <c r="K895" s="6">
        <f t="shared" si="52"/>
        <v>22828</v>
      </c>
      <c r="L895" s="6">
        <f t="shared" si="53"/>
        <v>38792</v>
      </c>
      <c r="M895" s="6">
        <f t="shared" si="54"/>
        <v>15964</v>
      </c>
      <c r="N895" s="6" t="str">
        <f t="shared" si="55"/>
        <v>profit</v>
      </c>
    </row>
    <row r="896" spans="1:14" ht="15.6" thickTop="1" thickBot="1" x14ac:dyDescent="0.35">
      <c r="A896" s="4">
        <v>45508</v>
      </c>
      <c r="B896" s="4" t="s">
        <v>57</v>
      </c>
      <c r="C896" s="5" t="s">
        <v>308</v>
      </c>
      <c r="D896" s="5" t="s">
        <v>33</v>
      </c>
      <c r="E896" s="5" t="s">
        <v>120</v>
      </c>
      <c r="F896" s="5" t="s">
        <v>78</v>
      </c>
      <c r="G896" s="5" t="s">
        <v>19</v>
      </c>
      <c r="H896" s="5">
        <v>71</v>
      </c>
      <c r="I896" s="5">
        <v>565</v>
      </c>
      <c r="J896" s="5">
        <v>807</v>
      </c>
      <c r="K896" s="6">
        <f t="shared" si="52"/>
        <v>40115</v>
      </c>
      <c r="L896" s="6">
        <f t="shared" si="53"/>
        <v>57297</v>
      </c>
      <c r="M896" s="6">
        <f t="shared" si="54"/>
        <v>17182</v>
      </c>
      <c r="N896" s="6" t="str">
        <f t="shared" si="55"/>
        <v>profit</v>
      </c>
    </row>
    <row r="897" spans="1:14" ht="15.6" thickTop="1" thickBot="1" x14ac:dyDescent="0.35">
      <c r="A897" s="4">
        <v>45616</v>
      </c>
      <c r="B897" s="4" t="s">
        <v>161</v>
      </c>
      <c r="C897" s="5" t="s">
        <v>177</v>
      </c>
      <c r="D897" s="5" t="s">
        <v>46</v>
      </c>
      <c r="E897" s="5" t="s">
        <v>63</v>
      </c>
      <c r="F897" s="5" t="s">
        <v>39</v>
      </c>
      <c r="G897" s="5" t="s">
        <v>19</v>
      </c>
      <c r="H897" s="5">
        <v>25</v>
      </c>
      <c r="I897" s="5">
        <v>547</v>
      </c>
      <c r="J897" s="5">
        <v>1342</v>
      </c>
      <c r="K897" s="6">
        <f t="shared" si="52"/>
        <v>13675</v>
      </c>
      <c r="L897" s="6">
        <f t="shared" si="53"/>
        <v>33550</v>
      </c>
      <c r="M897" s="6">
        <f t="shared" si="54"/>
        <v>19875</v>
      </c>
      <c r="N897" s="6" t="str">
        <f t="shared" si="55"/>
        <v>profit</v>
      </c>
    </row>
    <row r="898" spans="1:14" ht="15.6" thickTop="1" thickBot="1" x14ac:dyDescent="0.35">
      <c r="A898" s="4">
        <v>45509</v>
      </c>
      <c r="B898" s="4" t="s">
        <v>57</v>
      </c>
      <c r="C898" s="5" t="s">
        <v>309</v>
      </c>
      <c r="D898" s="5" t="s">
        <v>33</v>
      </c>
      <c r="E898" s="5" t="s">
        <v>120</v>
      </c>
      <c r="F898" s="5" t="s">
        <v>35</v>
      </c>
      <c r="G898" s="5" t="s">
        <v>19</v>
      </c>
      <c r="H898" s="5">
        <v>90</v>
      </c>
      <c r="I898" s="5">
        <v>634</v>
      </c>
      <c r="J898" s="5">
        <v>1465</v>
      </c>
      <c r="K898" s="6">
        <f t="shared" ref="K898:K961" si="56">H898*I898</f>
        <v>57060</v>
      </c>
      <c r="L898" s="6">
        <f t="shared" ref="L898:L961" si="57">H898*J898</f>
        <v>131850</v>
      </c>
      <c r="M898" s="6">
        <f t="shared" ref="M898:M961" si="58">L898-K898</f>
        <v>74790</v>
      </c>
      <c r="N898" s="6" t="str">
        <f t="shared" ref="N898:N961" si="59">IF(M898&gt;0,"profit","loss")</f>
        <v>profit</v>
      </c>
    </row>
    <row r="899" spans="1:14" ht="15.6" thickTop="1" thickBot="1" x14ac:dyDescent="0.35">
      <c r="A899" s="4">
        <v>45528</v>
      </c>
      <c r="B899" s="4" t="s">
        <v>57</v>
      </c>
      <c r="C899" s="5" t="s">
        <v>310</v>
      </c>
      <c r="D899" s="5" t="s">
        <v>33</v>
      </c>
      <c r="E899" s="5" t="s">
        <v>99</v>
      </c>
      <c r="F899" s="5" t="s">
        <v>39</v>
      </c>
      <c r="G899" s="5" t="s">
        <v>19</v>
      </c>
      <c r="H899" s="5">
        <v>61</v>
      </c>
      <c r="I899" s="5">
        <v>675</v>
      </c>
      <c r="J899" s="5">
        <v>770</v>
      </c>
      <c r="K899" s="6">
        <f t="shared" si="56"/>
        <v>41175</v>
      </c>
      <c r="L899" s="6">
        <f t="shared" si="57"/>
        <v>46970</v>
      </c>
      <c r="M899" s="6">
        <f t="shared" si="58"/>
        <v>5795</v>
      </c>
      <c r="N899" s="6" t="str">
        <f t="shared" si="59"/>
        <v>profit</v>
      </c>
    </row>
    <row r="900" spans="1:14" ht="15.6" thickTop="1" thickBot="1" x14ac:dyDescent="0.35">
      <c r="A900" s="4">
        <v>45529</v>
      </c>
      <c r="B900" s="4" t="s">
        <v>57</v>
      </c>
      <c r="C900" s="5" t="s">
        <v>311</v>
      </c>
      <c r="D900" s="5" t="s">
        <v>33</v>
      </c>
      <c r="E900" s="5" t="s">
        <v>99</v>
      </c>
      <c r="F900" s="5" t="s">
        <v>30</v>
      </c>
      <c r="G900" s="5" t="s">
        <v>19</v>
      </c>
      <c r="H900" s="5">
        <v>58</v>
      </c>
      <c r="I900" s="5">
        <v>720</v>
      </c>
      <c r="J900" s="5">
        <v>1356</v>
      </c>
      <c r="K900" s="6">
        <f t="shared" si="56"/>
        <v>41760</v>
      </c>
      <c r="L900" s="6">
        <f t="shared" si="57"/>
        <v>78648</v>
      </c>
      <c r="M900" s="6">
        <f t="shared" si="58"/>
        <v>36888</v>
      </c>
      <c r="N900" s="6" t="str">
        <f t="shared" si="59"/>
        <v>profit</v>
      </c>
    </row>
    <row r="901" spans="1:14" ht="15.6" thickTop="1" thickBot="1" x14ac:dyDescent="0.35">
      <c r="A901" s="4">
        <v>45530</v>
      </c>
      <c r="B901" s="4" t="s">
        <v>57</v>
      </c>
      <c r="C901" s="5" t="s">
        <v>312</v>
      </c>
      <c r="D901" s="5" t="s">
        <v>33</v>
      </c>
      <c r="E901" s="5" t="s">
        <v>99</v>
      </c>
      <c r="F901" s="5" t="s">
        <v>113</v>
      </c>
      <c r="G901" s="5" t="s">
        <v>19</v>
      </c>
      <c r="H901" s="5">
        <v>60</v>
      </c>
      <c r="I901" s="5">
        <v>676</v>
      </c>
      <c r="J901" s="5">
        <v>768</v>
      </c>
      <c r="K901" s="6">
        <f t="shared" si="56"/>
        <v>40560</v>
      </c>
      <c r="L901" s="6">
        <f t="shared" si="57"/>
        <v>46080</v>
      </c>
      <c r="M901" s="6">
        <f t="shared" si="58"/>
        <v>5520</v>
      </c>
      <c r="N901" s="6" t="str">
        <f t="shared" si="59"/>
        <v>profit</v>
      </c>
    </row>
    <row r="902" spans="1:14" ht="15.6" thickTop="1" thickBot="1" x14ac:dyDescent="0.35">
      <c r="A902" s="4">
        <v>45531</v>
      </c>
      <c r="B902" s="4" t="s">
        <v>57</v>
      </c>
      <c r="C902" s="5" t="s">
        <v>313</v>
      </c>
      <c r="D902" s="5" t="s">
        <v>33</v>
      </c>
      <c r="E902" s="5" t="s">
        <v>99</v>
      </c>
      <c r="F902" s="5" t="s">
        <v>44</v>
      </c>
      <c r="G902" s="5" t="s">
        <v>19</v>
      </c>
      <c r="H902" s="5">
        <v>91</v>
      </c>
      <c r="I902" s="5">
        <v>808</v>
      </c>
      <c r="J902" s="5">
        <v>928</v>
      </c>
      <c r="K902" s="6">
        <f t="shared" si="56"/>
        <v>73528</v>
      </c>
      <c r="L902" s="6">
        <f t="shared" si="57"/>
        <v>84448</v>
      </c>
      <c r="M902" s="6">
        <f t="shared" si="58"/>
        <v>10920</v>
      </c>
      <c r="N902" s="6" t="str">
        <f t="shared" si="59"/>
        <v>profit</v>
      </c>
    </row>
    <row r="903" spans="1:14" ht="15.6" thickTop="1" thickBot="1" x14ac:dyDescent="0.35">
      <c r="A903" s="4">
        <v>45532</v>
      </c>
      <c r="B903" s="4" t="s">
        <v>57</v>
      </c>
      <c r="C903" s="5" t="s">
        <v>314</v>
      </c>
      <c r="D903" s="5" t="s">
        <v>33</v>
      </c>
      <c r="E903" s="5" t="s">
        <v>99</v>
      </c>
      <c r="F903" s="5" t="s">
        <v>153</v>
      </c>
      <c r="G903" s="5" t="s">
        <v>19</v>
      </c>
      <c r="H903" s="5">
        <v>99</v>
      </c>
      <c r="I903" s="5">
        <v>528</v>
      </c>
      <c r="J903" s="5">
        <v>985</v>
      </c>
      <c r="K903" s="6">
        <f t="shared" si="56"/>
        <v>52272</v>
      </c>
      <c r="L903" s="6">
        <f t="shared" si="57"/>
        <v>97515</v>
      </c>
      <c r="M903" s="6">
        <f t="shared" si="58"/>
        <v>45243</v>
      </c>
      <c r="N903" s="6" t="str">
        <f t="shared" si="59"/>
        <v>profit</v>
      </c>
    </row>
    <row r="904" spans="1:14" ht="15.6" thickTop="1" thickBot="1" x14ac:dyDescent="0.35">
      <c r="A904" s="4">
        <v>45533</v>
      </c>
      <c r="B904" s="4" t="s">
        <v>57</v>
      </c>
      <c r="C904" s="5" t="s">
        <v>315</v>
      </c>
      <c r="D904" s="5" t="s">
        <v>33</v>
      </c>
      <c r="E904" s="5" t="s">
        <v>99</v>
      </c>
      <c r="F904" s="5" t="s">
        <v>155</v>
      </c>
      <c r="G904" s="5" t="s">
        <v>19</v>
      </c>
      <c r="H904" s="5">
        <v>73</v>
      </c>
      <c r="I904" s="5">
        <v>783</v>
      </c>
      <c r="J904" s="5">
        <v>903</v>
      </c>
      <c r="K904" s="6">
        <f t="shared" si="56"/>
        <v>57159</v>
      </c>
      <c r="L904" s="6">
        <f t="shared" si="57"/>
        <v>65919</v>
      </c>
      <c r="M904" s="6">
        <f t="shared" si="58"/>
        <v>8760</v>
      </c>
      <c r="N904" s="6" t="str">
        <f t="shared" si="59"/>
        <v>profit</v>
      </c>
    </row>
    <row r="905" spans="1:14" ht="15.6" thickTop="1" thickBot="1" x14ac:dyDescent="0.35">
      <c r="A905" s="4">
        <v>45534</v>
      </c>
      <c r="B905" s="4" t="s">
        <v>57</v>
      </c>
      <c r="C905" s="5" t="s">
        <v>316</v>
      </c>
      <c r="D905" s="5" t="s">
        <v>33</v>
      </c>
      <c r="E905" s="5" t="s">
        <v>99</v>
      </c>
      <c r="F905" s="5" t="s">
        <v>18</v>
      </c>
      <c r="G905" s="5" t="s">
        <v>28</v>
      </c>
      <c r="H905" s="5">
        <v>59</v>
      </c>
      <c r="I905" s="5">
        <v>638</v>
      </c>
      <c r="J905" s="5">
        <v>1080</v>
      </c>
      <c r="K905" s="6">
        <f t="shared" si="56"/>
        <v>37642</v>
      </c>
      <c r="L905" s="6">
        <f t="shared" si="57"/>
        <v>63720</v>
      </c>
      <c r="M905" s="6">
        <f t="shared" si="58"/>
        <v>26078</v>
      </c>
      <c r="N905" s="6" t="str">
        <f t="shared" si="59"/>
        <v>profit</v>
      </c>
    </row>
    <row r="906" spans="1:14" ht="15.6" thickTop="1" thickBot="1" x14ac:dyDescent="0.35">
      <c r="A906" s="4">
        <v>45536</v>
      </c>
      <c r="B906" s="4" t="s">
        <v>69</v>
      </c>
      <c r="C906" s="5" t="s">
        <v>317</v>
      </c>
      <c r="D906" s="5" t="s">
        <v>33</v>
      </c>
      <c r="E906" s="5" t="s">
        <v>99</v>
      </c>
      <c r="F906" s="5" t="s">
        <v>23</v>
      </c>
      <c r="G906" s="5" t="s">
        <v>28</v>
      </c>
      <c r="H906" s="5">
        <v>68</v>
      </c>
      <c r="I906" s="5">
        <v>881</v>
      </c>
      <c r="J906" s="5">
        <v>1266</v>
      </c>
      <c r="K906" s="6">
        <f t="shared" si="56"/>
        <v>59908</v>
      </c>
      <c r="L906" s="6">
        <f t="shared" si="57"/>
        <v>86088</v>
      </c>
      <c r="M906" s="6">
        <f t="shared" si="58"/>
        <v>26180</v>
      </c>
      <c r="N906" s="6" t="str">
        <f t="shared" si="59"/>
        <v>profit</v>
      </c>
    </row>
    <row r="907" spans="1:14" ht="15.6" thickTop="1" thickBot="1" x14ac:dyDescent="0.35">
      <c r="A907" s="4">
        <v>45626</v>
      </c>
      <c r="B907" s="4" t="s">
        <v>161</v>
      </c>
      <c r="C907" s="5" t="s">
        <v>187</v>
      </c>
      <c r="D907" s="5" t="s">
        <v>46</v>
      </c>
      <c r="E907" s="5" t="s">
        <v>118</v>
      </c>
      <c r="F907" s="5" t="s">
        <v>39</v>
      </c>
      <c r="G907" s="5" t="s">
        <v>19</v>
      </c>
      <c r="H907" s="5">
        <v>22</v>
      </c>
      <c r="I907" s="5">
        <v>606</v>
      </c>
      <c r="J907" s="5">
        <v>1459</v>
      </c>
      <c r="K907" s="6">
        <f t="shared" si="56"/>
        <v>13332</v>
      </c>
      <c r="L907" s="6">
        <f t="shared" si="57"/>
        <v>32098</v>
      </c>
      <c r="M907" s="6">
        <f t="shared" si="58"/>
        <v>18766</v>
      </c>
      <c r="N907" s="6" t="str">
        <f t="shared" si="59"/>
        <v>profit</v>
      </c>
    </row>
    <row r="908" spans="1:14" ht="15.6" thickTop="1" thickBot="1" x14ac:dyDescent="0.35">
      <c r="A908" s="4">
        <v>45537</v>
      </c>
      <c r="B908" s="4" t="s">
        <v>69</v>
      </c>
      <c r="C908" s="5" t="s">
        <v>318</v>
      </c>
      <c r="D908" s="5" t="s">
        <v>33</v>
      </c>
      <c r="E908" s="5" t="s">
        <v>120</v>
      </c>
      <c r="F908" s="5" t="s">
        <v>25</v>
      </c>
      <c r="G908" s="5" t="s">
        <v>28</v>
      </c>
      <c r="H908" s="5">
        <v>55</v>
      </c>
      <c r="I908" s="5">
        <v>639</v>
      </c>
      <c r="J908" s="5">
        <v>1311</v>
      </c>
      <c r="K908" s="6">
        <f t="shared" si="56"/>
        <v>35145</v>
      </c>
      <c r="L908" s="6">
        <f t="shared" si="57"/>
        <v>72105</v>
      </c>
      <c r="M908" s="6">
        <f t="shared" si="58"/>
        <v>36960</v>
      </c>
      <c r="N908" s="6" t="str">
        <f t="shared" si="59"/>
        <v>profit</v>
      </c>
    </row>
    <row r="909" spans="1:14" ht="15.6" thickTop="1" thickBot="1" x14ac:dyDescent="0.35">
      <c r="A909" s="4">
        <v>45538</v>
      </c>
      <c r="B909" s="4" t="s">
        <v>69</v>
      </c>
      <c r="C909" s="5" t="s">
        <v>319</v>
      </c>
      <c r="D909" s="5" t="s">
        <v>33</v>
      </c>
      <c r="E909" s="5" t="s">
        <v>120</v>
      </c>
      <c r="F909" s="5" t="s">
        <v>25</v>
      </c>
      <c r="G909" s="5" t="s">
        <v>28</v>
      </c>
      <c r="H909" s="5">
        <v>52</v>
      </c>
      <c r="I909" s="5">
        <v>718</v>
      </c>
      <c r="J909" s="5">
        <v>919</v>
      </c>
      <c r="K909" s="6">
        <f t="shared" si="56"/>
        <v>37336</v>
      </c>
      <c r="L909" s="6">
        <f t="shared" si="57"/>
        <v>47788</v>
      </c>
      <c r="M909" s="6">
        <f t="shared" si="58"/>
        <v>10452</v>
      </c>
      <c r="N909" s="6" t="str">
        <f t="shared" si="59"/>
        <v>profit</v>
      </c>
    </row>
    <row r="910" spans="1:14" ht="15.6" thickTop="1" thickBot="1" x14ac:dyDescent="0.35">
      <c r="A910" s="4">
        <v>45629</v>
      </c>
      <c r="B910" s="4" t="s">
        <v>190</v>
      </c>
      <c r="C910" s="5" t="s">
        <v>191</v>
      </c>
      <c r="D910" s="5" t="s">
        <v>46</v>
      </c>
      <c r="E910" s="5" t="s">
        <v>118</v>
      </c>
      <c r="F910" s="5" t="s">
        <v>60</v>
      </c>
      <c r="G910" s="5" t="s">
        <v>28</v>
      </c>
      <c r="H910" s="5">
        <v>28</v>
      </c>
      <c r="I910" s="5">
        <v>507</v>
      </c>
      <c r="J910" s="5">
        <v>1379</v>
      </c>
      <c r="K910" s="6">
        <f t="shared" si="56"/>
        <v>14196</v>
      </c>
      <c r="L910" s="6">
        <f t="shared" si="57"/>
        <v>38612</v>
      </c>
      <c r="M910" s="6">
        <f t="shared" si="58"/>
        <v>24416</v>
      </c>
      <c r="N910" s="6" t="str">
        <f t="shared" si="59"/>
        <v>profit</v>
      </c>
    </row>
    <row r="911" spans="1:14" ht="15.6" thickTop="1" thickBot="1" x14ac:dyDescent="0.35">
      <c r="A911" s="4">
        <v>45539</v>
      </c>
      <c r="B911" s="4" t="s">
        <v>69</v>
      </c>
      <c r="C911" s="5" t="s">
        <v>320</v>
      </c>
      <c r="D911" s="5" t="s">
        <v>33</v>
      </c>
      <c r="E911" s="5" t="s">
        <v>120</v>
      </c>
      <c r="F911" s="5" t="s">
        <v>27</v>
      </c>
      <c r="G911" s="5" t="s">
        <v>19</v>
      </c>
      <c r="H911" s="5">
        <v>95</v>
      </c>
      <c r="I911" s="5">
        <v>944</v>
      </c>
      <c r="J911" s="5">
        <v>1263</v>
      </c>
      <c r="K911" s="6">
        <f t="shared" si="56"/>
        <v>89680</v>
      </c>
      <c r="L911" s="6">
        <f t="shared" si="57"/>
        <v>119985</v>
      </c>
      <c r="M911" s="6">
        <f t="shared" si="58"/>
        <v>30305</v>
      </c>
      <c r="N911" s="6" t="str">
        <f t="shared" si="59"/>
        <v>profit</v>
      </c>
    </row>
    <row r="912" spans="1:14" ht="15.6" thickTop="1" thickBot="1" x14ac:dyDescent="0.35">
      <c r="A912" s="4">
        <v>45541</v>
      </c>
      <c r="B912" s="4" t="s">
        <v>69</v>
      </c>
      <c r="C912" s="5" t="s">
        <v>321</v>
      </c>
      <c r="D912" s="5" t="s">
        <v>33</v>
      </c>
      <c r="E912" s="5" t="s">
        <v>120</v>
      </c>
      <c r="F912" s="5" t="s">
        <v>25</v>
      </c>
      <c r="G912" s="5" t="s">
        <v>19</v>
      </c>
      <c r="H912" s="5">
        <v>99</v>
      </c>
      <c r="I912" s="5">
        <v>523</v>
      </c>
      <c r="J912" s="5">
        <v>1350</v>
      </c>
      <c r="K912" s="6">
        <f t="shared" si="56"/>
        <v>51777</v>
      </c>
      <c r="L912" s="6">
        <f t="shared" si="57"/>
        <v>133650</v>
      </c>
      <c r="M912" s="6">
        <f t="shared" si="58"/>
        <v>81873</v>
      </c>
      <c r="N912" s="6" t="str">
        <f t="shared" si="59"/>
        <v>profit</v>
      </c>
    </row>
    <row r="913" spans="1:14" ht="15.6" thickTop="1" thickBot="1" x14ac:dyDescent="0.35">
      <c r="A913" s="4">
        <v>45542</v>
      </c>
      <c r="B913" s="4" t="s">
        <v>69</v>
      </c>
      <c r="C913" s="5" t="s">
        <v>322</v>
      </c>
      <c r="D913" s="5" t="s">
        <v>33</v>
      </c>
      <c r="E913" s="5" t="s">
        <v>120</v>
      </c>
      <c r="F913" s="5" t="s">
        <v>76</v>
      </c>
      <c r="G913" s="5" t="s">
        <v>28</v>
      </c>
      <c r="H913" s="5">
        <v>92</v>
      </c>
      <c r="I913" s="5">
        <v>814</v>
      </c>
      <c r="J913" s="5">
        <v>865</v>
      </c>
      <c r="K913" s="6">
        <f t="shared" si="56"/>
        <v>74888</v>
      </c>
      <c r="L913" s="6">
        <f t="shared" si="57"/>
        <v>79580</v>
      </c>
      <c r="M913" s="6">
        <f t="shared" si="58"/>
        <v>4692</v>
      </c>
      <c r="N913" s="6" t="str">
        <f t="shared" si="59"/>
        <v>profit</v>
      </c>
    </row>
    <row r="914" spans="1:14" ht="15.6" thickTop="1" thickBot="1" x14ac:dyDescent="0.35">
      <c r="A914" s="4">
        <v>45555</v>
      </c>
      <c r="B914" s="4" t="s">
        <v>69</v>
      </c>
      <c r="C914" s="5" t="s">
        <v>323</v>
      </c>
      <c r="D914" s="5" t="s">
        <v>33</v>
      </c>
      <c r="E914" s="5" t="s">
        <v>120</v>
      </c>
      <c r="F914" s="5" t="s">
        <v>44</v>
      </c>
      <c r="G914" s="5" t="s">
        <v>28</v>
      </c>
      <c r="H914" s="5">
        <v>62</v>
      </c>
      <c r="I914" s="5">
        <v>891</v>
      </c>
      <c r="J914" s="5">
        <v>1170</v>
      </c>
      <c r="K914" s="6">
        <f t="shared" si="56"/>
        <v>55242</v>
      </c>
      <c r="L914" s="6">
        <f t="shared" si="57"/>
        <v>72540</v>
      </c>
      <c r="M914" s="6">
        <f t="shared" si="58"/>
        <v>17298</v>
      </c>
      <c r="N914" s="6" t="str">
        <f t="shared" si="59"/>
        <v>profit</v>
      </c>
    </row>
    <row r="915" spans="1:14" ht="15.6" thickTop="1" thickBot="1" x14ac:dyDescent="0.35">
      <c r="A915" s="4">
        <v>45634</v>
      </c>
      <c r="B915" s="4" t="s">
        <v>190</v>
      </c>
      <c r="C915" s="5" t="s">
        <v>196</v>
      </c>
      <c r="D915" s="5" t="s">
        <v>46</v>
      </c>
      <c r="E915" s="5" t="s">
        <v>118</v>
      </c>
      <c r="F915" s="5" t="s">
        <v>153</v>
      </c>
      <c r="G915" s="5" t="s">
        <v>28</v>
      </c>
      <c r="H915" s="5">
        <v>29</v>
      </c>
      <c r="I915" s="5">
        <v>989</v>
      </c>
      <c r="J915" s="5">
        <v>836</v>
      </c>
      <c r="K915" s="6">
        <f t="shared" si="56"/>
        <v>28681</v>
      </c>
      <c r="L915" s="6">
        <f t="shared" si="57"/>
        <v>24244</v>
      </c>
      <c r="M915" s="6">
        <f t="shared" si="58"/>
        <v>-4437</v>
      </c>
      <c r="N915" s="6" t="str">
        <f t="shared" si="59"/>
        <v>loss</v>
      </c>
    </row>
    <row r="916" spans="1:14" ht="15.6" thickTop="1" thickBot="1" x14ac:dyDescent="0.35">
      <c r="A916" s="4">
        <v>45556</v>
      </c>
      <c r="B916" s="4" t="s">
        <v>69</v>
      </c>
      <c r="C916" s="5" t="s">
        <v>324</v>
      </c>
      <c r="D916" s="5" t="s">
        <v>33</v>
      </c>
      <c r="E916" s="5" t="s">
        <v>120</v>
      </c>
      <c r="F916" s="5" t="s">
        <v>27</v>
      </c>
      <c r="G916" s="5" t="s">
        <v>28</v>
      </c>
      <c r="H916" s="5">
        <v>89</v>
      </c>
      <c r="I916" s="5">
        <v>990</v>
      </c>
      <c r="J916" s="5">
        <v>1047</v>
      </c>
      <c r="K916" s="6">
        <f t="shared" si="56"/>
        <v>88110</v>
      </c>
      <c r="L916" s="6">
        <f t="shared" si="57"/>
        <v>93183</v>
      </c>
      <c r="M916" s="6">
        <f t="shared" si="58"/>
        <v>5073</v>
      </c>
      <c r="N916" s="6" t="str">
        <f t="shared" si="59"/>
        <v>profit</v>
      </c>
    </row>
    <row r="917" spans="1:14" ht="15.6" thickTop="1" thickBot="1" x14ac:dyDescent="0.35">
      <c r="A917" s="4">
        <v>45557</v>
      </c>
      <c r="B917" s="4" t="s">
        <v>69</v>
      </c>
      <c r="C917" s="5" t="s">
        <v>325</v>
      </c>
      <c r="D917" s="5" t="s">
        <v>33</v>
      </c>
      <c r="E917" s="5" t="s">
        <v>120</v>
      </c>
      <c r="F917" s="5" t="s">
        <v>44</v>
      </c>
      <c r="G917" s="5" t="s">
        <v>28</v>
      </c>
      <c r="H917" s="5">
        <v>61</v>
      </c>
      <c r="I917" s="5">
        <v>907</v>
      </c>
      <c r="J917" s="5">
        <v>1327</v>
      </c>
      <c r="K917" s="6">
        <f t="shared" si="56"/>
        <v>55327</v>
      </c>
      <c r="L917" s="6">
        <f t="shared" si="57"/>
        <v>80947</v>
      </c>
      <c r="M917" s="6">
        <f t="shared" si="58"/>
        <v>25620</v>
      </c>
      <c r="N917" s="6" t="str">
        <f t="shared" si="59"/>
        <v>profit</v>
      </c>
    </row>
    <row r="918" spans="1:14" ht="15.6" thickTop="1" thickBot="1" x14ac:dyDescent="0.35">
      <c r="A918" s="4">
        <v>45637</v>
      </c>
      <c r="B918" s="4" t="s">
        <v>190</v>
      </c>
      <c r="C918" s="5" t="s">
        <v>198</v>
      </c>
      <c r="D918" s="5" t="s">
        <v>33</v>
      </c>
      <c r="E918" s="5" t="s">
        <v>99</v>
      </c>
      <c r="F918" s="5" t="s">
        <v>21</v>
      </c>
      <c r="G918" s="5" t="s">
        <v>28</v>
      </c>
      <c r="H918" s="5">
        <v>55</v>
      </c>
      <c r="I918" s="5">
        <v>666</v>
      </c>
      <c r="J918" s="5">
        <v>1358</v>
      </c>
      <c r="K918" s="6">
        <f t="shared" si="56"/>
        <v>36630</v>
      </c>
      <c r="L918" s="6">
        <f t="shared" si="57"/>
        <v>74690</v>
      </c>
      <c r="M918" s="6">
        <f t="shared" si="58"/>
        <v>38060</v>
      </c>
      <c r="N918" s="6" t="str">
        <f t="shared" si="59"/>
        <v>profit</v>
      </c>
    </row>
    <row r="919" spans="1:14" ht="15.6" thickTop="1" thickBot="1" x14ac:dyDescent="0.35">
      <c r="A919" s="4">
        <v>45558</v>
      </c>
      <c r="B919" s="4" t="s">
        <v>69</v>
      </c>
      <c r="C919" s="5" t="s">
        <v>326</v>
      </c>
      <c r="D919" s="5" t="s">
        <v>33</v>
      </c>
      <c r="E919" s="5" t="s">
        <v>120</v>
      </c>
      <c r="F919" s="5" t="s">
        <v>49</v>
      </c>
      <c r="G919" s="5" t="s">
        <v>19</v>
      </c>
      <c r="H919" s="5">
        <v>52</v>
      </c>
      <c r="I919" s="5">
        <v>766</v>
      </c>
      <c r="J919" s="5">
        <v>1318</v>
      </c>
      <c r="K919" s="6">
        <f t="shared" si="56"/>
        <v>39832</v>
      </c>
      <c r="L919" s="6">
        <f t="shared" si="57"/>
        <v>68536</v>
      </c>
      <c r="M919" s="6">
        <f t="shared" si="58"/>
        <v>28704</v>
      </c>
      <c r="N919" s="6" t="str">
        <f t="shared" si="59"/>
        <v>profit</v>
      </c>
    </row>
    <row r="920" spans="1:14" ht="15.6" thickTop="1" thickBot="1" x14ac:dyDescent="0.35">
      <c r="A920" s="4">
        <v>45559</v>
      </c>
      <c r="B920" s="4" t="s">
        <v>69</v>
      </c>
      <c r="C920" s="5" t="s">
        <v>327</v>
      </c>
      <c r="D920" s="5" t="s">
        <v>33</v>
      </c>
      <c r="E920" s="5" t="s">
        <v>120</v>
      </c>
      <c r="F920" s="5" t="s">
        <v>27</v>
      </c>
      <c r="G920" s="5" t="s">
        <v>28</v>
      </c>
      <c r="H920" s="5">
        <v>96</v>
      </c>
      <c r="I920" s="5">
        <v>520</v>
      </c>
      <c r="J920" s="5">
        <v>1208</v>
      </c>
      <c r="K920" s="6">
        <f t="shared" si="56"/>
        <v>49920</v>
      </c>
      <c r="L920" s="6">
        <f t="shared" si="57"/>
        <v>115968</v>
      </c>
      <c r="M920" s="6">
        <f t="shared" si="58"/>
        <v>66048</v>
      </c>
      <c r="N920" s="6" t="str">
        <f t="shared" si="59"/>
        <v>profit</v>
      </c>
    </row>
    <row r="921" spans="1:14" ht="15.6" thickTop="1" thickBot="1" x14ac:dyDescent="0.35">
      <c r="A921" s="4">
        <v>45560</v>
      </c>
      <c r="B921" s="4" t="s">
        <v>69</v>
      </c>
      <c r="C921" s="5" t="s">
        <v>328</v>
      </c>
      <c r="D921" s="5" t="s">
        <v>33</v>
      </c>
      <c r="E921" s="5" t="s">
        <v>120</v>
      </c>
      <c r="F921" s="5" t="s">
        <v>52</v>
      </c>
      <c r="G921" s="5" t="s">
        <v>28</v>
      </c>
      <c r="H921" s="5">
        <v>90</v>
      </c>
      <c r="I921" s="5">
        <v>792</v>
      </c>
      <c r="J921" s="5">
        <v>818</v>
      </c>
      <c r="K921" s="6">
        <f t="shared" si="56"/>
        <v>71280</v>
      </c>
      <c r="L921" s="6">
        <f t="shared" si="57"/>
        <v>73620</v>
      </c>
      <c r="M921" s="6">
        <f t="shared" si="58"/>
        <v>2340</v>
      </c>
      <c r="N921" s="6" t="str">
        <f t="shared" si="59"/>
        <v>profit</v>
      </c>
    </row>
    <row r="922" spans="1:14" ht="15.6" thickTop="1" thickBot="1" x14ac:dyDescent="0.35">
      <c r="A922" s="4">
        <v>45561</v>
      </c>
      <c r="B922" s="4" t="s">
        <v>69</v>
      </c>
      <c r="C922" s="5" t="s">
        <v>329</v>
      </c>
      <c r="D922" s="5" t="s">
        <v>33</v>
      </c>
      <c r="E922" s="5" t="s">
        <v>120</v>
      </c>
      <c r="F922" s="5" t="s">
        <v>54</v>
      </c>
      <c r="G922" s="5" t="s">
        <v>28</v>
      </c>
      <c r="H922" s="5">
        <v>98</v>
      </c>
      <c r="I922" s="5">
        <v>711</v>
      </c>
      <c r="J922" s="5">
        <v>1190</v>
      </c>
      <c r="K922" s="6">
        <f t="shared" si="56"/>
        <v>69678</v>
      </c>
      <c r="L922" s="6">
        <f t="shared" si="57"/>
        <v>116620</v>
      </c>
      <c r="M922" s="6">
        <f t="shared" si="58"/>
        <v>46942</v>
      </c>
      <c r="N922" s="6" t="str">
        <f t="shared" si="59"/>
        <v>profit</v>
      </c>
    </row>
    <row r="923" spans="1:14" ht="15.6" thickTop="1" thickBot="1" x14ac:dyDescent="0.35">
      <c r="A923" s="4">
        <v>45642</v>
      </c>
      <c r="B923" s="4" t="s">
        <v>190</v>
      </c>
      <c r="C923" s="5" t="s">
        <v>202</v>
      </c>
      <c r="D923" s="5" t="s">
        <v>33</v>
      </c>
      <c r="E923" s="5" t="s">
        <v>99</v>
      </c>
      <c r="F923" s="5" t="s">
        <v>39</v>
      </c>
      <c r="G923" s="5" t="s">
        <v>19</v>
      </c>
      <c r="H923" s="5">
        <v>94</v>
      </c>
      <c r="I923" s="5">
        <v>616</v>
      </c>
      <c r="J923" s="5">
        <v>1200</v>
      </c>
      <c r="K923" s="6">
        <f t="shared" si="56"/>
        <v>57904</v>
      </c>
      <c r="L923" s="6">
        <f t="shared" si="57"/>
        <v>112800</v>
      </c>
      <c r="M923" s="6">
        <f t="shared" si="58"/>
        <v>54896</v>
      </c>
      <c r="N923" s="6" t="str">
        <f t="shared" si="59"/>
        <v>profit</v>
      </c>
    </row>
    <row r="924" spans="1:14" ht="15.6" thickTop="1" thickBot="1" x14ac:dyDescent="0.35">
      <c r="A924" s="4">
        <v>45569</v>
      </c>
      <c r="B924" s="4" t="s">
        <v>85</v>
      </c>
      <c r="C924" s="5" t="s">
        <v>330</v>
      </c>
      <c r="D924" s="5" t="s">
        <v>33</v>
      </c>
      <c r="E924" s="5" t="s">
        <v>99</v>
      </c>
      <c r="F924" s="5" t="s">
        <v>30</v>
      </c>
      <c r="G924" s="5" t="s">
        <v>19</v>
      </c>
      <c r="H924" s="5">
        <v>93</v>
      </c>
      <c r="I924" s="5">
        <v>660</v>
      </c>
      <c r="J924" s="5">
        <v>880</v>
      </c>
      <c r="K924" s="6">
        <f t="shared" si="56"/>
        <v>61380</v>
      </c>
      <c r="L924" s="6">
        <f t="shared" si="57"/>
        <v>81840</v>
      </c>
      <c r="M924" s="6">
        <f t="shared" si="58"/>
        <v>20460</v>
      </c>
      <c r="N924" s="6" t="str">
        <f t="shared" si="59"/>
        <v>profit</v>
      </c>
    </row>
    <row r="925" spans="1:14" ht="15.6" thickTop="1" thickBot="1" x14ac:dyDescent="0.35">
      <c r="A925" s="4">
        <v>45570</v>
      </c>
      <c r="B925" s="4" t="s">
        <v>85</v>
      </c>
      <c r="C925" s="5" t="s">
        <v>331</v>
      </c>
      <c r="D925" s="5" t="s">
        <v>33</v>
      </c>
      <c r="E925" s="5" t="s">
        <v>99</v>
      </c>
      <c r="F925" s="5" t="s">
        <v>113</v>
      </c>
      <c r="G925" s="5" t="s">
        <v>19</v>
      </c>
      <c r="H925" s="5">
        <v>59</v>
      </c>
      <c r="I925" s="5">
        <v>623</v>
      </c>
      <c r="J925" s="5">
        <v>1386</v>
      </c>
      <c r="K925" s="6">
        <f t="shared" si="56"/>
        <v>36757</v>
      </c>
      <c r="L925" s="6">
        <f t="shared" si="57"/>
        <v>81774</v>
      </c>
      <c r="M925" s="6">
        <f t="shared" si="58"/>
        <v>45017</v>
      </c>
      <c r="N925" s="6" t="str">
        <f t="shared" si="59"/>
        <v>profit</v>
      </c>
    </row>
    <row r="926" spans="1:14" ht="15.6" thickTop="1" thickBot="1" x14ac:dyDescent="0.35">
      <c r="A926" s="4">
        <v>45572</v>
      </c>
      <c r="B926" s="4" t="s">
        <v>85</v>
      </c>
      <c r="C926" s="5" t="s">
        <v>332</v>
      </c>
      <c r="D926" s="5" t="s">
        <v>33</v>
      </c>
      <c r="E926" s="5" t="s">
        <v>99</v>
      </c>
      <c r="F926" s="5" t="s">
        <v>153</v>
      </c>
      <c r="G926" s="5" t="s">
        <v>19</v>
      </c>
      <c r="H926" s="5">
        <v>98</v>
      </c>
      <c r="I926" s="5">
        <v>865</v>
      </c>
      <c r="J926" s="5">
        <v>1260</v>
      </c>
      <c r="K926" s="6">
        <f t="shared" si="56"/>
        <v>84770</v>
      </c>
      <c r="L926" s="6">
        <f t="shared" si="57"/>
        <v>123480</v>
      </c>
      <c r="M926" s="6">
        <f t="shared" si="58"/>
        <v>38710</v>
      </c>
      <c r="N926" s="6" t="str">
        <f t="shared" si="59"/>
        <v>profit</v>
      </c>
    </row>
    <row r="927" spans="1:14" ht="15.6" thickTop="1" thickBot="1" x14ac:dyDescent="0.35">
      <c r="A927" s="4">
        <v>45646</v>
      </c>
      <c r="B927" s="4" t="s">
        <v>190</v>
      </c>
      <c r="C927" s="5" t="s">
        <v>206</v>
      </c>
      <c r="D927" s="5" t="s">
        <v>33</v>
      </c>
      <c r="E927" s="5" t="s">
        <v>99</v>
      </c>
      <c r="F927" s="5" t="s">
        <v>39</v>
      </c>
      <c r="G927" s="5" t="s">
        <v>19</v>
      </c>
      <c r="H927" s="5">
        <v>67</v>
      </c>
      <c r="I927" s="5">
        <v>898</v>
      </c>
      <c r="J927" s="5">
        <v>1133</v>
      </c>
      <c r="K927" s="6">
        <f t="shared" si="56"/>
        <v>60166</v>
      </c>
      <c r="L927" s="6">
        <f t="shared" si="57"/>
        <v>75911</v>
      </c>
      <c r="M927" s="6">
        <f t="shared" si="58"/>
        <v>15745</v>
      </c>
      <c r="N927" s="6" t="str">
        <f t="shared" si="59"/>
        <v>profit</v>
      </c>
    </row>
    <row r="928" spans="1:14" ht="15.6" thickTop="1" thickBot="1" x14ac:dyDescent="0.35">
      <c r="A928" s="4">
        <v>45573</v>
      </c>
      <c r="B928" s="4" t="s">
        <v>85</v>
      </c>
      <c r="C928" s="5" t="s">
        <v>333</v>
      </c>
      <c r="D928" s="5" t="s">
        <v>33</v>
      </c>
      <c r="E928" s="5" t="s">
        <v>99</v>
      </c>
      <c r="F928" s="5" t="s">
        <v>155</v>
      </c>
      <c r="G928" s="5" t="s">
        <v>19</v>
      </c>
      <c r="H928" s="5">
        <v>83</v>
      </c>
      <c r="I928" s="5">
        <v>709</v>
      </c>
      <c r="J928" s="5">
        <v>1206</v>
      </c>
      <c r="K928" s="6">
        <f t="shared" si="56"/>
        <v>58847</v>
      </c>
      <c r="L928" s="6">
        <f t="shared" si="57"/>
        <v>100098</v>
      </c>
      <c r="M928" s="6">
        <f t="shared" si="58"/>
        <v>41251</v>
      </c>
      <c r="N928" s="6" t="str">
        <f t="shared" si="59"/>
        <v>profit</v>
      </c>
    </row>
    <row r="929" spans="1:14" ht="15.6" thickTop="1" thickBot="1" x14ac:dyDescent="0.35">
      <c r="A929" s="4">
        <v>45648</v>
      </c>
      <c r="B929" s="4" t="s">
        <v>190</v>
      </c>
      <c r="C929" s="5" t="s">
        <v>208</v>
      </c>
      <c r="D929" s="5" t="s">
        <v>33</v>
      </c>
      <c r="E929" s="5" t="s">
        <v>120</v>
      </c>
      <c r="F929" s="5" t="s">
        <v>113</v>
      </c>
      <c r="G929" s="5" t="s">
        <v>19</v>
      </c>
      <c r="H929" s="5">
        <v>72</v>
      </c>
      <c r="I929" s="5">
        <v>603</v>
      </c>
      <c r="J929" s="5">
        <v>941</v>
      </c>
      <c r="K929" s="6">
        <f t="shared" si="56"/>
        <v>43416</v>
      </c>
      <c r="L929" s="6">
        <f t="shared" si="57"/>
        <v>67752</v>
      </c>
      <c r="M929" s="6">
        <f t="shared" si="58"/>
        <v>24336</v>
      </c>
      <c r="N929" s="6" t="str">
        <f t="shared" si="59"/>
        <v>profit</v>
      </c>
    </row>
    <row r="930" spans="1:14" ht="15.6" thickTop="1" thickBot="1" x14ac:dyDescent="0.35">
      <c r="A930" s="4">
        <v>45574</v>
      </c>
      <c r="B930" s="4" t="s">
        <v>85</v>
      </c>
      <c r="C930" s="5" t="s">
        <v>334</v>
      </c>
      <c r="D930" s="5" t="s">
        <v>33</v>
      </c>
      <c r="E930" s="5" t="s">
        <v>120</v>
      </c>
      <c r="F930" s="5" t="s">
        <v>18</v>
      </c>
      <c r="G930" s="5" t="s">
        <v>19</v>
      </c>
      <c r="H930" s="5">
        <v>69</v>
      </c>
      <c r="I930" s="5">
        <v>657</v>
      </c>
      <c r="J930" s="5">
        <v>1493</v>
      </c>
      <c r="K930" s="6">
        <f t="shared" si="56"/>
        <v>45333</v>
      </c>
      <c r="L930" s="6">
        <f t="shared" si="57"/>
        <v>103017</v>
      </c>
      <c r="M930" s="6">
        <f t="shared" si="58"/>
        <v>57684</v>
      </c>
      <c r="N930" s="6" t="str">
        <f t="shared" si="59"/>
        <v>profit</v>
      </c>
    </row>
    <row r="931" spans="1:14" ht="15.6" thickTop="1" thickBot="1" x14ac:dyDescent="0.35">
      <c r="A931" s="4">
        <v>45575</v>
      </c>
      <c r="B931" s="4" t="s">
        <v>85</v>
      </c>
      <c r="C931" s="5" t="s">
        <v>335</v>
      </c>
      <c r="D931" s="5" t="s">
        <v>33</v>
      </c>
      <c r="E931" s="5" t="s">
        <v>120</v>
      </c>
      <c r="F931" s="5" t="s">
        <v>21</v>
      </c>
      <c r="G931" s="5" t="s">
        <v>19</v>
      </c>
      <c r="H931" s="5">
        <v>81</v>
      </c>
      <c r="I931" s="5">
        <v>709</v>
      </c>
      <c r="J931" s="5">
        <v>1180</v>
      </c>
      <c r="K931" s="6">
        <f t="shared" si="56"/>
        <v>57429</v>
      </c>
      <c r="L931" s="6">
        <f t="shared" si="57"/>
        <v>95580</v>
      </c>
      <c r="M931" s="6">
        <f t="shared" si="58"/>
        <v>38151</v>
      </c>
      <c r="N931" s="6" t="str">
        <f t="shared" si="59"/>
        <v>profit</v>
      </c>
    </row>
    <row r="932" spans="1:14" ht="15.6" thickTop="1" thickBot="1" x14ac:dyDescent="0.35">
      <c r="A932" s="4">
        <v>45576</v>
      </c>
      <c r="B932" s="4" t="s">
        <v>85</v>
      </c>
      <c r="C932" s="5" t="s">
        <v>336</v>
      </c>
      <c r="D932" s="5" t="s">
        <v>33</v>
      </c>
      <c r="E932" s="5" t="s">
        <v>120</v>
      </c>
      <c r="F932" s="5" t="s">
        <v>23</v>
      </c>
      <c r="G932" s="5" t="s">
        <v>19</v>
      </c>
      <c r="H932" s="5">
        <v>61</v>
      </c>
      <c r="I932" s="5">
        <v>547</v>
      </c>
      <c r="J932" s="5">
        <v>1060</v>
      </c>
      <c r="K932" s="6">
        <f t="shared" si="56"/>
        <v>33367</v>
      </c>
      <c r="L932" s="6">
        <f t="shared" si="57"/>
        <v>64660</v>
      </c>
      <c r="M932" s="6">
        <f t="shared" si="58"/>
        <v>31293</v>
      </c>
      <c r="N932" s="6" t="str">
        <f t="shared" si="59"/>
        <v>profit</v>
      </c>
    </row>
    <row r="933" spans="1:14" ht="15.6" thickTop="1" thickBot="1" x14ac:dyDescent="0.35">
      <c r="A933" s="4">
        <v>45577</v>
      </c>
      <c r="B933" s="4" t="s">
        <v>85</v>
      </c>
      <c r="C933" s="5" t="s">
        <v>337</v>
      </c>
      <c r="D933" s="5" t="s">
        <v>33</v>
      </c>
      <c r="E933" s="5" t="s">
        <v>120</v>
      </c>
      <c r="F933" s="5" t="s">
        <v>25</v>
      </c>
      <c r="G933" s="5" t="s">
        <v>19</v>
      </c>
      <c r="H933" s="5">
        <v>57</v>
      </c>
      <c r="I933" s="5">
        <v>734</v>
      </c>
      <c r="J933" s="5">
        <v>979</v>
      </c>
      <c r="K933" s="6">
        <f t="shared" si="56"/>
        <v>41838</v>
      </c>
      <c r="L933" s="6">
        <f t="shared" si="57"/>
        <v>55803</v>
      </c>
      <c r="M933" s="6">
        <f t="shared" si="58"/>
        <v>13965</v>
      </c>
      <c r="N933" s="6" t="str">
        <f t="shared" si="59"/>
        <v>profit</v>
      </c>
    </row>
    <row r="934" spans="1:14" ht="15.6" thickTop="1" thickBot="1" x14ac:dyDescent="0.35">
      <c r="A934" s="4">
        <v>45653</v>
      </c>
      <c r="B934" s="4" t="s">
        <v>190</v>
      </c>
      <c r="C934" s="5" t="s">
        <v>213</v>
      </c>
      <c r="D934" s="5" t="s">
        <v>33</v>
      </c>
      <c r="E934" s="5" t="s">
        <v>120</v>
      </c>
      <c r="F934" s="5" t="s">
        <v>21</v>
      </c>
      <c r="G934" s="5" t="s">
        <v>28</v>
      </c>
      <c r="H934" s="5">
        <v>97</v>
      </c>
      <c r="I934" s="5">
        <v>500</v>
      </c>
      <c r="J934" s="5">
        <v>1417</v>
      </c>
      <c r="K934" s="6">
        <f t="shared" si="56"/>
        <v>48500</v>
      </c>
      <c r="L934" s="6">
        <f t="shared" si="57"/>
        <v>137449</v>
      </c>
      <c r="M934" s="6">
        <f t="shared" si="58"/>
        <v>88949</v>
      </c>
      <c r="N934" s="6" t="str">
        <f t="shared" si="59"/>
        <v>profit</v>
      </c>
    </row>
    <row r="935" spans="1:14" ht="15.6" thickTop="1" thickBot="1" x14ac:dyDescent="0.35">
      <c r="A935" s="4">
        <v>45579</v>
      </c>
      <c r="B935" s="4" t="s">
        <v>85</v>
      </c>
      <c r="C935" s="5" t="s">
        <v>338</v>
      </c>
      <c r="D935" s="5" t="s">
        <v>33</v>
      </c>
      <c r="E935" s="5" t="s">
        <v>120</v>
      </c>
      <c r="F935" s="5" t="s">
        <v>27</v>
      </c>
      <c r="G935" s="5" t="s">
        <v>28</v>
      </c>
      <c r="H935" s="5">
        <v>60</v>
      </c>
      <c r="I935" s="5">
        <v>937</v>
      </c>
      <c r="J935" s="5">
        <v>948</v>
      </c>
      <c r="K935" s="6">
        <f t="shared" si="56"/>
        <v>56220</v>
      </c>
      <c r="L935" s="6">
        <f t="shared" si="57"/>
        <v>56880</v>
      </c>
      <c r="M935" s="6">
        <f t="shared" si="58"/>
        <v>660</v>
      </c>
      <c r="N935" s="6" t="str">
        <f t="shared" si="59"/>
        <v>profit</v>
      </c>
    </row>
    <row r="936" spans="1:14" ht="15.6" thickTop="1" thickBot="1" x14ac:dyDescent="0.35">
      <c r="A936" s="4">
        <v>45592</v>
      </c>
      <c r="B936" s="4" t="s">
        <v>85</v>
      </c>
      <c r="C936" s="5" t="s">
        <v>339</v>
      </c>
      <c r="D936" s="5" t="s">
        <v>33</v>
      </c>
      <c r="E936" s="5" t="s">
        <v>34</v>
      </c>
      <c r="F936" s="5" t="s">
        <v>113</v>
      </c>
      <c r="G936" s="5" t="s">
        <v>28</v>
      </c>
      <c r="H936" s="5">
        <v>71</v>
      </c>
      <c r="I936" s="5">
        <v>777</v>
      </c>
      <c r="J936" s="5">
        <v>1034</v>
      </c>
      <c r="K936" s="6">
        <f t="shared" si="56"/>
        <v>55167</v>
      </c>
      <c r="L936" s="6">
        <f t="shared" si="57"/>
        <v>73414</v>
      </c>
      <c r="M936" s="6">
        <f t="shared" si="58"/>
        <v>18247</v>
      </c>
      <c r="N936" s="6" t="str">
        <f t="shared" si="59"/>
        <v>profit</v>
      </c>
    </row>
    <row r="937" spans="1:14" ht="15.6" thickTop="1" thickBot="1" x14ac:dyDescent="0.35">
      <c r="A937" s="4">
        <v>45593</v>
      </c>
      <c r="B937" s="4" t="s">
        <v>85</v>
      </c>
      <c r="C937" s="5" t="s">
        <v>340</v>
      </c>
      <c r="D937" s="5" t="s">
        <v>33</v>
      </c>
      <c r="E937" s="5" t="s">
        <v>34</v>
      </c>
      <c r="F937" s="5" t="s">
        <v>44</v>
      </c>
      <c r="G937" s="5" t="s">
        <v>28</v>
      </c>
      <c r="H937" s="5">
        <v>52</v>
      </c>
      <c r="I937" s="5">
        <v>509</v>
      </c>
      <c r="J937" s="5">
        <v>764</v>
      </c>
      <c r="K937" s="6">
        <f t="shared" si="56"/>
        <v>26468</v>
      </c>
      <c r="L937" s="6">
        <f t="shared" si="57"/>
        <v>39728</v>
      </c>
      <c r="M937" s="6">
        <f t="shared" si="58"/>
        <v>13260</v>
      </c>
      <c r="N937" s="6" t="str">
        <f t="shared" si="59"/>
        <v>profit</v>
      </c>
    </row>
    <row r="938" spans="1:14" ht="15.6" thickTop="1" thickBot="1" x14ac:dyDescent="0.35">
      <c r="A938" s="4">
        <v>45594</v>
      </c>
      <c r="B938" s="4" t="s">
        <v>85</v>
      </c>
      <c r="C938" s="5" t="s">
        <v>341</v>
      </c>
      <c r="D938" s="5" t="s">
        <v>33</v>
      </c>
      <c r="E938" s="5" t="s">
        <v>34</v>
      </c>
      <c r="F938" s="5" t="s">
        <v>153</v>
      </c>
      <c r="G938" s="5" t="s">
        <v>19</v>
      </c>
      <c r="H938" s="5">
        <v>66</v>
      </c>
      <c r="I938" s="5">
        <v>701</v>
      </c>
      <c r="J938" s="5">
        <v>1204</v>
      </c>
      <c r="K938" s="6">
        <f t="shared" si="56"/>
        <v>46266</v>
      </c>
      <c r="L938" s="6">
        <f t="shared" si="57"/>
        <v>79464</v>
      </c>
      <c r="M938" s="6">
        <f t="shared" si="58"/>
        <v>33198</v>
      </c>
      <c r="N938" s="6" t="str">
        <f t="shared" si="59"/>
        <v>profit</v>
      </c>
    </row>
    <row r="939" spans="1:14" ht="15.6" thickTop="1" thickBot="1" x14ac:dyDescent="0.35">
      <c r="A939" s="4">
        <v>45595</v>
      </c>
      <c r="B939" s="4" t="s">
        <v>85</v>
      </c>
      <c r="C939" s="5" t="s">
        <v>342</v>
      </c>
      <c r="D939" s="5" t="s">
        <v>33</v>
      </c>
      <c r="E939" s="5" t="s">
        <v>34</v>
      </c>
      <c r="F939" s="5" t="s">
        <v>155</v>
      </c>
      <c r="G939" s="5" t="s">
        <v>28</v>
      </c>
      <c r="H939" s="5">
        <v>97</v>
      </c>
      <c r="I939" s="5">
        <v>654</v>
      </c>
      <c r="J939" s="5">
        <v>839</v>
      </c>
      <c r="K939" s="6">
        <f t="shared" si="56"/>
        <v>63438</v>
      </c>
      <c r="L939" s="6">
        <f t="shared" si="57"/>
        <v>81383</v>
      </c>
      <c r="M939" s="6">
        <f t="shared" si="58"/>
        <v>17945</v>
      </c>
      <c r="N939" s="6" t="str">
        <f t="shared" si="59"/>
        <v>profit</v>
      </c>
    </row>
    <row r="940" spans="1:14" ht="15.6" thickTop="1" thickBot="1" x14ac:dyDescent="0.35">
      <c r="A940" s="4">
        <v>45603</v>
      </c>
      <c r="B940" s="4" t="s">
        <v>161</v>
      </c>
      <c r="C940" s="5" t="s">
        <v>343</v>
      </c>
      <c r="D940" s="5" t="s">
        <v>33</v>
      </c>
      <c r="E940" s="5" t="s">
        <v>163</v>
      </c>
      <c r="F940" s="5" t="s">
        <v>25</v>
      </c>
      <c r="G940" s="5" t="s">
        <v>19</v>
      </c>
      <c r="H940" s="5">
        <v>63</v>
      </c>
      <c r="I940" s="5">
        <v>833</v>
      </c>
      <c r="J940" s="5">
        <v>1040</v>
      </c>
      <c r="K940" s="6">
        <f t="shared" si="56"/>
        <v>52479</v>
      </c>
      <c r="L940" s="6">
        <f t="shared" si="57"/>
        <v>65520</v>
      </c>
      <c r="M940" s="6">
        <f t="shared" si="58"/>
        <v>13041</v>
      </c>
      <c r="N940" s="6" t="str">
        <f t="shared" si="59"/>
        <v>profit</v>
      </c>
    </row>
    <row r="941" spans="1:14" ht="15.6" thickTop="1" thickBot="1" x14ac:dyDescent="0.35">
      <c r="A941" s="4">
        <v>45660</v>
      </c>
      <c r="B941" s="4" t="s">
        <v>95</v>
      </c>
      <c r="C941" s="5" t="s">
        <v>220</v>
      </c>
      <c r="D941" s="5" t="s">
        <v>16</v>
      </c>
      <c r="E941" s="5" t="s">
        <v>17</v>
      </c>
      <c r="F941" s="5" t="s">
        <v>76</v>
      </c>
      <c r="G941" s="5" t="s">
        <v>19</v>
      </c>
      <c r="H941" s="5">
        <v>12</v>
      </c>
      <c r="I941" s="5">
        <v>864</v>
      </c>
      <c r="J941" s="5">
        <v>953</v>
      </c>
      <c r="K941" s="6">
        <f t="shared" si="56"/>
        <v>10368</v>
      </c>
      <c r="L941" s="6">
        <f t="shared" si="57"/>
        <v>11436</v>
      </c>
      <c r="M941" s="6">
        <f t="shared" si="58"/>
        <v>1068</v>
      </c>
      <c r="N941" s="6" t="str">
        <f t="shared" si="59"/>
        <v>profit</v>
      </c>
    </row>
    <row r="942" spans="1:14" ht="15.6" thickTop="1" thickBot="1" x14ac:dyDescent="0.35">
      <c r="A942" s="4">
        <v>45604</v>
      </c>
      <c r="B942" s="4" t="s">
        <v>161</v>
      </c>
      <c r="C942" s="5" t="s">
        <v>344</v>
      </c>
      <c r="D942" s="5" t="s">
        <v>33</v>
      </c>
      <c r="E942" s="5" t="s">
        <v>163</v>
      </c>
      <c r="F942" s="5" t="s">
        <v>76</v>
      </c>
      <c r="G942" s="5" t="s">
        <v>19</v>
      </c>
      <c r="H942" s="5">
        <v>74</v>
      </c>
      <c r="I942" s="5">
        <v>743</v>
      </c>
      <c r="J942" s="5">
        <v>974</v>
      </c>
      <c r="K942" s="6">
        <f t="shared" si="56"/>
        <v>54982</v>
      </c>
      <c r="L942" s="6">
        <f t="shared" si="57"/>
        <v>72076</v>
      </c>
      <c r="M942" s="6">
        <f t="shared" si="58"/>
        <v>17094</v>
      </c>
      <c r="N942" s="6" t="str">
        <f t="shared" si="59"/>
        <v>profit</v>
      </c>
    </row>
    <row r="943" spans="1:14" ht="15.6" thickTop="1" thickBot="1" x14ac:dyDescent="0.35">
      <c r="A943" s="4">
        <v>45662</v>
      </c>
      <c r="B943" s="4" t="s">
        <v>95</v>
      </c>
      <c r="C943" s="5" t="s">
        <v>222</v>
      </c>
      <c r="D943" s="5" t="s">
        <v>16</v>
      </c>
      <c r="E943" s="5" t="s">
        <v>17</v>
      </c>
      <c r="F943" s="5" t="s">
        <v>44</v>
      </c>
      <c r="G943" s="5" t="s">
        <v>19</v>
      </c>
      <c r="H943" s="5">
        <v>13</v>
      </c>
      <c r="I943" s="5">
        <v>839</v>
      </c>
      <c r="J943" s="5">
        <v>1025</v>
      </c>
      <c r="K943" s="6">
        <f t="shared" si="56"/>
        <v>10907</v>
      </c>
      <c r="L943" s="6">
        <f t="shared" si="57"/>
        <v>13325</v>
      </c>
      <c r="M943" s="6">
        <f t="shared" si="58"/>
        <v>2418</v>
      </c>
      <c r="N943" s="6" t="str">
        <f t="shared" si="59"/>
        <v>profit</v>
      </c>
    </row>
    <row r="944" spans="1:14" ht="15.6" thickTop="1" thickBot="1" x14ac:dyDescent="0.35">
      <c r="A944" s="4">
        <v>45606</v>
      </c>
      <c r="B944" s="4" t="s">
        <v>161</v>
      </c>
      <c r="C944" s="5" t="s">
        <v>345</v>
      </c>
      <c r="D944" s="5" t="s">
        <v>33</v>
      </c>
      <c r="E944" s="5" t="s">
        <v>163</v>
      </c>
      <c r="F944" s="5" t="s">
        <v>44</v>
      </c>
      <c r="G944" s="5" t="s">
        <v>19</v>
      </c>
      <c r="H944" s="5">
        <v>86</v>
      </c>
      <c r="I944" s="5">
        <v>593</v>
      </c>
      <c r="J944" s="5">
        <v>1425</v>
      </c>
      <c r="K944" s="6">
        <f t="shared" si="56"/>
        <v>50998</v>
      </c>
      <c r="L944" s="6">
        <f t="shared" si="57"/>
        <v>122550</v>
      </c>
      <c r="M944" s="6">
        <f t="shared" si="58"/>
        <v>71552</v>
      </c>
      <c r="N944" s="6" t="str">
        <f t="shared" si="59"/>
        <v>profit</v>
      </c>
    </row>
    <row r="945" spans="1:14" ht="15.6" thickTop="1" thickBot="1" x14ac:dyDescent="0.35">
      <c r="A945" s="4">
        <v>45664</v>
      </c>
      <c r="B945" s="4" t="s">
        <v>95</v>
      </c>
      <c r="C945" s="5" t="s">
        <v>224</v>
      </c>
      <c r="D945" s="5" t="s">
        <v>16</v>
      </c>
      <c r="E945" s="5" t="s">
        <v>17</v>
      </c>
      <c r="F945" s="5" t="s">
        <v>23</v>
      </c>
      <c r="G945" s="5" t="s">
        <v>19</v>
      </c>
      <c r="H945" s="5">
        <v>11</v>
      </c>
      <c r="I945" s="5">
        <v>944</v>
      </c>
      <c r="J945" s="5">
        <v>949</v>
      </c>
      <c r="K945" s="6">
        <f t="shared" si="56"/>
        <v>10384</v>
      </c>
      <c r="L945" s="6">
        <f t="shared" si="57"/>
        <v>10439</v>
      </c>
      <c r="M945" s="6">
        <f t="shared" si="58"/>
        <v>55</v>
      </c>
      <c r="N945" s="6" t="str">
        <f t="shared" si="59"/>
        <v>profit</v>
      </c>
    </row>
    <row r="946" spans="1:14" ht="15.6" thickTop="1" thickBot="1" x14ac:dyDescent="0.35">
      <c r="A946" s="4">
        <v>45607</v>
      </c>
      <c r="B946" s="4" t="s">
        <v>161</v>
      </c>
      <c r="C946" s="5" t="s">
        <v>346</v>
      </c>
      <c r="D946" s="5" t="s">
        <v>33</v>
      </c>
      <c r="E946" s="5" t="s">
        <v>163</v>
      </c>
      <c r="F946" s="5" t="s">
        <v>25</v>
      </c>
      <c r="G946" s="5" t="s">
        <v>19</v>
      </c>
      <c r="H946" s="5">
        <v>92</v>
      </c>
      <c r="I946" s="5">
        <v>609</v>
      </c>
      <c r="J946" s="5">
        <v>792</v>
      </c>
      <c r="K946" s="6">
        <f t="shared" si="56"/>
        <v>56028</v>
      </c>
      <c r="L946" s="6">
        <f t="shared" si="57"/>
        <v>72864</v>
      </c>
      <c r="M946" s="6">
        <f t="shared" si="58"/>
        <v>16836</v>
      </c>
      <c r="N946" s="6" t="str">
        <f t="shared" si="59"/>
        <v>profit</v>
      </c>
    </row>
    <row r="947" spans="1:14" ht="15.6" thickTop="1" thickBot="1" x14ac:dyDescent="0.35">
      <c r="A947" s="4">
        <v>45608</v>
      </c>
      <c r="B947" s="4" t="s">
        <v>161</v>
      </c>
      <c r="C947" s="5" t="s">
        <v>347</v>
      </c>
      <c r="D947" s="5" t="s">
        <v>33</v>
      </c>
      <c r="E947" s="5" t="s">
        <v>163</v>
      </c>
      <c r="F947" s="5" t="s">
        <v>64</v>
      </c>
      <c r="G947" s="5" t="s">
        <v>19</v>
      </c>
      <c r="H947" s="5">
        <v>96</v>
      </c>
      <c r="I947" s="5">
        <v>674</v>
      </c>
      <c r="J947" s="5">
        <v>1178</v>
      </c>
      <c r="K947" s="6">
        <f t="shared" si="56"/>
        <v>64704</v>
      </c>
      <c r="L947" s="6">
        <f t="shared" si="57"/>
        <v>113088</v>
      </c>
      <c r="M947" s="6">
        <f t="shared" si="58"/>
        <v>48384</v>
      </c>
      <c r="N947" s="6" t="str">
        <f t="shared" si="59"/>
        <v>profit</v>
      </c>
    </row>
    <row r="948" spans="1:14" ht="15.6" thickTop="1" thickBot="1" x14ac:dyDescent="0.35">
      <c r="A948" s="4">
        <v>45636</v>
      </c>
      <c r="B948" s="4" t="s">
        <v>190</v>
      </c>
      <c r="C948" s="5" t="s">
        <v>192</v>
      </c>
      <c r="D948" s="5" t="s">
        <v>33</v>
      </c>
      <c r="E948" s="5" t="s">
        <v>99</v>
      </c>
      <c r="F948" s="5" t="s">
        <v>18</v>
      </c>
      <c r="G948" s="5" t="s">
        <v>28</v>
      </c>
      <c r="H948" s="5">
        <v>65</v>
      </c>
      <c r="I948" s="5">
        <v>804</v>
      </c>
      <c r="J948" s="5">
        <v>876</v>
      </c>
      <c r="K948" s="6">
        <f t="shared" si="56"/>
        <v>52260</v>
      </c>
      <c r="L948" s="6">
        <f t="shared" si="57"/>
        <v>56940</v>
      </c>
      <c r="M948" s="6">
        <f t="shared" si="58"/>
        <v>4680</v>
      </c>
      <c r="N948" s="6" t="str">
        <f t="shared" si="59"/>
        <v>profit</v>
      </c>
    </row>
    <row r="949" spans="1:14" ht="15.6" thickTop="1" thickBot="1" x14ac:dyDescent="0.35">
      <c r="A949" s="4">
        <v>45638</v>
      </c>
      <c r="B949" s="4" t="s">
        <v>190</v>
      </c>
      <c r="C949" s="5" t="s">
        <v>348</v>
      </c>
      <c r="D949" s="5" t="s">
        <v>33</v>
      </c>
      <c r="E949" s="5" t="s">
        <v>99</v>
      </c>
      <c r="F949" s="5" t="s">
        <v>23</v>
      </c>
      <c r="G949" s="5" t="s">
        <v>19</v>
      </c>
      <c r="H949" s="5">
        <v>83</v>
      </c>
      <c r="I949" s="5">
        <v>541</v>
      </c>
      <c r="J949" s="5">
        <v>1072</v>
      </c>
      <c r="K949" s="6">
        <f t="shared" si="56"/>
        <v>44903</v>
      </c>
      <c r="L949" s="6">
        <f t="shared" si="57"/>
        <v>88976</v>
      </c>
      <c r="M949" s="6">
        <f t="shared" si="58"/>
        <v>44073</v>
      </c>
      <c r="N949" s="6" t="str">
        <f t="shared" si="59"/>
        <v>profit</v>
      </c>
    </row>
    <row r="950" spans="1:14" ht="15.6" thickTop="1" thickBot="1" x14ac:dyDescent="0.35">
      <c r="A950" s="4">
        <v>45639</v>
      </c>
      <c r="B950" s="4" t="s">
        <v>190</v>
      </c>
      <c r="C950" s="5" t="s">
        <v>349</v>
      </c>
      <c r="D950" s="5" t="s">
        <v>33</v>
      </c>
      <c r="E950" s="5" t="s">
        <v>99</v>
      </c>
      <c r="F950" s="5" t="s">
        <v>25</v>
      </c>
      <c r="G950" s="5" t="s">
        <v>19</v>
      </c>
      <c r="H950" s="5">
        <v>89</v>
      </c>
      <c r="I950" s="5">
        <v>545</v>
      </c>
      <c r="J950" s="5">
        <v>978</v>
      </c>
      <c r="K950" s="6">
        <f t="shared" si="56"/>
        <v>48505</v>
      </c>
      <c r="L950" s="6">
        <f t="shared" si="57"/>
        <v>87042</v>
      </c>
      <c r="M950" s="6">
        <f t="shared" si="58"/>
        <v>38537</v>
      </c>
      <c r="N950" s="6" t="str">
        <f t="shared" si="59"/>
        <v>profit</v>
      </c>
    </row>
    <row r="951" spans="1:14" ht="15.6" thickTop="1" thickBot="1" x14ac:dyDescent="0.35">
      <c r="A951" s="4">
        <v>45640</v>
      </c>
      <c r="B951" s="4" t="s">
        <v>190</v>
      </c>
      <c r="C951" s="5" t="s">
        <v>350</v>
      </c>
      <c r="D951" s="5" t="s">
        <v>33</v>
      </c>
      <c r="E951" s="5" t="s">
        <v>99</v>
      </c>
      <c r="F951" s="5" t="s">
        <v>35</v>
      </c>
      <c r="G951" s="5" t="s">
        <v>19</v>
      </c>
      <c r="H951" s="5">
        <v>80</v>
      </c>
      <c r="I951" s="5">
        <v>671</v>
      </c>
      <c r="J951" s="5">
        <v>1251</v>
      </c>
      <c r="K951" s="6">
        <f t="shared" si="56"/>
        <v>53680</v>
      </c>
      <c r="L951" s="6">
        <f t="shared" si="57"/>
        <v>100080</v>
      </c>
      <c r="M951" s="6">
        <f t="shared" si="58"/>
        <v>46400</v>
      </c>
      <c r="N951" s="6" t="str">
        <f t="shared" si="59"/>
        <v>profit</v>
      </c>
    </row>
    <row r="952" spans="1:14" ht="15.6" thickTop="1" thickBot="1" x14ac:dyDescent="0.35">
      <c r="A952" s="4">
        <v>45671</v>
      </c>
      <c r="B952" s="4" t="s">
        <v>95</v>
      </c>
      <c r="C952" s="5" t="s">
        <v>231</v>
      </c>
      <c r="D952" s="5" t="s">
        <v>33</v>
      </c>
      <c r="E952" s="5" t="s">
        <v>120</v>
      </c>
      <c r="F952" s="5" t="s">
        <v>60</v>
      </c>
      <c r="G952" s="5" t="s">
        <v>28</v>
      </c>
      <c r="H952" s="5">
        <v>82</v>
      </c>
      <c r="I952" s="5">
        <v>822</v>
      </c>
      <c r="J952" s="5">
        <v>1445</v>
      </c>
      <c r="K952" s="6">
        <f t="shared" si="56"/>
        <v>67404</v>
      </c>
      <c r="L952" s="6">
        <f t="shared" si="57"/>
        <v>118490</v>
      </c>
      <c r="M952" s="6">
        <f t="shared" si="58"/>
        <v>51086</v>
      </c>
      <c r="N952" s="6" t="str">
        <f t="shared" si="59"/>
        <v>profit</v>
      </c>
    </row>
    <row r="953" spans="1:14" ht="15.6" thickTop="1" thickBot="1" x14ac:dyDescent="0.35">
      <c r="A953" s="4">
        <v>45641</v>
      </c>
      <c r="B953" s="4" t="s">
        <v>190</v>
      </c>
      <c r="C953" s="5" t="s">
        <v>351</v>
      </c>
      <c r="D953" s="5" t="s">
        <v>33</v>
      </c>
      <c r="E953" s="5" t="s">
        <v>99</v>
      </c>
      <c r="F953" s="5" t="s">
        <v>39</v>
      </c>
      <c r="G953" s="5" t="s">
        <v>19</v>
      </c>
      <c r="H953" s="5">
        <v>68</v>
      </c>
      <c r="I953" s="5">
        <v>815</v>
      </c>
      <c r="J953" s="5">
        <v>808</v>
      </c>
      <c r="K953" s="6">
        <f t="shared" si="56"/>
        <v>55420</v>
      </c>
      <c r="L953" s="6">
        <f t="shared" si="57"/>
        <v>54944</v>
      </c>
      <c r="M953" s="6">
        <f t="shared" si="58"/>
        <v>-476</v>
      </c>
      <c r="N953" s="6" t="str">
        <f t="shared" si="59"/>
        <v>loss</v>
      </c>
    </row>
    <row r="954" spans="1:14" ht="15.6" thickTop="1" thickBot="1" x14ac:dyDescent="0.35">
      <c r="A954" s="4">
        <v>45643</v>
      </c>
      <c r="B954" s="4" t="s">
        <v>190</v>
      </c>
      <c r="C954" s="5" t="s">
        <v>352</v>
      </c>
      <c r="D954" s="5" t="s">
        <v>33</v>
      </c>
      <c r="E954" s="5" t="s">
        <v>99</v>
      </c>
      <c r="F954" s="5" t="s">
        <v>64</v>
      </c>
      <c r="G954" s="5" t="s">
        <v>19</v>
      </c>
      <c r="H954" s="5">
        <v>88</v>
      </c>
      <c r="I954" s="5">
        <v>674</v>
      </c>
      <c r="J954" s="5">
        <v>891</v>
      </c>
      <c r="K954" s="6">
        <f t="shared" si="56"/>
        <v>59312</v>
      </c>
      <c r="L954" s="6">
        <f t="shared" si="57"/>
        <v>78408</v>
      </c>
      <c r="M954" s="6">
        <f t="shared" si="58"/>
        <v>19096</v>
      </c>
      <c r="N954" s="6" t="str">
        <f t="shared" si="59"/>
        <v>profit</v>
      </c>
    </row>
    <row r="955" spans="1:14" ht="15.6" thickTop="1" thickBot="1" x14ac:dyDescent="0.35">
      <c r="A955" s="4">
        <v>45644</v>
      </c>
      <c r="B955" s="4" t="s">
        <v>190</v>
      </c>
      <c r="C955" s="5" t="s">
        <v>353</v>
      </c>
      <c r="D955" s="5" t="s">
        <v>33</v>
      </c>
      <c r="E955" s="5" t="s">
        <v>99</v>
      </c>
      <c r="F955" s="5" t="s">
        <v>64</v>
      </c>
      <c r="G955" s="5" t="s">
        <v>19</v>
      </c>
      <c r="H955" s="5">
        <v>64</v>
      </c>
      <c r="I955" s="5">
        <v>665</v>
      </c>
      <c r="J955" s="5">
        <v>783</v>
      </c>
      <c r="K955" s="6">
        <f t="shared" si="56"/>
        <v>42560</v>
      </c>
      <c r="L955" s="6">
        <f t="shared" si="57"/>
        <v>50112</v>
      </c>
      <c r="M955" s="6">
        <f t="shared" si="58"/>
        <v>7552</v>
      </c>
      <c r="N955" s="6" t="str">
        <f t="shared" si="59"/>
        <v>profit</v>
      </c>
    </row>
    <row r="956" spans="1:14" ht="15.6" thickTop="1" thickBot="1" x14ac:dyDescent="0.35">
      <c r="A956" s="4">
        <v>45645</v>
      </c>
      <c r="B956" s="4" t="s">
        <v>190</v>
      </c>
      <c r="C956" s="5" t="s">
        <v>354</v>
      </c>
      <c r="D956" s="5" t="s">
        <v>33</v>
      </c>
      <c r="E956" s="5" t="s">
        <v>99</v>
      </c>
      <c r="F956" s="5" t="s">
        <v>60</v>
      </c>
      <c r="G956" s="5" t="s">
        <v>19</v>
      </c>
      <c r="H956" s="5">
        <v>81</v>
      </c>
      <c r="I956" s="5">
        <v>801</v>
      </c>
      <c r="J956" s="5">
        <v>846</v>
      </c>
      <c r="K956" s="6">
        <f t="shared" si="56"/>
        <v>64881</v>
      </c>
      <c r="L956" s="6">
        <f t="shared" si="57"/>
        <v>68526</v>
      </c>
      <c r="M956" s="6">
        <f t="shared" si="58"/>
        <v>3645</v>
      </c>
      <c r="N956" s="6" t="str">
        <f t="shared" si="59"/>
        <v>profit</v>
      </c>
    </row>
    <row r="957" spans="1:14" ht="15.6" thickTop="1" thickBot="1" x14ac:dyDescent="0.35">
      <c r="A957" s="4">
        <v>45647</v>
      </c>
      <c r="B957" s="4" t="s">
        <v>190</v>
      </c>
      <c r="C957" s="5" t="s">
        <v>355</v>
      </c>
      <c r="D957" s="5" t="s">
        <v>33</v>
      </c>
      <c r="E957" s="5" t="s">
        <v>99</v>
      </c>
      <c r="F957" s="5" t="s">
        <v>30</v>
      </c>
      <c r="G957" s="5" t="s">
        <v>19</v>
      </c>
      <c r="H957" s="5">
        <v>74</v>
      </c>
      <c r="I957" s="5">
        <v>734</v>
      </c>
      <c r="J957" s="5">
        <v>886</v>
      </c>
      <c r="K957" s="6">
        <f t="shared" si="56"/>
        <v>54316</v>
      </c>
      <c r="L957" s="6">
        <f t="shared" si="57"/>
        <v>65564</v>
      </c>
      <c r="M957" s="6">
        <f t="shared" si="58"/>
        <v>11248</v>
      </c>
      <c r="N957" s="6" t="str">
        <f t="shared" si="59"/>
        <v>profit</v>
      </c>
    </row>
    <row r="958" spans="1:14" ht="15.6" thickTop="1" thickBot="1" x14ac:dyDescent="0.35">
      <c r="A958" s="4">
        <v>45677</v>
      </c>
      <c r="B958" s="4" t="s">
        <v>95</v>
      </c>
      <c r="C958" s="5" t="s">
        <v>129</v>
      </c>
      <c r="D958" s="5" t="s">
        <v>16</v>
      </c>
      <c r="E958" s="5" t="s">
        <v>37</v>
      </c>
      <c r="F958" s="5" t="s">
        <v>155</v>
      </c>
      <c r="G958" s="5" t="s">
        <v>19</v>
      </c>
      <c r="H958" s="5">
        <v>10</v>
      </c>
      <c r="I958" s="5">
        <v>519</v>
      </c>
      <c r="J958" s="5">
        <v>1420</v>
      </c>
      <c r="K958" s="6">
        <f t="shared" si="56"/>
        <v>5190</v>
      </c>
      <c r="L958" s="6">
        <f t="shared" si="57"/>
        <v>14200</v>
      </c>
      <c r="M958" s="6">
        <f t="shared" si="58"/>
        <v>9010</v>
      </c>
      <c r="N958" s="6" t="str">
        <f t="shared" si="59"/>
        <v>profit</v>
      </c>
    </row>
    <row r="959" spans="1:14" ht="15.6" thickTop="1" thickBot="1" x14ac:dyDescent="0.35">
      <c r="A959" s="4">
        <v>45649</v>
      </c>
      <c r="B959" s="4" t="s">
        <v>190</v>
      </c>
      <c r="C959" s="5" t="s">
        <v>356</v>
      </c>
      <c r="D959" s="5" t="s">
        <v>33</v>
      </c>
      <c r="E959" s="5" t="s">
        <v>120</v>
      </c>
      <c r="F959" s="5" t="s">
        <v>44</v>
      </c>
      <c r="G959" s="5" t="s">
        <v>19</v>
      </c>
      <c r="H959" s="5">
        <v>94</v>
      </c>
      <c r="I959" s="5">
        <v>564</v>
      </c>
      <c r="J959" s="5">
        <v>941</v>
      </c>
      <c r="K959" s="6">
        <f t="shared" si="56"/>
        <v>53016</v>
      </c>
      <c r="L959" s="6">
        <f t="shared" si="57"/>
        <v>88454</v>
      </c>
      <c r="M959" s="6">
        <f t="shared" si="58"/>
        <v>35438</v>
      </c>
      <c r="N959" s="6" t="str">
        <f t="shared" si="59"/>
        <v>profit</v>
      </c>
    </row>
    <row r="960" spans="1:14" ht="15.6" thickTop="1" thickBot="1" x14ac:dyDescent="0.35">
      <c r="A960" s="4">
        <v>45650</v>
      </c>
      <c r="B960" s="4" t="s">
        <v>190</v>
      </c>
      <c r="C960" s="5" t="s">
        <v>357</v>
      </c>
      <c r="D960" s="5" t="s">
        <v>33</v>
      </c>
      <c r="E960" s="5" t="s">
        <v>120</v>
      </c>
      <c r="F960" s="5" t="s">
        <v>153</v>
      </c>
      <c r="G960" s="5" t="s">
        <v>19</v>
      </c>
      <c r="H960" s="5">
        <v>50</v>
      </c>
      <c r="I960" s="5">
        <v>545</v>
      </c>
      <c r="J960" s="5">
        <v>1050</v>
      </c>
      <c r="K960" s="6">
        <f t="shared" si="56"/>
        <v>27250</v>
      </c>
      <c r="L960" s="6">
        <f t="shared" si="57"/>
        <v>52500</v>
      </c>
      <c r="M960" s="6">
        <f t="shared" si="58"/>
        <v>25250</v>
      </c>
      <c r="N960" s="6" t="str">
        <f t="shared" si="59"/>
        <v>profit</v>
      </c>
    </row>
    <row r="961" spans="1:14" ht="15.6" thickTop="1" thickBot="1" x14ac:dyDescent="0.35">
      <c r="A961" s="4">
        <v>45651</v>
      </c>
      <c r="B961" s="4" t="s">
        <v>190</v>
      </c>
      <c r="C961" s="5" t="s">
        <v>358</v>
      </c>
      <c r="D961" s="5" t="s">
        <v>33</v>
      </c>
      <c r="E961" s="5" t="s">
        <v>120</v>
      </c>
      <c r="F961" s="5" t="s">
        <v>155</v>
      </c>
      <c r="G961" s="5" t="s">
        <v>19</v>
      </c>
      <c r="H961" s="5">
        <v>60</v>
      </c>
      <c r="I961" s="5">
        <v>783</v>
      </c>
      <c r="J961" s="5">
        <v>1422</v>
      </c>
      <c r="K961" s="6">
        <f t="shared" si="56"/>
        <v>46980</v>
      </c>
      <c r="L961" s="6">
        <f t="shared" si="57"/>
        <v>85320</v>
      </c>
      <c r="M961" s="6">
        <f t="shared" si="58"/>
        <v>38340</v>
      </c>
      <c r="N961" s="6" t="str">
        <f t="shared" si="59"/>
        <v>profit</v>
      </c>
    </row>
    <row r="962" spans="1:14" ht="15.6" thickTop="1" thickBot="1" x14ac:dyDescent="0.35">
      <c r="A962" s="4">
        <v>45652</v>
      </c>
      <c r="B962" s="4" t="s">
        <v>190</v>
      </c>
      <c r="C962" s="5" t="s">
        <v>359</v>
      </c>
      <c r="D962" s="5" t="s">
        <v>33</v>
      </c>
      <c r="E962" s="5" t="s">
        <v>120</v>
      </c>
      <c r="F962" s="5" t="s">
        <v>18</v>
      </c>
      <c r="G962" s="5" t="s">
        <v>19</v>
      </c>
      <c r="H962" s="5">
        <v>63</v>
      </c>
      <c r="I962" s="5">
        <v>746</v>
      </c>
      <c r="J962" s="5">
        <v>1075</v>
      </c>
      <c r="K962" s="6">
        <f t="shared" ref="K962:K993" si="60">H962*I962</f>
        <v>46998</v>
      </c>
      <c r="L962" s="6">
        <f t="shared" ref="L962:L993" si="61">H962*J962</f>
        <v>67725</v>
      </c>
      <c r="M962" s="6">
        <f t="shared" ref="M962:M993" si="62">L962-K962</f>
        <v>20727</v>
      </c>
      <c r="N962" s="6" t="str">
        <f t="shared" ref="N962:N993" si="63">IF(M962&gt;0,"profit","loss")</f>
        <v>profit</v>
      </c>
    </row>
    <row r="963" spans="1:14" ht="15.6" thickTop="1" thickBot="1" x14ac:dyDescent="0.35">
      <c r="A963" s="4">
        <v>45654</v>
      </c>
      <c r="B963" s="4" t="s">
        <v>190</v>
      </c>
      <c r="C963" s="5" t="s">
        <v>360</v>
      </c>
      <c r="D963" s="5" t="s">
        <v>33</v>
      </c>
      <c r="E963" s="5" t="s">
        <v>120</v>
      </c>
      <c r="F963" s="5" t="s">
        <v>23</v>
      </c>
      <c r="G963" s="5" t="s">
        <v>28</v>
      </c>
      <c r="H963" s="5">
        <v>86</v>
      </c>
      <c r="I963" s="5">
        <v>834</v>
      </c>
      <c r="J963" s="5">
        <v>1372</v>
      </c>
      <c r="K963" s="6">
        <f t="shared" si="60"/>
        <v>71724</v>
      </c>
      <c r="L963" s="6">
        <f t="shared" si="61"/>
        <v>117992</v>
      </c>
      <c r="M963" s="6">
        <f t="shared" si="62"/>
        <v>46268</v>
      </c>
      <c r="N963" s="6" t="str">
        <f t="shared" si="63"/>
        <v>profit</v>
      </c>
    </row>
    <row r="964" spans="1:14" ht="15.6" thickTop="1" thickBot="1" x14ac:dyDescent="0.35">
      <c r="A964" s="4">
        <v>45683</v>
      </c>
      <c r="B964" s="4" t="s">
        <v>95</v>
      </c>
      <c r="C964" s="5" t="s">
        <v>243</v>
      </c>
      <c r="D964" s="5" t="s">
        <v>16</v>
      </c>
      <c r="E964" s="5" t="s">
        <v>37</v>
      </c>
      <c r="F964" s="5" t="s">
        <v>27</v>
      </c>
      <c r="G964" s="5" t="s">
        <v>19</v>
      </c>
      <c r="H964" s="5">
        <v>17</v>
      </c>
      <c r="I964" s="5">
        <v>922</v>
      </c>
      <c r="J964" s="5">
        <v>899</v>
      </c>
      <c r="K964" s="6">
        <f t="shared" si="60"/>
        <v>15674</v>
      </c>
      <c r="L964" s="6">
        <f t="shared" si="61"/>
        <v>15283</v>
      </c>
      <c r="M964" s="6">
        <f t="shared" si="62"/>
        <v>-391</v>
      </c>
      <c r="N964" s="6" t="str">
        <f t="shared" si="63"/>
        <v>loss</v>
      </c>
    </row>
    <row r="965" spans="1:14" ht="15.6" thickTop="1" thickBot="1" x14ac:dyDescent="0.35">
      <c r="A965" s="4">
        <v>45655</v>
      </c>
      <c r="B965" s="4" t="s">
        <v>190</v>
      </c>
      <c r="C965" s="5" t="s">
        <v>361</v>
      </c>
      <c r="D965" s="5" t="s">
        <v>33</v>
      </c>
      <c r="E965" s="5" t="s">
        <v>120</v>
      </c>
      <c r="F965" s="5" t="s">
        <v>25</v>
      </c>
      <c r="G965" s="5" t="s">
        <v>28</v>
      </c>
      <c r="H965" s="5">
        <v>51</v>
      </c>
      <c r="I965" s="5">
        <v>944</v>
      </c>
      <c r="J965" s="5">
        <v>1062</v>
      </c>
      <c r="K965" s="6">
        <f t="shared" si="60"/>
        <v>48144</v>
      </c>
      <c r="L965" s="6">
        <f t="shared" si="61"/>
        <v>54162</v>
      </c>
      <c r="M965" s="6">
        <f t="shared" si="62"/>
        <v>6018</v>
      </c>
      <c r="N965" s="6" t="str">
        <f t="shared" si="63"/>
        <v>profit</v>
      </c>
    </row>
    <row r="966" spans="1:14" ht="15.6" thickTop="1" thickBot="1" x14ac:dyDescent="0.35">
      <c r="A966" s="4">
        <v>45656</v>
      </c>
      <c r="B966" s="4" t="s">
        <v>190</v>
      </c>
      <c r="C966" s="5" t="s">
        <v>362</v>
      </c>
      <c r="D966" s="5" t="s">
        <v>33</v>
      </c>
      <c r="E966" s="5" t="s">
        <v>120</v>
      </c>
      <c r="F966" s="5" t="s">
        <v>25</v>
      </c>
      <c r="G966" s="5" t="s">
        <v>28</v>
      </c>
      <c r="H966" s="5">
        <v>75</v>
      </c>
      <c r="I966" s="5">
        <v>547</v>
      </c>
      <c r="J966" s="5">
        <v>1203</v>
      </c>
      <c r="K966" s="6">
        <f t="shared" si="60"/>
        <v>41025</v>
      </c>
      <c r="L966" s="6">
        <f t="shared" si="61"/>
        <v>90225</v>
      </c>
      <c r="M966" s="6">
        <f t="shared" si="62"/>
        <v>49200</v>
      </c>
      <c r="N966" s="6" t="str">
        <f t="shared" si="63"/>
        <v>profit</v>
      </c>
    </row>
    <row r="967" spans="1:14" ht="15.6" thickTop="1" thickBot="1" x14ac:dyDescent="0.35">
      <c r="A967" s="4">
        <v>45657</v>
      </c>
      <c r="B967" s="4" t="s">
        <v>190</v>
      </c>
      <c r="C967" s="5" t="s">
        <v>363</v>
      </c>
      <c r="D967" s="5" t="s">
        <v>33</v>
      </c>
      <c r="E967" s="5" t="s">
        <v>120</v>
      </c>
      <c r="F967" s="5" t="s">
        <v>27</v>
      </c>
      <c r="G967" s="5" t="s">
        <v>28</v>
      </c>
      <c r="H967" s="5">
        <v>64</v>
      </c>
      <c r="I967" s="5">
        <v>918</v>
      </c>
      <c r="J967" s="5">
        <v>907</v>
      </c>
      <c r="K967" s="6">
        <f t="shared" si="60"/>
        <v>58752</v>
      </c>
      <c r="L967" s="6">
        <f t="shared" si="61"/>
        <v>58048</v>
      </c>
      <c r="M967" s="6">
        <f t="shared" si="62"/>
        <v>-704</v>
      </c>
      <c r="N967" s="6" t="str">
        <f t="shared" si="63"/>
        <v>loss</v>
      </c>
    </row>
    <row r="968" spans="1:14" ht="15.6" thickTop="1" thickBot="1" x14ac:dyDescent="0.35">
      <c r="A968" s="4">
        <v>45687</v>
      </c>
      <c r="B968" s="4" t="s">
        <v>95</v>
      </c>
      <c r="C968" s="5" t="s">
        <v>247</v>
      </c>
      <c r="D968" s="5" t="s">
        <v>16</v>
      </c>
      <c r="E968" s="5" t="s">
        <v>37</v>
      </c>
      <c r="F968" s="5" t="s">
        <v>30</v>
      </c>
      <c r="G968" s="5" t="s">
        <v>28</v>
      </c>
      <c r="H968" s="5">
        <v>12</v>
      </c>
      <c r="I968" s="5">
        <v>519</v>
      </c>
      <c r="J968" s="5">
        <v>1212</v>
      </c>
      <c r="K968" s="6">
        <f t="shared" si="60"/>
        <v>6228</v>
      </c>
      <c r="L968" s="6">
        <f t="shared" si="61"/>
        <v>14544</v>
      </c>
      <c r="M968" s="6">
        <f t="shared" si="62"/>
        <v>8316</v>
      </c>
      <c r="N968" s="6" t="str">
        <f t="shared" si="63"/>
        <v>profit</v>
      </c>
    </row>
    <row r="969" spans="1:14" ht="15.6" thickTop="1" thickBot="1" x14ac:dyDescent="0.35">
      <c r="A969" s="4">
        <v>45658</v>
      </c>
      <c r="B969" s="4" t="s">
        <v>95</v>
      </c>
      <c r="C969" s="5" t="s">
        <v>364</v>
      </c>
      <c r="D969" s="5" t="s">
        <v>33</v>
      </c>
      <c r="E969" s="5" t="s">
        <v>120</v>
      </c>
      <c r="F969" s="5" t="s">
        <v>30</v>
      </c>
      <c r="G969" s="5" t="s">
        <v>19</v>
      </c>
      <c r="H969" s="5">
        <v>74</v>
      </c>
      <c r="I969" s="5">
        <v>965</v>
      </c>
      <c r="J969" s="5">
        <v>906</v>
      </c>
      <c r="K969" s="6">
        <f t="shared" si="60"/>
        <v>71410</v>
      </c>
      <c r="L969" s="6">
        <f t="shared" si="61"/>
        <v>67044</v>
      </c>
      <c r="M969" s="6">
        <f t="shared" si="62"/>
        <v>-4366</v>
      </c>
      <c r="N969" s="6" t="str">
        <f t="shared" si="63"/>
        <v>loss</v>
      </c>
    </row>
    <row r="970" spans="1:14" ht="15.6" thickTop="1" thickBot="1" x14ac:dyDescent="0.35">
      <c r="A970" s="4">
        <v>45666</v>
      </c>
      <c r="B970" s="4" t="s">
        <v>95</v>
      </c>
      <c r="C970" s="5" t="s">
        <v>365</v>
      </c>
      <c r="D970" s="5" t="s">
        <v>33</v>
      </c>
      <c r="E970" s="5" t="s">
        <v>99</v>
      </c>
      <c r="F970" s="5" t="s">
        <v>35</v>
      </c>
      <c r="G970" s="5" t="s">
        <v>28</v>
      </c>
      <c r="H970" s="5">
        <v>100</v>
      </c>
      <c r="I970" s="5">
        <v>667</v>
      </c>
      <c r="J970" s="5">
        <v>1109</v>
      </c>
      <c r="K970" s="6">
        <f t="shared" si="60"/>
        <v>66700</v>
      </c>
      <c r="L970" s="6">
        <f t="shared" si="61"/>
        <v>110900</v>
      </c>
      <c r="M970" s="6">
        <f t="shared" si="62"/>
        <v>44200</v>
      </c>
      <c r="N970" s="6" t="str">
        <f t="shared" si="63"/>
        <v>profit</v>
      </c>
    </row>
    <row r="971" spans="1:14" ht="15.6" thickTop="1" thickBot="1" x14ac:dyDescent="0.35">
      <c r="A971" s="4">
        <v>45667</v>
      </c>
      <c r="B971" s="4" t="s">
        <v>95</v>
      </c>
      <c r="C971" s="5" t="s">
        <v>366</v>
      </c>
      <c r="D971" s="5" t="s">
        <v>33</v>
      </c>
      <c r="E971" s="5" t="s">
        <v>99</v>
      </c>
      <c r="F971" s="5" t="s">
        <v>39</v>
      </c>
      <c r="G971" s="5" t="s">
        <v>28</v>
      </c>
      <c r="H971" s="5">
        <v>60</v>
      </c>
      <c r="I971" s="5">
        <v>509</v>
      </c>
      <c r="J971" s="5">
        <v>954</v>
      </c>
      <c r="K971" s="6">
        <f t="shared" si="60"/>
        <v>30540</v>
      </c>
      <c r="L971" s="6">
        <f t="shared" si="61"/>
        <v>57240</v>
      </c>
      <c r="M971" s="6">
        <f t="shared" si="62"/>
        <v>26700</v>
      </c>
      <c r="N971" s="6" t="str">
        <f t="shared" si="63"/>
        <v>profit</v>
      </c>
    </row>
    <row r="972" spans="1:14" ht="15.6" thickTop="1" thickBot="1" x14ac:dyDescent="0.35">
      <c r="A972" s="4">
        <v>45668</v>
      </c>
      <c r="B972" s="4" t="s">
        <v>95</v>
      </c>
      <c r="C972" s="5" t="s">
        <v>367</v>
      </c>
      <c r="D972" s="5" t="s">
        <v>33</v>
      </c>
      <c r="E972" s="5" t="s">
        <v>99</v>
      </c>
      <c r="F972" s="5" t="s">
        <v>39</v>
      </c>
      <c r="G972" s="5" t="s">
        <v>28</v>
      </c>
      <c r="H972" s="5">
        <v>93</v>
      </c>
      <c r="I972" s="5">
        <v>814</v>
      </c>
      <c r="J972" s="5">
        <v>832</v>
      </c>
      <c r="K972" s="6">
        <f t="shared" si="60"/>
        <v>75702</v>
      </c>
      <c r="L972" s="6">
        <f t="shared" si="61"/>
        <v>77376</v>
      </c>
      <c r="M972" s="6">
        <f t="shared" si="62"/>
        <v>1674</v>
      </c>
      <c r="N972" s="6" t="str">
        <f t="shared" si="63"/>
        <v>profit</v>
      </c>
    </row>
    <row r="973" spans="1:14" ht="15.6" thickTop="1" thickBot="1" x14ac:dyDescent="0.35">
      <c r="A973" s="4">
        <v>45669</v>
      </c>
      <c r="B973" s="4" t="s">
        <v>95</v>
      </c>
      <c r="C973" s="5" t="s">
        <v>368</v>
      </c>
      <c r="D973" s="5" t="s">
        <v>33</v>
      </c>
      <c r="E973" s="5" t="s">
        <v>99</v>
      </c>
      <c r="F973" s="5" t="s">
        <v>64</v>
      </c>
      <c r="G973" s="5" t="s">
        <v>19</v>
      </c>
      <c r="H973" s="5">
        <v>86</v>
      </c>
      <c r="I973" s="5">
        <v>567</v>
      </c>
      <c r="J973" s="5">
        <v>1491</v>
      </c>
      <c r="K973" s="6">
        <f t="shared" si="60"/>
        <v>48762</v>
      </c>
      <c r="L973" s="6">
        <f t="shared" si="61"/>
        <v>128226</v>
      </c>
      <c r="M973" s="6">
        <f t="shared" si="62"/>
        <v>79464</v>
      </c>
      <c r="N973" s="6" t="str">
        <f t="shared" si="63"/>
        <v>profit</v>
      </c>
    </row>
    <row r="974" spans="1:14" ht="15.6" thickTop="1" thickBot="1" x14ac:dyDescent="0.35">
      <c r="A974" s="4">
        <v>45670</v>
      </c>
      <c r="B974" s="4" t="s">
        <v>95</v>
      </c>
      <c r="C974" s="5" t="s">
        <v>369</v>
      </c>
      <c r="D974" s="5" t="s">
        <v>33</v>
      </c>
      <c r="E974" s="5" t="s">
        <v>99</v>
      </c>
      <c r="F974" s="5" t="s">
        <v>64</v>
      </c>
      <c r="G974" s="5" t="s">
        <v>28</v>
      </c>
      <c r="H974" s="5">
        <v>54</v>
      </c>
      <c r="I974" s="5">
        <v>674</v>
      </c>
      <c r="J974" s="5">
        <v>787</v>
      </c>
      <c r="K974" s="6">
        <f t="shared" si="60"/>
        <v>36396</v>
      </c>
      <c r="L974" s="6">
        <f t="shared" si="61"/>
        <v>42498</v>
      </c>
      <c r="M974" s="6">
        <f t="shared" si="62"/>
        <v>6102</v>
      </c>
      <c r="N974" s="6" t="str">
        <f t="shared" si="63"/>
        <v>profit</v>
      </c>
    </row>
    <row r="975" spans="1:14" ht="15.6" thickTop="1" thickBot="1" x14ac:dyDescent="0.35">
      <c r="A975" s="4">
        <v>45672</v>
      </c>
      <c r="B975" s="4" t="s">
        <v>95</v>
      </c>
      <c r="C975" s="5" t="s">
        <v>370</v>
      </c>
      <c r="D975" s="5" t="s">
        <v>33</v>
      </c>
      <c r="E975" s="5" t="s">
        <v>120</v>
      </c>
      <c r="F975" s="5" t="s">
        <v>39</v>
      </c>
      <c r="G975" s="5" t="s">
        <v>28</v>
      </c>
      <c r="H975" s="5">
        <v>98</v>
      </c>
      <c r="I975" s="5">
        <v>950</v>
      </c>
      <c r="J975" s="5">
        <v>1426</v>
      </c>
      <c r="K975" s="6">
        <f t="shared" si="60"/>
        <v>93100</v>
      </c>
      <c r="L975" s="6">
        <f t="shared" si="61"/>
        <v>139748</v>
      </c>
      <c r="M975" s="6">
        <f t="shared" si="62"/>
        <v>46648</v>
      </c>
      <c r="N975" s="6" t="str">
        <f t="shared" si="63"/>
        <v>profit</v>
      </c>
    </row>
    <row r="976" spans="1:14" ht="15.6" thickTop="1" thickBot="1" x14ac:dyDescent="0.35">
      <c r="A976" s="4">
        <v>45673</v>
      </c>
      <c r="B976" s="4" t="s">
        <v>95</v>
      </c>
      <c r="C976" s="5" t="s">
        <v>371</v>
      </c>
      <c r="D976" s="5" t="s">
        <v>33</v>
      </c>
      <c r="E976" s="5" t="s">
        <v>120</v>
      </c>
      <c r="F976" s="5" t="s">
        <v>30</v>
      </c>
      <c r="G976" s="5" t="s">
        <v>28</v>
      </c>
      <c r="H976" s="5">
        <v>82</v>
      </c>
      <c r="I976" s="5">
        <v>916</v>
      </c>
      <c r="J976" s="5">
        <v>1461</v>
      </c>
      <c r="K976" s="6">
        <f t="shared" si="60"/>
        <v>75112</v>
      </c>
      <c r="L976" s="6">
        <f t="shared" si="61"/>
        <v>119802</v>
      </c>
      <c r="M976" s="6">
        <f t="shared" si="62"/>
        <v>44690</v>
      </c>
      <c r="N976" s="6" t="str">
        <f t="shared" si="63"/>
        <v>profit</v>
      </c>
    </row>
    <row r="977" spans="1:17" ht="15.6" thickTop="1" thickBot="1" x14ac:dyDescent="0.35">
      <c r="A977" s="4">
        <v>45674</v>
      </c>
      <c r="B977" s="4" t="s">
        <v>95</v>
      </c>
      <c r="C977" s="5" t="s">
        <v>372</v>
      </c>
      <c r="D977" s="5" t="s">
        <v>33</v>
      </c>
      <c r="E977" s="5" t="s">
        <v>120</v>
      </c>
      <c r="F977" s="5" t="s">
        <v>113</v>
      </c>
      <c r="G977" s="5" t="s">
        <v>19</v>
      </c>
      <c r="H977" s="5">
        <v>66</v>
      </c>
      <c r="I977" s="5">
        <v>710</v>
      </c>
      <c r="J977" s="5">
        <v>1034</v>
      </c>
      <c r="K977" s="6">
        <f t="shared" si="60"/>
        <v>46860</v>
      </c>
      <c r="L977" s="6">
        <f t="shared" si="61"/>
        <v>68244</v>
      </c>
      <c r="M977" s="6">
        <f t="shared" si="62"/>
        <v>21384</v>
      </c>
      <c r="N977" s="6" t="str">
        <f t="shared" si="63"/>
        <v>profit</v>
      </c>
    </row>
    <row r="978" spans="1:17" ht="15.6" thickTop="1" thickBot="1" x14ac:dyDescent="0.35">
      <c r="A978" s="4">
        <v>45675</v>
      </c>
      <c r="B978" s="4" t="s">
        <v>95</v>
      </c>
      <c r="C978" s="5" t="s">
        <v>373</v>
      </c>
      <c r="D978" s="5" t="s">
        <v>33</v>
      </c>
      <c r="E978" s="5" t="s">
        <v>120</v>
      </c>
      <c r="F978" s="5" t="s">
        <v>44</v>
      </c>
      <c r="G978" s="5" t="s">
        <v>19</v>
      </c>
      <c r="H978" s="5">
        <v>77</v>
      </c>
      <c r="I978" s="5">
        <v>922</v>
      </c>
      <c r="J978" s="5">
        <v>1400</v>
      </c>
      <c r="K978" s="6">
        <f t="shared" si="60"/>
        <v>70994</v>
      </c>
      <c r="L978" s="6">
        <f t="shared" si="61"/>
        <v>107800</v>
      </c>
      <c r="M978" s="6">
        <f t="shared" si="62"/>
        <v>36806</v>
      </c>
      <c r="N978" s="6" t="str">
        <f t="shared" si="63"/>
        <v>profit</v>
      </c>
    </row>
    <row r="979" spans="1:17" ht="15.6" thickTop="1" thickBot="1" x14ac:dyDescent="0.35">
      <c r="A979" s="4">
        <v>45698</v>
      </c>
      <c r="B979" s="4" t="s">
        <v>239</v>
      </c>
      <c r="C979" s="5" t="s">
        <v>252</v>
      </c>
      <c r="D979" s="5" t="s">
        <v>46</v>
      </c>
      <c r="E979" s="5" t="s">
        <v>118</v>
      </c>
      <c r="F979" s="5" t="s">
        <v>30</v>
      </c>
      <c r="G979" s="5" t="s">
        <v>19</v>
      </c>
      <c r="H979" s="5">
        <v>22</v>
      </c>
      <c r="I979" s="5">
        <v>745</v>
      </c>
      <c r="J979" s="5">
        <v>1153</v>
      </c>
      <c r="K979" s="6">
        <f t="shared" si="60"/>
        <v>16390</v>
      </c>
      <c r="L979" s="6">
        <f t="shared" si="61"/>
        <v>25366</v>
      </c>
      <c r="M979" s="6">
        <f t="shared" si="62"/>
        <v>8976</v>
      </c>
      <c r="N979" s="6" t="str">
        <f t="shared" si="63"/>
        <v>profit</v>
      </c>
    </row>
    <row r="980" spans="1:17" ht="15.6" thickTop="1" thickBot="1" x14ac:dyDescent="0.35">
      <c r="A980" s="4">
        <v>45676</v>
      </c>
      <c r="B980" s="4" t="s">
        <v>95</v>
      </c>
      <c r="C980" s="5" t="s">
        <v>374</v>
      </c>
      <c r="D980" s="5" t="s">
        <v>33</v>
      </c>
      <c r="E980" s="5" t="s">
        <v>120</v>
      </c>
      <c r="F980" s="5" t="s">
        <v>153</v>
      </c>
      <c r="G980" s="5" t="s">
        <v>19</v>
      </c>
      <c r="H980" s="5">
        <v>93</v>
      </c>
      <c r="I980" s="5">
        <v>887</v>
      </c>
      <c r="J980" s="5">
        <v>993</v>
      </c>
      <c r="K980" s="6">
        <f t="shared" si="60"/>
        <v>82491</v>
      </c>
      <c r="L980" s="6">
        <f t="shared" si="61"/>
        <v>92349</v>
      </c>
      <c r="M980" s="6">
        <f t="shared" si="62"/>
        <v>9858</v>
      </c>
      <c r="N980" s="6" t="str">
        <f t="shared" si="63"/>
        <v>profit</v>
      </c>
    </row>
    <row r="981" spans="1:17" ht="15.6" thickTop="1" thickBot="1" x14ac:dyDescent="0.35">
      <c r="A981" s="4">
        <v>45700</v>
      </c>
      <c r="B981" s="4" t="s">
        <v>239</v>
      </c>
      <c r="C981" s="5" t="s">
        <v>375</v>
      </c>
      <c r="D981" s="5" t="s">
        <v>33</v>
      </c>
      <c r="E981" s="5" t="s">
        <v>99</v>
      </c>
      <c r="F981" s="5" t="s">
        <v>39</v>
      </c>
      <c r="G981" s="5" t="s">
        <v>19</v>
      </c>
      <c r="H981" s="5">
        <v>78</v>
      </c>
      <c r="I981" s="5">
        <v>709</v>
      </c>
      <c r="J981" s="5">
        <v>1494</v>
      </c>
      <c r="K981" s="6">
        <f t="shared" si="60"/>
        <v>55302</v>
      </c>
      <c r="L981" s="6">
        <f t="shared" si="61"/>
        <v>116532</v>
      </c>
      <c r="M981" s="6">
        <f t="shared" si="62"/>
        <v>61230</v>
      </c>
      <c r="N981" s="6" t="str">
        <f t="shared" si="63"/>
        <v>profit</v>
      </c>
    </row>
    <row r="982" spans="1:17" ht="15.6" thickTop="1" thickBot="1" x14ac:dyDescent="0.35">
      <c r="A982" s="4">
        <v>45701</v>
      </c>
      <c r="B982" s="4" t="s">
        <v>239</v>
      </c>
      <c r="C982" s="5" t="s">
        <v>376</v>
      </c>
      <c r="D982" s="5" t="s">
        <v>33</v>
      </c>
      <c r="E982" s="5" t="s">
        <v>99</v>
      </c>
      <c r="F982" s="5" t="s">
        <v>39</v>
      </c>
      <c r="G982" s="5" t="s">
        <v>19</v>
      </c>
      <c r="H982" s="5">
        <v>87</v>
      </c>
      <c r="I982" s="5">
        <v>714</v>
      </c>
      <c r="J982" s="5">
        <v>926</v>
      </c>
      <c r="K982" s="6">
        <f t="shared" si="60"/>
        <v>62118</v>
      </c>
      <c r="L982" s="6">
        <f t="shared" si="61"/>
        <v>80562</v>
      </c>
      <c r="M982" s="6">
        <f t="shared" si="62"/>
        <v>18444</v>
      </c>
      <c r="N982" s="6" t="str">
        <f t="shared" si="63"/>
        <v>profit</v>
      </c>
    </row>
    <row r="983" spans="1:17" ht="15.6" thickTop="1" thickBot="1" x14ac:dyDescent="0.35">
      <c r="A983" s="4">
        <v>45702</v>
      </c>
      <c r="B983" s="4" t="s">
        <v>239</v>
      </c>
      <c r="C983" s="5" t="s">
        <v>253</v>
      </c>
      <c r="D983" s="5" t="s">
        <v>33</v>
      </c>
      <c r="E983" s="5" t="s">
        <v>99</v>
      </c>
      <c r="F983" s="5" t="s">
        <v>64</v>
      </c>
      <c r="G983" s="5" t="s">
        <v>19</v>
      </c>
      <c r="H983" s="5">
        <v>90</v>
      </c>
      <c r="I983" s="5">
        <v>983</v>
      </c>
      <c r="J983" s="5">
        <v>924</v>
      </c>
      <c r="K983" s="6">
        <f t="shared" si="60"/>
        <v>88470</v>
      </c>
      <c r="L983" s="6">
        <f t="shared" si="61"/>
        <v>83160</v>
      </c>
      <c r="M983" s="6">
        <f t="shared" si="62"/>
        <v>-5310</v>
      </c>
      <c r="N983" s="6" t="str">
        <f t="shared" si="63"/>
        <v>loss</v>
      </c>
    </row>
    <row r="984" spans="1:17" ht="15.6" thickTop="1" thickBot="1" x14ac:dyDescent="0.35">
      <c r="A984" s="4">
        <v>45703</v>
      </c>
      <c r="B984" s="4" t="s">
        <v>239</v>
      </c>
      <c r="C984" s="5" t="s">
        <v>377</v>
      </c>
      <c r="D984" s="5" t="s">
        <v>33</v>
      </c>
      <c r="E984" s="5" t="s">
        <v>99</v>
      </c>
      <c r="F984" s="5" t="s">
        <v>64</v>
      </c>
      <c r="G984" s="5" t="s">
        <v>19</v>
      </c>
      <c r="H984" s="5">
        <v>78</v>
      </c>
      <c r="I984" s="5">
        <v>789</v>
      </c>
      <c r="J984" s="5">
        <v>1064</v>
      </c>
      <c r="K984" s="6">
        <f t="shared" si="60"/>
        <v>61542</v>
      </c>
      <c r="L984" s="6">
        <f t="shared" si="61"/>
        <v>82992</v>
      </c>
      <c r="M984" s="6">
        <f t="shared" si="62"/>
        <v>21450</v>
      </c>
      <c r="N984" s="6" t="str">
        <f t="shared" si="63"/>
        <v>profit</v>
      </c>
    </row>
    <row r="985" spans="1:17" ht="15.6" thickTop="1" thickBot="1" x14ac:dyDescent="0.35">
      <c r="A985" s="4">
        <v>45704</v>
      </c>
      <c r="B985" s="4" t="s">
        <v>239</v>
      </c>
      <c r="C985" s="5" t="s">
        <v>378</v>
      </c>
      <c r="D985" s="5" t="s">
        <v>33</v>
      </c>
      <c r="E985" s="5" t="s">
        <v>99</v>
      </c>
      <c r="F985" s="5" t="s">
        <v>60</v>
      </c>
      <c r="G985" s="5" t="s">
        <v>28</v>
      </c>
      <c r="H985" s="5">
        <v>74</v>
      </c>
      <c r="I985" s="5">
        <v>835</v>
      </c>
      <c r="J985" s="5">
        <v>1096</v>
      </c>
      <c r="K985" s="6">
        <f t="shared" si="60"/>
        <v>61790</v>
      </c>
      <c r="L985" s="6">
        <f t="shared" si="61"/>
        <v>81104</v>
      </c>
      <c r="M985" s="6">
        <f t="shared" si="62"/>
        <v>19314</v>
      </c>
      <c r="N985" s="6" t="str">
        <f t="shared" si="63"/>
        <v>profit</v>
      </c>
    </row>
    <row r="986" spans="1:17" ht="15.6" thickTop="1" thickBot="1" x14ac:dyDescent="0.35">
      <c r="A986" s="4">
        <v>45705</v>
      </c>
      <c r="B986" s="4" t="s">
        <v>239</v>
      </c>
      <c r="C986" s="5" t="s">
        <v>379</v>
      </c>
      <c r="D986" s="5" t="s">
        <v>33</v>
      </c>
      <c r="E986" s="5" t="s">
        <v>99</v>
      </c>
      <c r="F986" s="5" t="s">
        <v>39</v>
      </c>
      <c r="G986" s="5" t="s">
        <v>28</v>
      </c>
      <c r="H986" s="5">
        <v>94</v>
      </c>
      <c r="I986" s="5">
        <v>952</v>
      </c>
      <c r="J986" s="5">
        <v>1425</v>
      </c>
      <c r="K986" s="6">
        <f t="shared" si="60"/>
        <v>89488</v>
      </c>
      <c r="L986" s="6">
        <f t="shared" si="61"/>
        <v>133950</v>
      </c>
      <c r="M986" s="6">
        <f t="shared" si="62"/>
        <v>44462</v>
      </c>
      <c r="N986" s="6" t="str">
        <f t="shared" si="63"/>
        <v>profit</v>
      </c>
    </row>
    <row r="987" spans="1:17" ht="15.6" thickTop="1" thickBot="1" x14ac:dyDescent="0.35">
      <c r="A987" s="4">
        <v>45706</v>
      </c>
      <c r="B987" s="4" t="s">
        <v>239</v>
      </c>
      <c r="C987" s="5" t="s">
        <v>380</v>
      </c>
      <c r="D987" s="5" t="s">
        <v>33</v>
      </c>
      <c r="E987" s="5" t="s">
        <v>99</v>
      </c>
      <c r="F987" s="5" t="s">
        <v>30</v>
      </c>
      <c r="G987" s="5" t="s">
        <v>28</v>
      </c>
      <c r="H987" s="5">
        <v>55</v>
      </c>
      <c r="I987" s="5">
        <v>558</v>
      </c>
      <c r="J987" s="5">
        <v>1203</v>
      </c>
      <c r="K987" s="6">
        <f t="shared" si="60"/>
        <v>30690</v>
      </c>
      <c r="L987" s="6">
        <f t="shared" si="61"/>
        <v>66165</v>
      </c>
      <c r="M987" s="6">
        <f t="shared" si="62"/>
        <v>35475</v>
      </c>
      <c r="N987" s="6" t="str">
        <f t="shared" si="63"/>
        <v>profit</v>
      </c>
      <c r="Q987" t="e">
        <f>#REF!/#REF!</f>
        <v>#REF!</v>
      </c>
    </row>
    <row r="988" spans="1:17" ht="15.6" thickTop="1" thickBot="1" x14ac:dyDescent="0.35">
      <c r="A988" s="4">
        <v>45707</v>
      </c>
      <c r="B988" s="4" t="s">
        <v>239</v>
      </c>
      <c r="C988" s="5" t="s">
        <v>381</v>
      </c>
      <c r="D988" s="5" t="s">
        <v>33</v>
      </c>
      <c r="E988" s="5" t="s">
        <v>99</v>
      </c>
      <c r="F988" s="5" t="s">
        <v>113</v>
      </c>
      <c r="G988" s="5" t="s">
        <v>28</v>
      </c>
      <c r="H988" s="5">
        <v>56</v>
      </c>
      <c r="I988" s="5">
        <v>562</v>
      </c>
      <c r="J988" s="5">
        <v>1341</v>
      </c>
      <c r="K988" s="6">
        <f t="shared" si="60"/>
        <v>31472</v>
      </c>
      <c r="L988" s="6">
        <f t="shared" si="61"/>
        <v>75096</v>
      </c>
      <c r="M988" s="6">
        <f t="shared" si="62"/>
        <v>43624</v>
      </c>
      <c r="N988" s="6" t="str">
        <f t="shared" si="63"/>
        <v>profit</v>
      </c>
    </row>
    <row r="989" spans="1:17" ht="15.6" thickTop="1" thickBot="1" x14ac:dyDescent="0.35">
      <c r="A989" s="4">
        <v>45708</v>
      </c>
      <c r="B989" s="4" t="s">
        <v>239</v>
      </c>
      <c r="C989" s="5" t="s">
        <v>382</v>
      </c>
      <c r="D989" s="5" t="s">
        <v>33</v>
      </c>
      <c r="E989" s="5" t="s">
        <v>99</v>
      </c>
      <c r="F989" s="5" t="s">
        <v>44</v>
      </c>
      <c r="G989" s="5" t="s">
        <v>19</v>
      </c>
      <c r="H989" s="5">
        <v>94</v>
      </c>
      <c r="I989" s="5">
        <v>513</v>
      </c>
      <c r="J989" s="5">
        <v>1318</v>
      </c>
      <c r="K989" s="6">
        <f t="shared" si="60"/>
        <v>48222</v>
      </c>
      <c r="L989" s="6">
        <f t="shared" si="61"/>
        <v>123892</v>
      </c>
      <c r="M989" s="6">
        <f t="shared" si="62"/>
        <v>75670</v>
      </c>
      <c r="N989" s="6" t="str">
        <f t="shared" si="63"/>
        <v>profit</v>
      </c>
    </row>
    <row r="990" spans="1:17" ht="15.6" thickTop="1" thickBot="1" x14ac:dyDescent="0.35">
      <c r="A990" s="4">
        <v>45709</v>
      </c>
      <c r="B990" s="4" t="s">
        <v>239</v>
      </c>
      <c r="C990" s="5" t="s">
        <v>254</v>
      </c>
      <c r="D990" s="5" t="s">
        <v>33</v>
      </c>
      <c r="E990" s="5" t="s">
        <v>99</v>
      </c>
      <c r="F990" s="5" t="s">
        <v>153</v>
      </c>
      <c r="G990" s="5" t="s">
        <v>28</v>
      </c>
      <c r="H990" s="5">
        <v>76</v>
      </c>
      <c r="I990" s="5">
        <v>526</v>
      </c>
      <c r="J990" s="5">
        <v>1260</v>
      </c>
      <c r="K990" s="6">
        <f t="shared" si="60"/>
        <v>39976</v>
      </c>
      <c r="L990" s="6">
        <f t="shared" si="61"/>
        <v>95760</v>
      </c>
      <c r="M990" s="6">
        <f t="shared" si="62"/>
        <v>55784</v>
      </c>
      <c r="N990" s="6" t="str">
        <f t="shared" si="63"/>
        <v>profit</v>
      </c>
    </row>
    <row r="991" spans="1:17" ht="15.6" thickTop="1" thickBot="1" x14ac:dyDescent="0.35">
      <c r="A991" s="4">
        <v>45710</v>
      </c>
      <c r="B991" s="4" t="s">
        <v>239</v>
      </c>
      <c r="C991" s="5" t="s">
        <v>383</v>
      </c>
      <c r="D991" s="5" t="s">
        <v>33</v>
      </c>
      <c r="E991" s="5" t="s">
        <v>99</v>
      </c>
      <c r="F991" s="5" t="s">
        <v>155</v>
      </c>
      <c r="G991" s="5" t="s">
        <v>28</v>
      </c>
      <c r="H991" s="5">
        <v>61</v>
      </c>
      <c r="I991" s="5">
        <v>545</v>
      </c>
      <c r="J991" s="5">
        <v>915</v>
      </c>
      <c r="K991" s="6">
        <f t="shared" si="60"/>
        <v>33245</v>
      </c>
      <c r="L991" s="6">
        <f t="shared" si="61"/>
        <v>55815</v>
      </c>
      <c r="M991" s="6">
        <f t="shared" si="62"/>
        <v>22570</v>
      </c>
      <c r="N991" s="6" t="str">
        <f t="shared" si="63"/>
        <v>profit</v>
      </c>
    </row>
    <row r="992" spans="1:17" ht="15.6" thickTop="1" thickBot="1" x14ac:dyDescent="0.35">
      <c r="A992" s="4">
        <v>45711</v>
      </c>
      <c r="B992" s="4" t="s">
        <v>239</v>
      </c>
      <c r="C992" s="5" t="s">
        <v>384</v>
      </c>
      <c r="D992" s="5" t="s">
        <v>33</v>
      </c>
      <c r="E992" s="5" t="s">
        <v>99</v>
      </c>
      <c r="F992" s="5" t="s">
        <v>18</v>
      </c>
      <c r="G992" s="5" t="s">
        <v>28</v>
      </c>
      <c r="H992" s="5">
        <v>99</v>
      </c>
      <c r="I992" s="5">
        <v>943</v>
      </c>
      <c r="J992" s="5">
        <v>823</v>
      </c>
      <c r="K992" s="6">
        <f t="shared" si="60"/>
        <v>93357</v>
      </c>
      <c r="L992" s="6">
        <f t="shared" si="61"/>
        <v>81477</v>
      </c>
      <c r="M992" s="6">
        <f t="shared" si="62"/>
        <v>-11880</v>
      </c>
      <c r="N992" s="6" t="str">
        <f t="shared" si="63"/>
        <v>loss</v>
      </c>
    </row>
    <row r="993" spans="1:14" ht="15.6" thickTop="1" thickBot="1" x14ac:dyDescent="0.35">
      <c r="A993" s="4">
        <v>45712</v>
      </c>
      <c r="B993" s="7" t="s">
        <v>239</v>
      </c>
      <c r="C993" s="8" t="s">
        <v>385</v>
      </c>
      <c r="D993" s="8" t="s">
        <v>33</v>
      </c>
      <c r="E993" s="8" t="s">
        <v>120</v>
      </c>
      <c r="F993" s="8" t="s">
        <v>21</v>
      </c>
      <c r="G993" s="5" t="s">
        <v>28</v>
      </c>
      <c r="H993" s="5">
        <v>84</v>
      </c>
      <c r="I993" s="5">
        <v>738</v>
      </c>
      <c r="J993" s="5">
        <v>1080</v>
      </c>
      <c r="K993" s="6">
        <f t="shared" si="60"/>
        <v>61992</v>
      </c>
      <c r="L993" s="6">
        <f t="shared" si="61"/>
        <v>90720</v>
      </c>
      <c r="M993" s="6">
        <f t="shared" si="62"/>
        <v>28728</v>
      </c>
      <c r="N993" s="6" t="str">
        <f t="shared" si="63"/>
        <v>profit</v>
      </c>
    </row>
    <row r="994" spans="1:14" ht="15" thickTop="1" x14ac:dyDescent="0.3"/>
  </sheetData>
  <pageMargins left="0.7" right="0.7" top="0.75" bottom="0.75" header="0.3" footer="0.3"/>
  <pageSetup scale="49" fitToWidth="15" fitToHeight="1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AEBB-A833-476C-8BC2-16884E8D338B}">
  <sheetPr>
    <tabColor theme="9" tint="-0.249977111117893"/>
  </sheetPr>
  <dimension ref="A4:C14"/>
  <sheetViews>
    <sheetView tabSelected="1" zoomScale="145" zoomScaleNormal="265" workbookViewId="0">
      <selection activeCell="A3" sqref="A3"/>
    </sheetView>
  </sheetViews>
  <sheetFormatPr defaultRowHeight="14.4" x14ac:dyDescent="0.3"/>
  <cols>
    <col min="1" max="1" width="16.77734375" bestFit="1" customWidth="1"/>
    <col min="2" max="2" width="15.21875" bestFit="1" customWidth="1"/>
    <col min="3" max="3" width="14" bestFit="1" customWidth="1"/>
    <col min="4" max="4" width="10.77734375" bestFit="1" customWidth="1"/>
    <col min="5" max="5" width="14" bestFit="1" customWidth="1"/>
    <col min="6" max="6" width="6.88671875" bestFit="1" customWidth="1"/>
    <col min="7" max="7" width="11.33203125" bestFit="1" customWidth="1"/>
    <col min="8" max="8" width="14.33203125" bestFit="1" customWidth="1"/>
    <col min="9" max="9" width="7.88671875" bestFit="1" customWidth="1"/>
    <col min="10" max="10" width="13.21875" bestFit="1" customWidth="1"/>
    <col min="11" max="11" width="10.77734375" bestFit="1" customWidth="1"/>
    <col min="12" max="12" width="8.33203125" bestFit="1" customWidth="1"/>
    <col min="13" max="13" width="9.77734375" bestFit="1" customWidth="1"/>
    <col min="14" max="14" width="13.88671875" bestFit="1" customWidth="1"/>
    <col min="15" max="15" width="6.88671875" bestFit="1" customWidth="1"/>
    <col min="16" max="16" width="8.33203125" bestFit="1" customWidth="1"/>
    <col min="17" max="17" width="12.5546875" bestFit="1" customWidth="1"/>
    <col min="18" max="18" width="10.77734375" bestFit="1" customWidth="1"/>
  </cols>
  <sheetData>
    <row r="4" spans="1:3" x14ac:dyDescent="0.3">
      <c r="A4" s="15" t="s">
        <v>389</v>
      </c>
      <c r="B4" s="15" t="s">
        <v>4</v>
      </c>
      <c r="C4" t="s">
        <v>407</v>
      </c>
    </row>
    <row r="5" spans="1:3" x14ac:dyDescent="0.3">
      <c r="A5" t="s">
        <v>405</v>
      </c>
      <c r="B5" t="s">
        <v>392</v>
      </c>
      <c r="C5">
        <v>381736</v>
      </c>
    </row>
    <row r="6" spans="1:3" x14ac:dyDescent="0.3">
      <c r="B6" t="s">
        <v>118</v>
      </c>
      <c r="C6">
        <v>398150</v>
      </c>
    </row>
    <row r="7" spans="1:3" x14ac:dyDescent="0.3">
      <c r="A7" t="s">
        <v>400</v>
      </c>
      <c r="B7" t="s">
        <v>392</v>
      </c>
      <c r="C7">
        <v>379666</v>
      </c>
    </row>
    <row r="8" spans="1:3" x14ac:dyDescent="0.3">
      <c r="B8" t="s">
        <v>118</v>
      </c>
      <c r="C8">
        <v>253881</v>
      </c>
    </row>
    <row r="9" spans="1:3" x14ac:dyDescent="0.3">
      <c r="A9" t="s">
        <v>71</v>
      </c>
      <c r="B9" t="s">
        <v>392</v>
      </c>
      <c r="C9">
        <v>826668</v>
      </c>
    </row>
    <row r="10" spans="1:3" x14ac:dyDescent="0.3">
      <c r="B10" t="s">
        <v>118</v>
      </c>
      <c r="C10">
        <v>148442</v>
      </c>
    </row>
    <row r="11" spans="1:3" x14ac:dyDescent="0.3">
      <c r="A11" t="s">
        <v>394</v>
      </c>
      <c r="B11" t="s">
        <v>392</v>
      </c>
      <c r="C11">
        <v>183423</v>
      </c>
    </row>
    <row r="12" spans="1:3" x14ac:dyDescent="0.3">
      <c r="B12" t="s">
        <v>118</v>
      </c>
      <c r="C12">
        <v>735220</v>
      </c>
    </row>
    <row r="13" spans="1:3" x14ac:dyDescent="0.3">
      <c r="A13" t="s">
        <v>410</v>
      </c>
      <c r="B13" t="s">
        <v>392</v>
      </c>
      <c r="C13">
        <v>856945</v>
      </c>
    </row>
    <row r="14" spans="1:3" x14ac:dyDescent="0.3">
      <c r="A14" t="s">
        <v>406</v>
      </c>
      <c r="C14">
        <v>4164131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09A2-271B-49DB-BEDF-22625984649F}">
  <dimension ref="A3:C20"/>
  <sheetViews>
    <sheetView workbookViewId="0">
      <selection activeCell="I1" sqref="I1"/>
    </sheetView>
  </sheetViews>
  <sheetFormatPr defaultRowHeight="14.4" x14ac:dyDescent="0.3"/>
  <sheetData>
    <row r="3" spans="1:3" x14ac:dyDescent="0.3">
      <c r="A3" s="28"/>
      <c r="B3" s="29"/>
      <c r="C3" s="30"/>
    </row>
    <row r="4" spans="1:3" x14ac:dyDescent="0.3">
      <c r="A4" s="31"/>
      <c r="B4" s="32"/>
      <c r="C4" s="33"/>
    </row>
    <row r="5" spans="1:3" x14ac:dyDescent="0.3">
      <c r="A5" s="31"/>
      <c r="B5" s="32"/>
      <c r="C5" s="33"/>
    </row>
    <row r="6" spans="1:3" x14ac:dyDescent="0.3">
      <c r="A6" s="31"/>
      <c r="B6" s="32"/>
      <c r="C6" s="33"/>
    </row>
    <row r="7" spans="1:3" x14ac:dyDescent="0.3">
      <c r="A7" s="31"/>
      <c r="B7" s="32"/>
      <c r="C7" s="33"/>
    </row>
    <row r="8" spans="1:3" x14ac:dyDescent="0.3">
      <c r="A8" s="31"/>
      <c r="B8" s="32"/>
      <c r="C8" s="33"/>
    </row>
    <row r="9" spans="1:3" x14ac:dyDescent="0.3">
      <c r="A9" s="31"/>
      <c r="B9" s="32"/>
      <c r="C9" s="33"/>
    </row>
    <row r="10" spans="1:3" x14ac:dyDescent="0.3">
      <c r="A10" s="31"/>
      <c r="B10" s="32"/>
      <c r="C10" s="33"/>
    </row>
    <row r="11" spans="1:3" x14ac:dyDescent="0.3">
      <c r="A11" s="31"/>
      <c r="B11" s="32"/>
      <c r="C11" s="33"/>
    </row>
    <row r="12" spans="1:3" x14ac:dyDescent="0.3">
      <c r="A12" s="31"/>
      <c r="B12" s="32"/>
      <c r="C12" s="33"/>
    </row>
    <row r="13" spans="1:3" x14ac:dyDescent="0.3">
      <c r="A13" s="31"/>
      <c r="B13" s="32"/>
      <c r="C13" s="33"/>
    </row>
    <row r="14" spans="1:3" x14ac:dyDescent="0.3">
      <c r="A14" s="31"/>
      <c r="B14" s="32"/>
      <c r="C14" s="33"/>
    </row>
    <row r="15" spans="1:3" x14ac:dyDescent="0.3">
      <c r="A15" s="31"/>
      <c r="B15" s="32"/>
      <c r="C15" s="33"/>
    </row>
    <row r="16" spans="1:3" x14ac:dyDescent="0.3">
      <c r="A16" s="31"/>
      <c r="B16" s="32"/>
      <c r="C16" s="33"/>
    </row>
    <row r="17" spans="1:3" x14ac:dyDescent="0.3">
      <c r="A17" s="31"/>
      <c r="B17" s="32"/>
      <c r="C17" s="33"/>
    </row>
    <row r="18" spans="1:3" x14ac:dyDescent="0.3">
      <c r="A18" s="31"/>
      <c r="B18" s="32"/>
      <c r="C18" s="33"/>
    </row>
    <row r="19" spans="1:3" x14ac:dyDescent="0.3">
      <c r="A19" s="31"/>
      <c r="B19" s="32"/>
      <c r="C19" s="33"/>
    </row>
    <row r="20" spans="1:3" x14ac:dyDescent="0.3">
      <c r="A20" s="34"/>
      <c r="B20" s="35"/>
      <c r="C20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CD3F-9508-4A10-ACBA-0EB791A10ED5}">
  <sheetPr>
    <tabColor rgb="FFFFFF00"/>
  </sheetPr>
  <dimension ref="D1:H52"/>
  <sheetViews>
    <sheetView topLeftCell="A2" zoomScale="82" zoomScaleNormal="164" workbookViewId="0">
      <selection activeCell="D1" sqref="D1:H52"/>
    </sheetView>
  </sheetViews>
  <sheetFormatPr defaultRowHeight="14.4" x14ac:dyDescent="0.3"/>
  <cols>
    <col min="4" max="4" width="21.21875" style="14" customWidth="1"/>
    <col min="5" max="5" width="18.77734375" style="14" customWidth="1"/>
    <col min="6" max="6" width="10" style="14" customWidth="1"/>
    <col min="7" max="7" width="12.33203125" style="14" customWidth="1"/>
    <col min="8" max="8" width="10.21875" style="14" customWidth="1"/>
  </cols>
  <sheetData>
    <row r="1" spans="4:8" x14ac:dyDescent="0.3">
      <c r="D1" s="25" t="s">
        <v>388</v>
      </c>
      <c r="E1" s="26" t="s">
        <v>4</v>
      </c>
      <c r="F1" s="26" t="s">
        <v>389</v>
      </c>
      <c r="G1" s="26" t="s">
        <v>6</v>
      </c>
      <c r="H1" s="27" t="s">
        <v>390</v>
      </c>
    </row>
    <row r="2" spans="4:8" x14ac:dyDescent="0.3">
      <c r="D2" s="11" t="s">
        <v>391</v>
      </c>
      <c r="E2" s="12" t="s">
        <v>392</v>
      </c>
      <c r="F2" s="12" t="s">
        <v>71</v>
      </c>
      <c r="G2" s="12" t="s">
        <v>19</v>
      </c>
      <c r="H2" s="13">
        <v>122444</v>
      </c>
    </row>
    <row r="3" spans="4:8" x14ac:dyDescent="0.3">
      <c r="D3" s="11" t="s">
        <v>393</v>
      </c>
      <c r="E3" s="12" t="s">
        <v>118</v>
      </c>
      <c r="F3" s="12" t="s">
        <v>394</v>
      </c>
      <c r="G3" s="12" t="s">
        <v>28</v>
      </c>
      <c r="H3" s="13">
        <v>94138</v>
      </c>
    </row>
    <row r="4" spans="4:8" x14ac:dyDescent="0.3">
      <c r="D4" s="11" t="s">
        <v>395</v>
      </c>
      <c r="E4" s="12" t="s">
        <v>392</v>
      </c>
      <c r="F4" s="12" t="s">
        <v>71</v>
      </c>
      <c r="G4" s="12" t="s">
        <v>19</v>
      </c>
      <c r="H4" s="13">
        <v>72679</v>
      </c>
    </row>
    <row r="5" spans="4:8" x14ac:dyDescent="0.3">
      <c r="D5" s="11" t="s">
        <v>396</v>
      </c>
      <c r="E5" s="12" t="s">
        <v>392</v>
      </c>
      <c r="F5" s="12" t="s">
        <v>71</v>
      </c>
      <c r="G5" s="12" t="s">
        <v>19</v>
      </c>
      <c r="H5" s="13">
        <v>130238</v>
      </c>
    </row>
    <row r="6" spans="4:8" x14ac:dyDescent="0.3">
      <c r="D6" s="11" t="s">
        <v>397</v>
      </c>
      <c r="E6" s="12" t="s">
        <v>118</v>
      </c>
      <c r="F6" s="12" t="s">
        <v>394</v>
      </c>
      <c r="G6" s="12" t="s">
        <v>19</v>
      </c>
      <c r="H6" s="13">
        <v>108636</v>
      </c>
    </row>
    <row r="7" spans="4:8" x14ac:dyDescent="0.3">
      <c r="D7" s="11" t="s">
        <v>398</v>
      </c>
      <c r="E7" s="12" t="s">
        <v>399</v>
      </c>
      <c r="F7" s="12" t="s">
        <v>400</v>
      </c>
      <c r="G7" s="12" t="s">
        <v>28</v>
      </c>
      <c r="H7" s="13">
        <v>108005</v>
      </c>
    </row>
    <row r="8" spans="4:8" x14ac:dyDescent="0.3">
      <c r="D8" s="11" t="s">
        <v>401</v>
      </c>
      <c r="E8" s="12" t="s">
        <v>399</v>
      </c>
      <c r="F8" s="12" t="s">
        <v>71</v>
      </c>
      <c r="G8" s="12" t="s">
        <v>28</v>
      </c>
      <c r="H8" s="13">
        <v>141259</v>
      </c>
    </row>
    <row r="9" spans="4:8" x14ac:dyDescent="0.3">
      <c r="D9" s="11" t="s">
        <v>402</v>
      </c>
      <c r="E9" s="12" t="s">
        <v>399</v>
      </c>
      <c r="F9" s="12" t="s">
        <v>71</v>
      </c>
      <c r="G9" s="12" t="s">
        <v>28</v>
      </c>
      <c r="H9" s="13">
        <v>86739</v>
      </c>
    </row>
    <row r="10" spans="4:8" x14ac:dyDescent="0.3">
      <c r="D10" s="11" t="s">
        <v>403</v>
      </c>
      <c r="E10" s="12" t="s">
        <v>392</v>
      </c>
      <c r="F10" s="12" t="s">
        <v>400</v>
      </c>
      <c r="G10" s="12" t="s">
        <v>19</v>
      </c>
      <c r="H10" s="13">
        <v>95170</v>
      </c>
    </row>
    <row r="11" spans="4:8" x14ac:dyDescent="0.3">
      <c r="D11" s="11" t="s">
        <v>404</v>
      </c>
      <c r="E11" s="12" t="s">
        <v>118</v>
      </c>
      <c r="F11" s="12" t="s">
        <v>394</v>
      </c>
      <c r="G11" s="12" t="s">
        <v>28</v>
      </c>
      <c r="H11" s="13">
        <v>50655</v>
      </c>
    </row>
    <row r="12" spans="4:8" x14ac:dyDescent="0.3">
      <c r="D12" s="11" t="s">
        <v>391</v>
      </c>
      <c r="E12" s="12" t="s">
        <v>118</v>
      </c>
      <c r="F12" s="12" t="s">
        <v>394</v>
      </c>
      <c r="G12" s="12" t="s">
        <v>19</v>
      </c>
      <c r="H12" s="13">
        <v>76361</v>
      </c>
    </row>
    <row r="13" spans="4:8" x14ac:dyDescent="0.3">
      <c r="D13" s="11" t="s">
        <v>393</v>
      </c>
      <c r="E13" s="12" t="s">
        <v>118</v>
      </c>
      <c r="F13" s="12" t="s">
        <v>405</v>
      </c>
      <c r="G13" s="12" t="s">
        <v>19</v>
      </c>
      <c r="H13" s="13">
        <v>59986</v>
      </c>
    </row>
    <row r="14" spans="4:8" x14ac:dyDescent="0.3">
      <c r="D14" s="11" t="s">
        <v>395</v>
      </c>
      <c r="E14" s="12" t="s">
        <v>392</v>
      </c>
      <c r="F14" s="12" t="s">
        <v>405</v>
      </c>
      <c r="G14" s="12" t="s">
        <v>28</v>
      </c>
      <c r="H14" s="13">
        <v>96489</v>
      </c>
    </row>
    <row r="15" spans="4:8" x14ac:dyDescent="0.3">
      <c r="D15" s="11" t="s">
        <v>396</v>
      </c>
      <c r="E15" s="12" t="s">
        <v>392</v>
      </c>
      <c r="F15" s="12" t="s">
        <v>405</v>
      </c>
      <c r="G15" s="12" t="s">
        <v>28</v>
      </c>
      <c r="H15" s="13">
        <v>96845</v>
      </c>
    </row>
    <row r="16" spans="4:8" x14ac:dyDescent="0.3">
      <c r="D16" s="11" t="s">
        <v>397</v>
      </c>
      <c r="E16" s="12" t="s">
        <v>399</v>
      </c>
      <c r="F16" s="12" t="s">
        <v>71</v>
      </c>
      <c r="G16" s="12" t="s">
        <v>19</v>
      </c>
      <c r="H16" s="13">
        <v>147430</v>
      </c>
    </row>
    <row r="17" spans="4:8" x14ac:dyDescent="0.3">
      <c r="D17" s="11" t="s">
        <v>398</v>
      </c>
      <c r="E17" s="12" t="s">
        <v>399</v>
      </c>
      <c r="F17" s="12" t="s">
        <v>71</v>
      </c>
      <c r="G17" s="12" t="s">
        <v>19</v>
      </c>
      <c r="H17" s="13">
        <v>116547</v>
      </c>
    </row>
    <row r="18" spans="4:8" x14ac:dyDescent="0.3">
      <c r="D18" s="11" t="s">
        <v>401</v>
      </c>
      <c r="E18" s="12" t="s">
        <v>392</v>
      </c>
      <c r="F18" s="12" t="s">
        <v>394</v>
      </c>
      <c r="G18" s="12" t="s">
        <v>19</v>
      </c>
      <c r="H18" s="13">
        <v>50478</v>
      </c>
    </row>
    <row r="19" spans="4:8" x14ac:dyDescent="0.3">
      <c r="D19" s="11" t="s">
        <v>402</v>
      </c>
      <c r="E19" s="12" t="s">
        <v>118</v>
      </c>
      <c r="F19" s="12" t="s">
        <v>400</v>
      </c>
      <c r="G19" s="12" t="s">
        <v>28</v>
      </c>
      <c r="H19" s="13">
        <v>131028</v>
      </c>
    </row>
    <row r="20" spans="4:8" x14ac:dyDescent="0.3">
      <c r="D20" s="11" t="s">
        <v>403</v>
      </c>
      <c r="E20" s="12" t="s">
        <v>392</v>
      </c>
      <c r="F20" s="12" t="s">
        <v>400</v>
      </c>
      <c r="G20" s="12" t="s">
        <v>28</v>
      </c>
      <c r="H20" s="13">
        <v>136265</v>
      </c>
    </row>
    <row r="21" spans="4:8" x14ac:dyDescent="0.3">
      <c r="D21" s="11" t="s">
        <v>404</v>
      </c>
      <c r="E21" s="12" t="s">
        <v>392</v>
      </c>
      <c r="F21" s="12" t="s">
        <v>71</v>
      </c>
      <c r="G21" s="12" t="s">
        <v>28</v>
      </c>
      <c r="H21" s="13">
        <v>143860</v>
      </c>
    </row>
    <row r="22" spans="4:8" x14ac:dyDescent="0.3">
      <c r="D22" s="11" t="s">
        <v>391</v>
      </c>
      <c r="E22" s="12" t="s">
        <v>118</v>
      </c>
      <c r="F22" s="12" t="s">
        <v>394</v>
      </c>
      <c r="G22" s="12" t="s">
        <v>19</v>
      </c>
      <c r="H22" s="13">
        <v>57757</v>
      </c>
    </row>
    <row r="23" spans="4:8" x14ac:dyDescent="0.3">
      <c r="D23" s="11" t="s">
        <v>393</v>
      </c>
      <c r="E23" s="12" t="s">
        <v>399</v>
      </c>
      <c r="F23" s="12" t="s">
        <v>405</v>
      </c>
      <c r="G23" s="12" t="s">
        <v>19</v>
      </c>
      <c r="H23" s="13">
        <v>122231</v>
      </c>
    </row>
    <row r="24" spans="4:8" x14ac:dyDescent="0.3">
      <c r="D24" s="11" t="s">
        <v>395</v>
      </c>
      <c r="E24" s="12" t="s">
        <v>399</v>
      </c>
      <c r="F24" s="12" t="s">
        <v>405</v>
      </c>
      <c r="G24" s="12" t="s">
        <v>28</v>
      </c>
      <c r="H24" s="13">
        <v>127292</v>
      </c>
    </row>
    <row r="25" spans="4:8" x14ac:dyDescent="0.3">
      <c r="D25" s="11" t="s">
        <v>396</v>
      </c>
      <c r="E25" s="12" t="s">
        <v>399</v>
      </c>
      <c r="F25" s="12" t="s">
        <v>400</v>
      </c>
      <c r="G25" s="12" t="s">
        <v>28</v>
      </c>
      <c r="H25" s="13">
        <v>50194</v>
      </c>
    </row>
    <row r="26" spans="4:8" x14ac:dyDescent="0.3">
      <c r="D26" s="11" t="s">
        <v>397</v>
      </c>
      <c r="E26" s="12" t="s">
        <v>392</v>
      </c>
      <c r="F26" s="12" t="s">
        <v>394</v>
      </c>
      <c r="G26" s="12" t="s">
        <v>19</v>
      </c>
      <c r="H26" s="13">
        <v>76180</v>
      </c>
    </row>
    <row r="27" spans="4:8" x14ac:dyDescent="0.3">
      <c r="D27" s="11" t="s">
        <v>398</v>
      </c>
      <c r="E27" s="12" t="s">
        <v>118</v>
      </c>
      <c r="F27" s="12" t="s">
        <v>394</v>
      </c>
      <c r="G27" s="12" t="s">
        <v>19</v>
      </c>
      <c r="H27" s="13">
        <v>112323</v>
      </c>
    </row>
    <row r="28" spans="4:8" x14ac:dyDescent="0.3">
      <c r="D28" s="11" t="s">
        <v>401</v>
      </c>
      <c r="E28" s="12" t="s">
        <v>118</v>
      </c>
      <c r="F28" s="12" t="s">
        <v>405</v>
      </c>
      <c r="G28" s="12" t="s">
        <v>28</v>
      </c>
      <c r="H28" s="13">
        <v>61988</v>
      </c>
    </row>
    <row r="29" spans="4:8" x14ac:dyDescent="0.3">
      <c r="D29" s="11" t="s">
        <v>402</v>
      </c>
      <c r="E29" s="12" t="s">
        <v>118</v>
      </c>
      <c r="F29" s="12" t="s">
        <v>405</v>
      </c>
      <c r="G29" s="12" t="s">
        <v>28</v>
      </c>
      <c r="H29" s="13">
        <v>142292</v>
      </c>
    </row>
    <row r="30" spans="4:8" x14ac:dyDescent="0.3">
      <c r="D30" s="11" t="s">
        <v>403</v>
      </c>
      <c r="E30" s="12" t="s">
        <v>392</v>
      </c>
      <c r="F30" s="12" t="s">
        <v>71</v>
      </c>
      <c r="G30" s="12" t="s">
        <v>19</v>
      </c>
      <c r="H30" s="13">
        <v>135328</v>
      </c>
    </row>
    <row r="31" spans="4:8" x14ac:dyDescent="0.3">
      <c r="D31" s="11" t="s">
        <v>404</v>
      </c>
      <c r="E31" s="12" t="s">
        <v>392</v>
      </c>
      <c r="F31" s="12" t="s">
        <v>71</v>
      </c>
      <c r="G31" s="12" t="s">
        <v>19</v>
      </c>
      <c r="H31" s="13">
        <v>85819</v>
      </c>
    </row>
    <row r="32" spans="4:8" x14ac:dyDescent="0.3">
      <c r="D32" s="12" t="s">
        <v>409</v>
      </c>
      <c r="E32" s="12" t="s">
        <v>392</v>
      </c>
      <c r="F32" s="12" t="s">
        <v>410</v>
      </c>
      <c r="G32" s="12" t="s">
        <v>19</v>
      </c>
      <c r="H32" s="12">
        <v>856945</v>
      </c>
    </row>
    <row r="33" spans="4:8" x14ac:dyDescent="0.3">
      <c r="D33" s="11" t="s">
        <v>393</v>
      </c>
      <c r="E33" s="12" t="s">
        <v>399</v>
      </c>
      <c r="F33" s="12" t="s">
        <v>71</v>
      </c>
      <c r="G33" s="12" t="s">
        <v>28</v>
      </c>
      <c r="H33" s="13">
        <v>103228</v>
      </c>
    </row>
    <row r="34" spans="4:8" x14ac:dyDescent="0.3">
      <c r="D34" s="11" t="s">
        <v>395</v>
      </c>
      <c r="E34" s="12" t="s">
        <v>392</v>
      </c>
      <c r="F34" s="12" t="s">
        <v>394</v>
      </c>
      <c r="G34" s="12" t="s">
        <v>19</v>
      </c>
      <c r="H34" s="13">
        <v>56765</v>
      </c>
    </row>
    <row r="35" spans="4:8" x14ac:dyDescent="0.3">
      <c r="D35" s="11" t="s">
        <v>396</v>
      </c>
      <c r="E35" s="12" t="s">
        <v>118</v>
      </c>
      <c r="F35" s="12" t="s">
        <v>400</v>
      </c>
      <c r="G35" s="12" t="s">
        <v>19</v>
      </c>
      <c r="H35" s="13">
        <v>122853</v>
      </c>
    </row>
    <row r="36" spans="4:8" x14ac:dyDescent="0.3">
      <c r="D36" s="11" t="s">
        <v>397</v>
      </c>
      <c r="E36" s="12" t="s">
        <v>392</v>
      </c>
      <c r="F36" s="12" t="s">
        <v>400</v>
      </c>
      <c r="G36" s="12" t="s">
        <v>28</v>
      </c>
      <c r="H36" s="13">
        <v>59918</v>
      </c>
    </row>
    <row r="37" spans="4:8" x14ac:dyDescent="0.3">
      <c r="D37" s="11" t="s">
        <v>398</v>
      </c>
      <c r="E37" s="12" t="s">
        <v>392</v>
      </c>
      <c r="F37" s="12" t="s">
        <v>71</v>
      </c>
      <c r="G37" s="12" t="s">
        <v>28</v>
      </c>
      <c r="H37" s="13">
        <v>59303</v>
      </c>
    </row>
    <row r="38" spans="4:8" x14ac:dyDescent="0.3">
      <c r="D38" s="11" t="s">
        <v>401</v>
      </c>
      <c r="E38" s="12" t="s">
        <v>118</v>
      </c>
      <c r="F38" s="12" t="s">
        <v>394</v>
      </c>
      <c r="G38" s="12" t="s">
        <v>19</v>
      </c>
      <c r="H38" s="13">
        <v>105850</v>
      </c>
    </row>
    <row r="39" spans="4:8" x14ac:dyDescent="0.3">
      <c r="D39" s="11" t="s">
        <v>402</v>
      </c>
      <c r="E39" s="12" t="s">
        <v>399</v>
      </c>
      <c r="F39" s="12" t="s">
        <v>405</v>
      </c>
      <c r="G39" s="12" t="s">
        <v>28</v>
      </c>
      <c r="H39" s="13">
        <v>146177</v>
      </c>
    </row>
    <row r="40" spans="4:8" x14ac:dyDescent="0.3">
      <c r="D40" s="11" t="s">
        <v>403</v>
      </c>
      <c r="E40" s="12" t="s">
        <v>399</v>
      </c>
      <c r="F40" s="12" t="s">
        <v>400</v>
      </c>
      <c r="G40" s="12" t="s">
        <v>19</v>
      </c>
      <c r="H40" s="13">
        <v>56078</v>
      </c>
    </row>
    <row r="41" spans="4:8" x14ac:dyDescent="0.3">
      <c r="D41" s="11" t="s">
        <v>404</v>
      </c>
      <c r="E41" s="12" t="s">
        <v>399</v>
      </c>
      <c r="F41" s="12" t="s">
        <v>400</v>
      </c>
      <c r="G41" s="12" t="s">
        <v>28</v>
      </c>
      <c r="H41" s="13">
        <v>109136</v>
      </c>
    </row>
    <row r="42" spans="4:8" x14ac:dyDescent="0.3">
      <c r="D42" s="11" t="s">
        <v>391</v>
      </c>
      <c r="E42" s="12" t="s">
        <v>392</v>
      </c>
      <c r="F42" s="12" t="s">
        <v>71</v>
      </c>
      <c r="G42" s="12" t="s">
        <v>28</v>
      </c>
      <c r="H42" s="13">
        <v>76997</v>
      </c>
    </row>
    <row r="43" spans="4:8" x14ac:dyDescent="0.3">
      <c r="D43" s="11" t="s">
        <v>393</v>
      </c>
      <c r="E43" s="12" t="s">
        <v>118</v>
      </c>
      <c r="F43" s="12" t="s">
        <v>71</v>
      </c>
      <c r="G43" s="12" t="s">
        <v>28</v>
      </c>
      <c r="H43" s="13">
        <v>148442</v>
      </c>
    </row>
    <row r="44" spans="4:8" x14ac:dyDescent="0.3">
      <c r="D44" s="11" t="s">
        <v>395</v>
      </c>
      <c r="E44" s="12" t="s">
        <v>118</v>
      </c>
      <c r="F44" s="12" t="s">
        <v>394</v>
      </c>
      <c r="G44" s="12" t="s">
        <v>28</v>
      </c>
      <c r="H44" s="13">
        <v>129500</v>
      </c>
    </row>
    <row r="45" spans="4:8" x14ac:dyDescent="0.3">
      <c r="D45" s="11" t="s">
        <v>396</v>
      </c>
      <c r="E45" s="12" t="s">
        <v>118</v>
      </c>
      <c r="F45" s="12" t="s">
        <v>405</v>
      </c>
      <c r="G45" s="12" t="s">
        <v>19</v>
      </c>
      <c r="H45" s="13">
        <v>133884</v>
      </c>
    </row>
    <row r="46" spans="4:8" x14ac:dyDescent="0.3">
      <c r="D46" s="11" t="s">
        <v>397</v>
      </c>
      <c r="E46" s="12" t="s">
        <v>392</v>
      </c>
      <c r="F46" s="12" t="s">
        <v>405</v>
      </c>
      <c r="G46" s="12" t="s">
        <v>19</v>
      </c>
      <c r="H46" s="13">
        <v>106065</v>
      </c>
    </row>
    <row r="47" spans="4:8" x14ac:dyDescent="0.3">
      <c r="D47" s="11" t="s">
        <v>398</v>
      </c>
      <c r="E47" s="12" t="s">
        <v>392</v>
      </c>
      <c r="F47" s="12" t="s">
        <v>405</v>
      </c>
      <c r="G47" s="12" t="s">
        <v>19</v>
      </c>
      <c r="H47" s="13">
        <v>82337</v>
      </c>
    </row>
    <row r="48" spans="4:8" x14ac:dyDescent="0.3">
      <c r="D48" s="11" t="s">
        <v>401</v>
      </c>
      <c r="E48" s="12" t="s">
        <v>399</v>
      </c>
      <c r="F48" s="12" t="s">
        <v>394</v>
      </c>
      <c r="G48" s="12" t="s">
        <v>28</v>
      </c>
      <c r="H48" s="13">
        <v>73197</v>
      </c>
    </row>
    <row r="49" spans="4:8" x14ac:dyDescent="0.3">
      <c r="D49" s="11" t="s">
        <v>402</v>
      </c>
      <c r="E49" s="12" t="s">
        <v>399</v>
      </c>
      <c r="F49" s="12" t="s">
        <v>71</v>
      </c>
      <c r="G49" s="12" t="s">
        <v>28</v>
      </c>
      <c r="H49" s="13">
        <v>119829</v>
      </c>
    </row>
    <row r="50" spans="4:8" x14ac:dyDescent="0.3">
      <c r="D50" s="11" t="s">
        <v>403</v>
      </c>
      <c r="E50" s="12" t="s">
        <v>399</v>
      </c>
      <c r="F50" s="12" t="s">
        <v>71</v>
      </c>
      <c r="G50" s="12" t="s">
        <v>28</v>
      </c>
      <c r="H50" s="13">
        <v>92926</v>
      </c>
    </row>
    <row r="51" spans="4:8" x14ac:dyDescent="0.3">
      <c r="D51" s="16" t="s">
        <v>404</v>
      </c>
      <c r="E51" s="17" t="s">
        <v>392</v>
      </c>
      <c r="F51" s="17" t="s">
        <v>400</v>
      </c>
      <c r="G51" s="17" t="s">
        <v>19</v>
      </c>
      <c r="H51" s="18">
        <v>88313</v>
      </c>
    </row>
    <row r="52" spans="4:8" x14ac:dyDescent="0.3">
      <c r="D52" s="14" t="s">
        <v>411</v>
      </c>
      <c r="E52" s="14" t="s">
        <v>118</v>
      </c>
      <c r="F52" s="14" t="s">
        <v>410</v>
      </c>
      <c r="G52" s="14" t="s">
        <v>28</v>
      </c>
      <c r="H52" s="14">
        <v>459868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0DD0-168E-40A2-A61A-92F2D6866CF2}">
  <dimension ref="A1"/>
  <sheetViews>
    <sheetView topLeftCell="J1"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0E70-95EC-4D82-B0FF-EB2E62EFF7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1B48-FB19-4C74-882C-E4A48387C9ED}">
  <sheetPr>
    <tabColor rgb="FFFFC000"/>
  </sheetPr>
  <dimension ref="E12"/>
  <sheetViews>
    <sheetView showGridLines="0" topLeftCell="A67" zoomScale="133" zoomScaleNormal="133" workbookViewId="0">
      <selection activeCell="M77" sqref="M77"/>
    </sheetView>
  </sheetViews>
  <sheetFormatPr defaultRowHeight="14.4" x14ac:dyDescent="0.3"/>
  <sheetData>
    <row r="12" spans="5:5" x14ac:dyDescent="0.3">
      <c r="E12" t="s">
        <v>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Main Pivot</vt:lpstr>
      <vt:lpstr>Detail1</vt:lpstr>
      <vt:lpstr>Main pivot Final</vt:lpstr>
      <vt:lpstr>Main Data</vt:lpstr>
      <vt:lpstr>Pivot</vt:lpstr>
      <vt:lpstr>Sheet3</vt:lpstr>
      <vt:lpstr>Main Short Data</vt:lpstr>
      <vt:lpstr>Sheet1</vt:lpstr>
      <vt:lpstr>Sheet2</vt:lpstr>
      <vt:lpstr>Theory</vt:lpstr>
      <vt:lpstr>'Main pivot Final'!Print_Titles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singhal</dc:creator>
  <cp:lastModifiedBy>Md faiz</cp:lastModifiedBy>
  <cp:lastPrinted>2025-04-04T07:03:45Z</cp:lastPrinted>
  <dcterms:created xsi:type="dcterms:W3CDTF">2025-03-27T16:47:31Z</dcterms:created>
  <dcterms:modified xsi:type="dcterms:W3CDTF">2025-10-21T19:21:12Z</dcterms:modified>
</cp:coreProperties>
</file>