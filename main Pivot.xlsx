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le part2\"/>
    </mc:Choice>
  </mc:AlternateContent>
  <xr:revisionPtr revIDLastSave="0" documentId="13_ncr:1_{D6376406-FF0D-44A8-B311-60C697DBF3E5}" xr6:coauthVersionLast="47" xr6:coauthVersionMax="47" xr10:uidLastSave="{00000000-0000-0000-0000-000000000000}"/>
  <bookViews>
    <workbookView xWindow="-96" yWindow="0" windowWidth="11712" windowHeight="12336" activeTab="1" xr2:uid="{BA364ADD-DF02-4AB3-A708-910BDCC55DFE}"/>
  </bookViews>
  <sheets>
    <sheet name="Pivot" sheetId="3" r:id="rId1"/>
    <sheet name="Main pivot" sheetId="5" r:id="rId2"/>
    <sheet name="main data" sheetId="4" r:id="rId3"/>
    <sheet name="main shot data" sheetId="1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93" i="4" l="1"/>
  <c r="N993" i="4" s="1"/>
  <c r="L993" i="4"/>
  <c r="K993" i="4"/>
  <c r="M992" i="4"/>
  <c r="N992" i="4" s="1"/>
  <c r="L992" i="4"/>
  <c r="K992" i="4"/>
  <c r="N991" i="4"/>
  <c r="M991" i="4"/>
  <c r="L991" i="4"/>
  <c r="K991" i="4"/>
  <c r="M990" i="4"/>
  <c r="N990" i="4" s="1"/>
  <c r="L990" i="4"/>
  <c r="K990" i="4"/>
  <c r="N989" i="4"/>
  <c r="M989" i="4"/>
  <c r="L989" i="4"/>
  <c r="K989" i="4"/>
  <c r="M988" i="4"/>
  <c r="N988" i="4" s="1"/>
  <c r="L988" i="4"/>
  <c r="K988" i="4"/>
  <c r="N987" i="4"/>
  <c r="M987" i="4"/>
  <c r="L987" i="4"/>
  <c r="K987" i="4"/>
  <c r="M986" i="4"/>
  <c r="N986" i="4" s="1"/>
  <c r="L986" i="4"/>
  <c r="K986" i="4"/>
  <c r="N985" i="4"/>
  <c r="M985" i="4"/>
  <c r="L985" i="4"/>
  <c r="K985" i="4"/>
  <c r="M984" i="4"/>
  <c r="N984" i="4" s="1"/>
  <c r="L984" i="4"/>
  <c r="K984" i="4"/>
  <c r="N983" i="4"/>
  <c r="M983" i="4"/>
  <c r="L983" i="4"/>
  <c r="K983" i="4"/>
  <c r="M982" i="4"/>
  <c r="N982" i="4" s="1"/>
  <c r="L982" i="4"/>
  <c r="K982" i="4"/>
  <c r="N981" i="4"/>
  <c r="M981" i="4"/>
  <c r="L981" i="4"/>
  <c r="K981" i="4"/>
  <c r="M980" i="4"/>
  <c r="N980" i="4" s="1"/>
  <c r="L980" i="4"/>
  <c r="K980" i="4"/>
  <c r="N979" i="4"/>
  <c r="M979" i="4"/>
  <c r="L979" i="4"/>
  <c r="K979" i="4"/>
  <c r="M978" i="4"/>
  <c r="N978" i="4" s="1"/>
  <c r="L978" i="4"/>
  <c r="K978" i="4"/>
  <c r="N977" i="4"/>
  <c r="M977" i="4"/>
  <c r="L977" i="4"/>
  <c r="K977" i="4"/>
  <c r="M976" i="4"/>
  <c r="N976" i="4" s="1"/>
  <c r="L976" i="4"/>
  <c r="K976" i="4"/>
  <c r="N975" i="4"/>
  <c r="M975" i="4"/>
  <c r="L975" i="4"/>
  <c r="K975" i="4"/>
  <c r="M974" i="4"/>
  <c r="N974" i="4" s="1"/>
  <c r="L974" i="4"/>
  <c r="K974" i="4"/>
  <c r="N973" i="4"/>
  <c r="M973" i="4"/>
  <c r="L973" i="4"/>
  <c r="K973" i="4"/>
  <c r="M972" i="4"/>
  <c r="N972" i="4" s="1"/>
  <c r="L972" i="4"/>
  <c r="K972" i="4"/>
  <c r="N971" i="4"/>
  <c r="M971" i="4"/>
  <c r="L971" i="4"/>
  <c r="K971" i="4"/>
  <c r="M970" i="4"/>
  <c r="N970" i="4" s="1"/>
  <c r="L970" i="4"/>
  <c r="K970" i="4"/>
  <c r="N969" i="4"/>
  <c r="M969" i="4"/>
  <c r="L969" i="4"/>
  <c r="K969" i="4"/>
  <c r="M968" i="4"/>
  <c r="N968" i="4" s="1"/>
  <c r="L968" i="4"/>
  <c r="K968" i="4"/>
  <c r="N967" i="4"/>
  <c r="M967" i="4"/>
  <c r="L967" i="4"/>
  <c r="K967" i="4"/>
  <c r="M966" i="4"/>
  <c r="N966" i="4" s="1"/>
  <c r="L966" i="4"/>
  <c r="K966" i="4"/>
  <c r="N965" i="4"/>
  <c r="M965" i="4"/>
  <c r="L965" i="4"/>
  <c r="K965" i="4"/>
  <c r="M964" i="4"/>
  <c r="N964" i="4" s="1"/>
  <c r="L964" i="4"/>
  <c r="K964" i="4"/>
  <c r="N963" i="4"/>
  <c r="M963" i="4"/>
  <c r="L963" i="4"/>
  <c r="K963" i="4"/>
  <c r="M962" i="4"/>
  <c r="N962" i="4" s="1"/>
  <c r="L962" i="4"/>
  <c r="K962" i="4"/>
  <c r="N961" i="4"/>
  <c r="M961" i="4"/>
  <c r="L961" i="4"/>
  <c r="K961" i="4"/>
  <c r="M960" i="4"/>
  <c r="N960" i="4" s="1"/>
  <c r="L960" i="4"/>
  <c r="K960" i="4"/>
  <c r="N959" i="4"/>
  <c r="M959" i="4"/>
  <c r="L959" i="4"/>
  <c r="K959" i="4"/>
  <c r="M958" i="4"/>
  <c r="N958" i="4" s="1"/>
  <c r="L958" i="4"/>
  <c r="K958" i="4"/>
  <c r="N957" i="4"/>
  <c r="M957" i="4"/>
  <c r="L957" i="4"/>
  <c r="K957" i="4"/>
  <c r="M956" i="4"/>
  <c r="N956" i="4" s="1"/>
  <c r="L956" i="4"/>
  <c r="K956" i="4"/>
  <c r="N955" i="4"/>
  <c r="M955" i="4"/>
  <c r="L955" i="4"/>
  <c r="K955" i="4"/>
  <c r="M954" i="4"/>
  <c r="N954" i="4" s="1"/>
  <c r="L954" i="4"/>
  <c r="K954" i="4"/>
  <c r="N953" i="4"/>
  <c r="M953" i="4"/>
  <c r="L953" i="4"/>
  <c r="K953" i="4"/>
  <c r="M952" i="4"/>
  <c r="N952" i="4" s="1"/>
  <c r="L952" i="4"/>
  <c r="K952" i="4"/>
  <c r="N951" i="4"/>
  <c r="M951" i="4"/>
  <c r="L951" i="4"/>
  <c r="K951" i="4"/>
  <c r="M950" i="4"/>
  <c r="N950" i="4" s="1"/>
  <c r="L950" i="4"/>
  <c r="K950" i="4"/>
  <c r="N949" i="4"/>
  <c r="M949" i="4"/>
  <c r="L949" i="4"/>
  <c r="K949" i="4"/>
  <c r="M948" i="4"/>
  <c r="N948" i="4" s="1"/>
  <c r="L948" i="4"/>
  <c r="K948" i="4"/>
  <c r="N947" i="4"/>
  <c r="M947" i="4"/>
  <c r="L947" i="4"/>
  <c r="K947" i="4"/>
  <c r="M946" i="4"/>
  <c r="N946" i="4" s="1"/>
  <c r="L946" i="4"/>
  <c r="K946" i="4"/>
  <c r="N945" i="4"/>
  <c r="M945" i="4"/>
  <c r="L945" i="4"/>
  <c r="K945" i="4"/>
  <c r="M944" i="4"/>
  <c r="N944" i="4" s="1"/>
  <c r="L944" i="4"/>
  <c r="K944" i="4"/>
  <c r="N943" i="4"/>
  <c r="M943" i="4"/>
  <c r="L943" i="4"/>
  <c r="K943" i="4"/>
  <c r="M942" i="4"/>
  <c r="N942" i="4" s="1"/>
  <c r="L942" i="4"/>
  <c r="K942" i="4"/>
  <c r="N941" i="4"/>
  <c r="M941" i="4"/>
  <c r="L941" i="4"/>
  <c r="K941" i="4"/>
  <c r="M940" i="4"/>
  <c r="N940" i="4" s="1"/>
  <c r="L940" i="4"/>
  <c r="K940" i="4"/>
  <c r="N939" i="4"/>
  <c r="M939" i="4"/>
  <c r="L939" i="4"/>
  <c r="K939" i="4"/>
  <c r="M938" i="4"/>
  <c r="N938" i="4" s="1"/>
  <c r="L938" i="4"/>
  <c r="K938" i="4"/>
  <c r="N937" i="4"/>
  <c r="M937" i="4"/>
  <c r="L937" i="4"/>
  <c r="K937" i="4"/>
  <c r="M936" i="4"/>
  <c r="N936" i="4" s="1"/>
  <c r="L936" i="4"/>
  <c r="K936" i="4"/>
  <c r="N935" i="4"/>
  <c r="M935" i="4"/>
  <c r="L935" i="4"/>
  <c r="K935" i="4"/>
  <c r="M934" i="4"/>
  <c r="N934" i="4" s="1"/>
  <c r="L934" i="4"/>
  <c r="K934" i="4"/>
  <c r="N933" i="4"/>
  <c r="M933" i="4"/>
  <c r="L933" i="4"/>
  <c r="K933" i="4"/>
  <c r="M932" i="4"/>
  <c r="N932" i="4" s="1"/>
  <c r="L932" i="4"/>
  <c r="K932" i="4"/>
  <c r="N931" i="4"/>
  <c r="M931" i="4"/>
  <c r="L931" i="4"/>
  <c r="K931" i="4"/>
  <c r="M930" i="4"/>
  <c r="N930" i="4" s="1"/>
  <c r="L930" i="4"/>
  <c r="K930" i="4"/>
  <c r="N929" i="4"/>
  <c r="M929" i="4"/>
  <c r="L929" i="4"/>
  <c r="K929" i="4"/>
  <c r="M928" i="4"/>
  <c r="N928" i="4" s="1"/>
  <c r="L928" i="4"/>
  <c r="K928" i="4"/>
  <c r="N927" i="4"/>
  <c r="M927" i="4"/>
  <c r="L927" i="4"/>
  <c r="K927" i="4"/>
  <c r="M926" i="4"/>
  <c r="N926" i="4" s="1"/>
  <c r="L926" i="4"/>
  <c r="K926" i="4"/>
  <c r="N925" i="4"/>
  <c r="M925" i="4"/>
  <c r="L925" i="4"/>
  <c r="K925" i="4"/>
  <c r="M924" i="4"/>
  <c r="N924" i="4" s="1"/>
  <c r="L924" i="4"/>
  <c r="K924" i="4"/>
  <c r="N923" i="4"/>
  <c r="M923" i="4"/>
  <c r="L923" i="4"/>
  <c r="K923" i="4"/>
  <c r="M922" i="4"/>
  <c r="N922" i="4" s="1"/>
  <c r="L922" i="4"/>
  <c r="K922" i="4"/>
  <c r="N921" i="4"/>
  <c r="M921" i="4"/>
  <c r="L921" i="4"/>
  <c r="K921" i="4"/>
  <c r="M920" i="4"/>
  <c r="N920" i="4" s="1"/>
  <c r="L920" i="4"/>
  <c r="K920" i="4"/>
  <c r="N919" i="4"/>
  <c r="M919" i="4"/>
  <c r="L919" i="4"/>
  <c r="K919" i="4"/>
  <c r="M918" i="4"/>
  <c r="N918" i="4" s="1"/>
  <c r="L918" i="4"/>
  <c r="K918" i="4"/>
  <c r="N917" i="4"/>
  <c r="M917" i="4"/>
  <c r="L917" i="4"/>
  <c r="K917" i="4"/>
  <c r="M916" i="4"/>
  <c r="N916" i="4" s="1"/>
  <c r="L916" i="4"/>
  <c r="K916" i="4"/>
  <c r="N915" i="4"/>
  <c r="M915" i="4"/>
  <c r="L915" i="4"/>
  <c r="K915" i="4"/>
  <c r="M914" i="4"/>
  <c r="N914" i="4" s="1"/>
  <c r="L914" i="4"/>
  <c r="K914" i="4"/>
  <c r="N913" i="4"/>
  <c r="M913" i="4"/>
  <c r="L913" i="4"/>
  <c r="K913" i="4"/>
  <c r="M912" i="4"/>
  <c r="N912" i="4" s="1"/>
  <c r="L912" i="4"/>
  <c r="K912" i="4"/>
  <c r="N911" i="4"/>
  <c r="M911" i="4"/>
  <c r="L911" i="4"/>
  <c r="K911" i="4"/>
  <c r="M910" i="4"/>
  <c r="N910" i="4" s="1"/>
  <c r="L910" i="4"/>
  <c r="K910" i="4"/>
  <c r="N909" i="4"/>
  <c r="M909" i="4"/>
  <c r="L909" i="4"/>
  <c r="K909" i="4"/>
  <c r="M908" i="4"/>
  <c r="N908" i="4" s="1"/>
  <c r="L908" i="4"/>
  <c r="K908" i="4"/>
  <c r="N907" i="4"/>
  <c r="M907" i="4"/>
  <c r="L907" i="4"/>
  <c r="K907" i="4"/>
  <c r="M906" i="4"/>
  <c r="N906" i="4" s="1"/>
  <c r="L906" i="4"/>
  <c r="K906" i="4"/>
  <c r="N905" i="4"/>
  <c r="M905" i="4"/>
  <c r="L905" i="4"/>
  <c r="K905" i="4"/>
  <c r="M904" i="4"/>
  <c r="N904" i="4" s="1"/>
  <c r="L904" i="4"/>
  <c r="K904" i="4"/>
  <c r="N903" i="4"/>
  <c r="M903" i="4"/>
  <c r="L903" i="4"/>
  <c r="K903" i="4"/>
  <c r="M902" i="4"/>
  <c r="N902" i="4" s="1"/>
  <c r="L902" i="4"/>
  <c r="K902" i="4"/>
  <c r="N901" i="4"/>
  <c r="M901" i="4"/>
  <c r="L901" i="4"/>
  <c r="K901" i="4"/>
  <c r="M900" i="4"/>
  <c r="N900" i="4" s="1"/>
  <c r="L900" i="4"/>
  <c r="K900" i="4"/>
  <c r="N899" i="4"/>
  <c r="M899" i="4"/>
  <c r="L899" i="4"/>
  <c r="K899" i="4"/>
  <c r="M898" i="4"/>
  <c r="N898" i="4" s="1"/>
  <c r="L898" i="4"/>
  <c r="K898" i="4"/>
  <c r="N897" i="4"/>
  <c r="M897" i="4"/>
  <c r="L897" i="4"/>
  <c r="K897" i="4"/>
  <c r="M896" i="4"/>
  <c r="N896" i="4" s="1"/>
  <c r="L896" i="4"/>
  <c r="K896" i="4"/>
  <c r="N895" i="4"/>
  <c r="M895" i="4"/>
  <c r="L895" i="4"/>
  <c r="K895" i="4"/>
  <c r="M894" i="4"/>
  <c r="N894" i="4" s="1"/>
  <c r="L894" i="4"/>
  <c r="K894" i="4"/>
  <c r="N893" i="4"/>
  <c r="M893" i="4"/>
  <c r="L893" i="4"/>
  <c r="K893" i="4"/>
  <c r="M892" i="4"/>
  <c r="N892" i="4" s="1"/>
  <c r="L892" i="4"/>
  <c r="K892" i="4"/>
  <c r="N891" i="4"/>
  <c r="M891" i="4"/>
  <c r="L891" i="4"/>
  <c r="K891" i="4"/>
  <c r="M890" i="4"/>
  <c r="N890" i="4" s="1"/>
  <c r="L890" i="4"/>
  <c r="K890" i="4"/>
  <c r="N889" i="4"/>
  <c r="M889" i="4"/>
  <c r="L889" i="4"/>
  <c r="K889" i="4"/>
  <c r="M888" i="4"/>
  <c r="N888" i="4" s="1"/>
  <c r="L888" i="4"/>
  <c r="K888" i="4"/>
  <c r="N887" i="4"/>
  <c r="M887" i="4"/>
  <c r="L887" i="4"/>
  <c r="K887" i="4"/>
  <c r="M886" i="4"/>
  <c r="N886" i="4" s="1"/>
  <c r="L886" i="4"/>
  <c r="K886" i="4"/>
  <c r="N885" i="4"/>
  <c r="M885" i="4"/>
  <c r="L885" i="4"/>
  <c r="K885" i="4"/>
  <c r="M884" i="4"/>
  <c r="N884" i="4" s="1"/>
  <c r="L884" i="4"/>
  <c r="K884" i="4"/>
  <c r="N883" i="4"/>
  <c r="M883" i="4"/>
  <c r="L883" i="4"/>
  <c r="K883" i="4"/>
  <c r="M882" i="4"/>
  <c r="N882" i="4" s="1"/>
  <c r="L882" i="4"/>
  <c r="K882" i="4"/>
  <c r="N881" i="4"/>
  <c r="M881" i="4"/>
  <c r="L881" i="4"/>
  <c r="K881" i="4"/>
  <c r="M880" i="4"/>
  <c r="N880" i="4" s="1"/>
  <c r="L880" i="4"/>
  <c r="K880" i="4"/>
  <c r="N879" i="4"/>
  <c r="M879" i="4"/>
  <c r="L879" i="4"/>
  <c r="K879" i="4"/>
  <c r="M878" i="4"/>
  <c r="N878" i="4" s="1"/>
  <c r="L878" i="4"/>
  <c r="K878" i="4"/>
  <c r="N877" i="4"/>
  <c r="M877" i="4"/>
  <c r="L877" i="4"/>
  <c r="K877" i="4"/>
  <c r="M876" i="4"/>
  <c r="N876" i="4" s="1"/>
  <c r="L876" i="4"/>
  <c r="K876" i="4"/>
  <c r="N875" i="4"/>
  <c r="M875" i="4"/>
  <c r="L875" i="4"/>
  <c r="K875" i="4"/>
  <c r="M874" i="4"/>
  <c r="N874" i="4" s="1"/>
  <c r="L874" i="4"/>
  <c r="K874" i="4"/>
  <c r="N873" i="4"/>
  <c r="M873" i="4"/>
  <c r="L873" i="4"/>
  <c r="K873" i="4"/>
  <c r="M872" i="4"/>
  <c r="N872" i="4" s="1"/>
  <c r="L872" i="4"/>
  <c r="K872" i="4"/>
  <c r="N871" i="4"/>
  <c r="M871" i="4"/>
  <c r="L871" i="4"/>
  <c r="K871" i="4"/>
  <c r="M870" i="4"/>
  <c r="N870" i="4" s="1"/>
  <c r="L870" i="4"/>
  <c r="K870" i="4"/>
  <c r="N869" i="4"/>
  <c r="M869" i="4"/>
  <c r="L869" i="4"/>
  <c r="K869" i="4"/>
  <c r="M868" i="4"/>
  <c r="N868" i="4" s="1"/>
  <c r="L868" i="4"/>
  <c r="K868" i="4"/>
  <c r="N867" i="4"/>
  <c r="M867" i="4"/>
  <c r="L867" i="4"/>
  <c r="K867" i="4"/>
  <c r="M866" i="4"/>
  <c r="N866" i="4" s="1"/>
  <c r="L866" i="4"/>
  <c r="K866" i="4"/>
  <c r="N865" i="4"/>
  <c r="M865" i="4"/>
  <c r="L865" i="4"/>
  <c r="K865" i="4"/>
  <c r="M864" i="4"/>
  <c r="N864" i="4" s="1"/>
  <c r="L864" i="4"/>
  <c r="K864" i="4"/>
  <c r="N863" i="4"/>
  <c r="M863" i="4"/>
  <c r="L863" i="4"/>
  <c r="K863" i="4"/>
  <c r="M862" i="4"/>
  <c r="N862" i="4" s="1"/>
  <c r="L862" i="4"/>
  <c r="K862" i="4"/>
  <c r="N861" i="4"/>
  <c r="M861" i="4"/>
  <c r="L861" i="4"/>
  <c r="K861" i="4"/>
  <c r="M860" i="4"/>
  <c r="N860" i="4" s="1"/>
  <c r="L860" i="4"/>
  <c r="K860" i="4"/>
  <c r="N859" i="4"/>
  <c r="M859" i="4"/>
  <c r="L859" i="4"/>
  <c r="K859" i="4"/>
  <c r="M858" i="4"/>
  <c r="N858" i="4" s="1"/>
  <c r="L858" i="4"/>
  <c r="K858" i="4"/>
  <c r="N857" i="4"/>
  <c r="M857" i="4"/>
  <c r="L857" i="4"/>
  <c r="K857" i="4"/>
  <c r="M856" i="4"/>
  <c r="N856" i="4" s="1"/>
  <c r="L856" i="4"/>
  <c r="K856" i="4"/>
  <c r="N855" i="4"/>
  <c r="M855" i="4"/>
  <c r="L855" i="4"/>
  <c r="K855" i="4"/>
  <c r="M854" i="4"/>
  <c r="N854" i="4" s="1"/>
  <c r="L854" i="4"/>
  <c r="K854" i="4"/>
  <c r="N853" i="4"/>
  <c r="M853" i="4"/>
  <c r="L853" i="4"/>
  <c r="K853" i="4"/>
  <c r="M852" i="4"/>
  <c r="N852" i="4" s="1"/>
  <c r="L852" i="4"/>
  <c r="K852" i="4"/>
  <c r="N851" i="4"/>
  <c r="M851" i="4"/>
  <c r="L851" i="4"/>
  <c r="K851" i="4"/>
  <c r="M850" i="4"/>
  <c r="N850" i="4" s="1"/>
  <c r="L850" i="4"/>
  <c r="K850" i="4"/>
  <c r="N849" i="4"/>
  <c r="M849" i="4"/>
  <c r="L849" i="4"/>
  <c r="K849" i="4"/>
  <c r="M848" i="4"/>
  <c r="N848" i="4" s="1"/>
  <c r="L848" i="4"/>
  <c r="K848" i="4"/>
  <c r="N847" i="4"/>
  <c r="M847" i="4"/>
  <c r="L847" i="4"/>
  <c r="K847" i="4"/>
  <c r="M846" i="4"/>
  <c r="N846" i="4" s="1"/>
  <c r="L846" i="4"/>
  <c r="K846" i="4"/>
  <c r="N845" i="4"/>
  <c r="M845" i="4"/>
  <c r="L845" i="4"/>
  <c r="K845" i="4"/>
  <c r="M844" i="4"/>
  <c r="N844" i="4" s="1"/>
  <c r="L844" i="4"/>
  <c r="K844" i="4"/>
  <c r="M843" i="4"/>
  <c r="N843" i="4" s="1"/>
  <c r="L843" i="4"/>
  <c r="K843" i="4"/>
  <c r="M842" i="4"/>
  <c r="N842" i="4" s="1"/>
  <c r="L842" i="4"/>
  <c r="K842" i="4"/>
  <c r="M841" i="4"/>
  <c r="N841" i="4" s="1"/>
  <c r="L841" i="4"/>
  <c r="K841" i="4"/>
  <c r="M840" i="4"/>
  <c r="N840" i="4" s="1"/>
  <c r="L840" i="4"/>
  <c r="K840" i="4"/>
  <c r="N839" i="4"/>
  <c r="M839" i="4"/>
  <c r="L839" i="4"/>
  <c r="K839" i="4"/>
  <c r="M838" i="4"/>
  <c r="N838" i="4" s="1"/>
  <c r="L838" i="4"/>
  <c r="K838" i="4"/>
  <c r="M837" i="4"/>
  <c r="N837" i="4" s="1"/>
  <c r="L837" i="4"/>
  <c r="K837" i="4"/>
  <c r="M836" i="4"/>
  <c r="N836" i="4" s="1"/>
  <c r="L836" i="4"/>
  <c r="K836" i="4"/>
  <c r="M835" i="4"/>
  <c r="N835" i="4" s="1"/>
  <c r="L835" i="4"/>
  <c r="K835" i="4"/>
  <c r="M834" i="4"/>
  <c r="N834" i="4" s="1"/>
  <c r="L834" i="4"/>
  <c r="K834" i="4"/>
  <c r="N833" i="4"/>
  <c r="M833" i="4"/>
  <c r="L833" i="4"/>
  <c r="K833" i="4"/>
  <c r="M832" i="4"/>
  <c r="N832" i="4" s="1"/>
  <c r="L832" i="4"/>
  <c r="K832" i="4"/>
  <c r="M831" i="4"/>
  <c r="N831" i="4" s="1"/>
  <c r="L831" i="4"/>
  <c r="K831" i="4"/>
  <c r="M830" i="4"/>
  <c r="N830" i="4" s="1"/>
  <c r="L830" i="4"/>
  <c r="K830" i="4"/>
  <c r="M829" i="4"/>
  <c r="N829" i="4" s="1"/>
  <c r="L829" i="4"/>
  <c r="K829" i="4"/>
  <c r="M828" i="4"/>
  <c r="N828" i="4" s="1"/>
  <c r="L828" i="4"/>
  <c r="K828" i="4"/>
  <c r="M827" i="4"/>
  <c r="N827" i="4" s="1"/>
  <c r="L827" i="4"/>
  <c r="K827" i="4"/>
  <c r="M826" i="4"/>
  <c r="N826" i="4" s="1"/>
  <c r="L826" i="4"/>
  <c r="K826" i="4"/>
  <c r="M825" i="4"/>
  <c r="N825" i="4" s="1"/>
  <c r="L825" i="4"/>
  <c r="K825" i="4"/>
  <c r="M824" i="4"/>
  <c r="N824" i="4" s="1"/>
  <c r="L824" i="4"/>
  <c r="K824" i="4"/>
  <c r="N823" i="4"/>
  <c r="M823" i="4"/>
  <c r="L823" i="4"/>
  <c r="K823" i="4"/>
  <c r="M822" i="4"/>
  <c r="N822" i="4" s="1"/>
  <c r="L822" i="4"/>
  <c r="K822" i="4"/>
  <c r="N821" i="4"/>
  <c r="M821" i="4"/>
  <c r="L821" i="4"/>
  <c r="K821" i="4"/>
  <c r="M820" i="4"/>
  <c r="N820" i="4" s="1"/>
  <c r="L820" i="4"/>
  <c r="K820" i="4"/>
  <c r="N819" i="4"/>
  <c r="M819" i="4"/>
  <c r="L819" i="4"/>
  <c r="K819" i="4"/>
  <c r="M818" i="4"/>
  <c r="N818" i="4" s="1"/>
  <c r="L818" i="4"/>
  <c r="K818" i="4"/>
  <c r="N817" i="4"/>
  <c r="M817" i="4"/>
  <c r="L817" i="4"/>
  <c r="K817" i="4"/>
  <c r="M816" i="4"/>
  <c r="N816" i="4" s="1"/>
  <c r="L816" i="4"/>
  <c r="K816" i="4"/>
  <c r="N815" i="4"/>
  <c r="M815" i="4"/>
  <c r="L815" i="4"/>
  <c r="K815" i="4"/>
  <c r="M814" i="4"/>
  <c r="N814" i="4" s="1"/>
  <c r="L814" i="4"/>
  <c r="K814" i="4"/>
  <c r="N813" i="4"/>
  <c r="M813" i="4"/>
  <c r="L813" i="4"/>
  <c r="K813" i="4"/>
  <c r="M812" i="4"/>
  <c r="N812" i="4" s="1"/>
  <c r="L812" i="4"/>
  <c r="K812" i="4"/>
  <c r="N811" i="4"/>
  <c r="M811" i="4"/>
  <c r="L811" i="4"/>
  <c r="K811" i="4"/>
  <c r="M810" i="4"/>
  <c r="N810" i="4" s="1"/>
  <c r="L810" i="4"/>
  <c r="K810" i="4"/>
  <c r="N809" i="4"/>
  <c r="M809" i="4"/>
  <c r="L809" i="4"/>
  <c r="K809" i="4"/>
  <c r="M808" i="4"/>
  <c r="N808" i="4" s="1"/>
  <c r="L808" i="4"/>
  <c r="K808" i="4"/>
  <c r="N807" i="4"/>
  <c r="M807" i="4"/>
  <c r="L807" i="4"/>
  <c r="K807" i="4"/>
  <c r="M806" i="4"/>
  <c r="N806" i="4" s="1"/>
  <c r="L806" i="4"/>
  <c r="K806" i="4"/>
  <c r="N805" i="4"/>
  <c r="M805" i="4"/>
  <c r="L805" i="4"/>
  <c r="K805" i="4"/>
  <c r="M804" i="4"/>
  <c r="N804" i="4" s="1"/>
  <c r="L804" i="4"/>
  <c r="K804" i="4"/>
  <c r="N803" i="4"/>
  <c r="M803" i="4"/>
  <c r="L803" i="4"/>
  <c r="K803" i="4"/>
  <c r="M802" i="4"/>
  <c r="N802" i="4" s="1"/>
  <c r="L802" i="4"/>
  <c r="K802" i="4"/>
  <c r="N801" i="4"/>
  <c r="M801" i="4"/>
  <c r="L801" i="4"/>
  <c r="K801" i="4"/>
  <c r="M800" i="4"/>
  <c r="N800" i="4" s="1"/>
  <c r="L800" i="4"/>
  <c r="K800" i="4"/>
  <c r="N799" i="4"/>
  <c r="M799" i="4"/>
  <c r="L799" i="4"/>
  <c r="K799" i="4"/>
  <c r="M798" i="4"/>
  <c r="N798" i="4" s="1"/>
  <c r="L798" i="4"/>
  <c r="K798" i="4"/>
  <c r="N797" i="4"/>
  <c r="M797" i="4"/>
  <c r="L797" i="4"/>
  <c r="K797" i="4"/>
  <c r="M796" i="4"/>
  <c r="N796" i="4" s="1"/>
  <c r="L796" i="4"/>
  <c r="K796" i="4"/>
  <c r="N795" i="4"/>
  <c r="M795" i="4"/>
  <c r="L795" i="4"/>
  <c r="K795" i="4"/>
  <c r="M794" i="4"/>
  <c r="N794" i="4" s="1"/>
  <c r="L794" i="4"/>
  <c r="K794" i="4"/>
  <c r="N793" i="4"/>
  <c r="M793" i="4"/>
  <c r="L793" i="4"/>
  <c r="K793" i="4"/>
  <c r="M792" i="4"/>
  <c r="N792" i="4" s="1"/>
  <c r="L792" i="4"/>
  <c r="K792" i="4"/>
  <c r="N791" i="4"/>
  <c r="M791" i="4"/>
  <c r="L791" i="4"/>
  <c r="K791" i="4"/>
  <c r="M790" i="4"/>
  <c r="N790" i="4" s="1"/>
  <c r="L790" i="4"/>
  <c r="K790" i="4"/>
  <c r="N789" i="4"/>
  <c r="M789" i="4"/>
  <c r="L789" i="4"/>
  <c r="K789" i="4"/>
  <c r="M788" i="4"/>
  <c r="N788" i="4" s="1"/>
  <c r="L788" i="4"/>
  <c r="K788" i="4"/>
  <c r="N787" i="4"/>
  <c r="M787" i="4"/>
  <c r="L787" i="4"/>
  <c r="K787" i="4"/>
  <c r="M786" i="4"/>
  <c r="N786" i="4" s="1"/>
  <c r="L786" i="4"/>
  <c r="K786" i="4"/>
  <c r="N785" i="4"/>
  <c r="M785" i="4"/>
  <c r="L785" i="4"/>
  <c r="K785" i="4"/>
  <c r="M784" i="4"/>
  <c r="N784" i="4" s="1"/>
  <c r="L784" i="4"/>
  <c r="K784" i="4"/>
  <c r="N783" i="4"/>
  <c r="M783" i="4"/>
  <c r="L783" i="4"/>
  <c r="K783" i="4"/>
  <c r="M782" i="4"/>
  <c r="N782" i="4" s="1"/>
  <c r="L782" i="4"/>
  <c r="K782" i="4"/>
  <c r="N781" i="4"/>
  <c r="M781" i="4"/>
  <c r="L781" i="4"/>
  <c r="K781" i="4"/>
  <c r="M780" i="4"/>
  <c r="N780" i="4" s="1"/>
  <c r="L780" i="4"/>
  <c r="K780" i="4"/>
  <c r="N779" i="4"/>
  <c r="M779" i="4"/>
  <c r="L779" i="4"/>
  <c r="K779" i="4"/>
  <c r="M778" i="4"/>
  <c r="N778" i="4" s="1"/>
  <c r="L778" i="4"/>
  <c r="K778" i="4"/>
  <c r="N777" i="4"/>
  <c r="M777" i="4"/>
  <c r="L777" i="4"/>
  <c r="K777" i="4"/>
  <c r="M776" i="4"/>
  <c r="N776" i="4" s="1"/>
  <c r="L776" i="4"/>
  <c r="K776" i="4"/>
  <c r="N775" i="4"/>
  <c r="M775" i="4"/>
  <c r="L775" i="4"/>
  <c r="K775" i="4"/>
  <c r="M774" i="4"/>
  <c r="N774" i="4" s="1"/>
  <c r="L774" i="4"/>
  <c r="K774" i="4"/>
  <c r="N773" i="4"/>
  <c r="M773" i="4"/>
  <c r="L773" i="4"/>
  <c r="K773" i="4"/>
  <c r="M772" i="4"/>
  <c r="N772" i="4" s="1"/>
  <c r="L772" i="4"/>
  <c r="K772" i="4"/>
  <c r="N771" i="4"/>
  <c r="M771" i="4"/>
  <c r="L771" i="4"/>
  <c r="K771" i="4"/>
  <c r="M770" i="4"/>
  <c r="N770" i="4" s="1"/>
  <c r="L770" i="4"/>
  <c r="K770" i="4"/>
  <c r="N769" i="4"/>
  <c r="M769" i="4"/>
  <c r="L769" i="4"/>
  <c r="K769" i="4"/>
  <c r="M768" i="4"/>
  <c r="N768" i="4" s="1"/>
  <c r="L768" i="4"/>
  <c r="K768" i="4"/>
  <c r="N767" i="4"/>
  <c r="M767" i="4"/>
  <c r="L767" i="4"/>
  <c r="K767" i="4"/>
  <c r="M766" i="4"/>
  <c r="N766" i="4" s="1"/>
  <c r="L766" i="4"/>
  <c r="K766" i="4"/>
  <c r="N765" i="4"/>
  <c r="M765" i="4"/>
  <c r="L765" i="4"/>
  <c r="K765" i="4"/>
  <c r="M764" i="4"/>
  <c r="N764" i="4" s="1"/>
  <c r="L764" i="4"/>
  <c r="K764" i="4"/>
  <c r="N763" i="4"/>
  <c r="M763" i="4"/>
  <c r="L763" i="4"/>
  <c r="K763" i="4"/>
  <c r="M762" i="4"/>
  <c r="N762" i="4" s="1"/>
  <c r="L762" i="4"/>
  <c r="K762" i="4"/>
  <c r="N761" i="4"/>
  <c r="M761" i="4"/>
  <c r="L761" i="4"/>
  <c r="K761" i="4"/>
  <c r="M760" i="4"/>
  <c r="N760" i="4" s="1"/>
  <c r="L760" i="4"/>
  <c r="K760" i="4"/>
  <c r="N759" i="4"/>
  <c r="M759" i="4"/>
  <c r="L759" i="4"/>
  <c r="K759" i="4"/>
  <c r="M758" i="4"/>
  <c r="N758" i="4" s="1"/>
  <c r="L758" i="4"/>
  <c r="K758" i="4"/>
  <c r="N757" i="4"/>
  <c r="M757" i="4"/>
  <c r="L757" i="4"/>
  <c r="K757" i="4"/>
  <c r="M756" i="4"/>
  <c r="N756" i="4" s="1"/>
  <c r="L756" i="4"/>
  <c r="K756" i="4"/>
  <c r="N755" i="4"/>
  <c r="M755" i="4"/>
  <c r="L755" i="4"/>
  <c r="K755" i="4"/>
  <c r="M754" i="4"/>
  <c r="N754" i="4" s="1"/>
  <c r="L754" i="4"/>
  <c r="K754" i="4"/>
  <c r="N753" i="4"/>
  <c r="M753" i="4"/>
  <c r="L753" i="4"/>
  <c r="K753" i="4"/>
  <c r="M752" i="4"/>
  <c r="N752" i="4" s="1"/>
  <c r="L752" i="4"/>
  <c r="K752" i="4"/>
  <c r="N751" i="4"/>
  <c r="M751" i="4"/>
  <c r="L751" i="4"/>
  <c r="K751" i="4"/>
  <c r="M750" i="4"/>
  <c r="N750" i="4" s="1"/>
  <c r="L750" i="4"/>
  <c r="K750" i="4"/>
  <c r="N749" i="4"/>
  <c r="M749" i="4"/>
  <c r="L749" i="4"/>
  <c r="K749" i="4"/>
  <c r="M748" i="4"/>
  <c r="N748" i="4" s="1"/>
  <c r="L748" i="4"/>
  <c r="K748" i="4"/>
  <c r="N747" i="4"/>
  <c r="M747" i="4"/>
  <c r="L747" i="4"/>
  <c r="K747" i="4"/>
  <c r="M746" i="4"/>
  <c r="N746" i="4" s="1"/>
  <c r="L746" i="4"/>
  <c r="K746" i="4"/>
  <c r="N745" i="4"/>
  <c r="M745" i="4"/>
  <c r="L745" i="4"/>
  <c r="K745" i="4"/>
  <c r="M744" i="4"/>
  <c r="N744" i="4" s="1"/>
  <c r="L744" i="4"/>
  <c r="K744" i="4"/>
  <c r="N743" i="4"/>
  <c r="M743" i="4"/>
  <c r="L743" i="4"/>
  <c r="K743" i="4"/>
  <c r="M742" i="4"/>
  <c r="N742" i="4" s="1"/>
  <c r="L742" i="4"/>
  <c r="K742" i="4"/>
  <c r="N741" i="4"/>
  <c r="M741" i="4"/>
  <c r="L741" i="4"/>
  <c r="K741" i="4"/>
  <c r="M740" i="4"/>
  <c r="N740" i="4" s="1"/>
  <c r="L740" i="4"/>
  <c r="K740" i="4"/>
  <c r="N739" i="4"/>
  <c r="M739" i="4"/>
  <c r="L739" i="4"/>
  <c r="K739" i="4"/>
  <c r="M738" i="4"/>
  <c r="N738" i="4" s="1"/>
  <c r="L738" i="4"/>
  <c r="K738" i="4"/>
  <c r="N737" i="4"/>
  <c r="M737" i="4"/>
  <c r="L737" i="4"/>
  <c r="K737" i="4"/>
  <c r="M736" i="4"/>
  <c r="N736" i="4" s="1"/>
  <c r="L736" i="4"/>
  <c r="K736" i="4"/>
  <c r="N735" i="4"/>
  <c r="M735" i="4"/>
  <c r="L735" i="4"/>
  <c r="K735" i="4"/>
  <c r="M734" i="4"/>
  <c r="N734" i="4" s="1"/>
  <c r="L734" i="4"/>
  <c r="K734" i="4"/>
  <c r="N733" i="4"/>
  <c r="M733" i="4"/>
  <c r="L733" i="4"/>
  <c r="K733" i="4"/>
  <c r="M732" i="4"/>
  <c r="N732" i="4" s="1"/>
  <c r="L732" i="4"/>
  <c r="K732" i="4"/>
  <c r="N731" i="4"/>
  <c r="M731" i="4"/>
  <c r="L731" i="4"/>
  <c r="K731" i="4"/>
  <c r="M730" i="4"/>
  <c r="N730" i="4" s="1"/>
  <c r="L730" i="4"/>
  <c r="K730" i="4"/>
  <c r="N729" i="4"/>
  <c r="M729" i="4"/>
  <c r="L729" i="4"/>
  <c r="K729" i="4"/>
  <c r="M728" i="4"/>
  <c r="N728" i="4" s="1"/>
  <c r="L728" i="4"/>
  <c r="K728" i="4"/>
  <c r="N727" i="4"/>
  <c r="M727" i="4"/>
  <c r="L727" i="4"/>
  <c r="K727" i="4"/>
  <c r="M726" i="4"/>
  <c r="N726" i="4" s="1"/>
  <c r="L726" i="4"/>
  <c r="K726" i="4"/>
  <c r="N725" i="4"/>
  <c r="M725" i="4"/>
  <c r="L725" i="4"/>
  <c r="K725" i="4"/>
  <c r="M724" i="4"/>
  <c r="N724" i="4" s="1"/>
  <c r="L724" i="4"/>
  <c r="K724" i="4"/>
  <c r="N723" i="4"/>
  <c r="M723" i="4"/>
  <c r="L723" i="4"/>
  <c r="K723" i="4"/>
  <c r="M722" i="4"/>
  <c r="N722" i="4" s="1"/>
  <c r="L722" i="4"/>
  <c r="K722" i="4"/>
  <c r="N721" i="4"/>
  <c r="M721" i="4"/>
  <c r="L721" i="4"/>
  <c r="K721" i="4"/>
  <c r="M720" i="4"/>
  <c r="N720" i="4" s="1"/>
  <c r="L720" i="4"/>
  <c r="K720" i="4"/>
  <c r="N719" i="4"/>
  <c r="M719" i="4"/>
  <c r="L719" i="4"/>
  <c r="K719" i="4"/>
  <c r="M718" i="4"/>
  <c r="N718" i="4" s="1"/>
  <c r="L718" i="4"/>
  <c r="K718" i="4"/>
  <c r="N717" i="4"/>
  <c r="M717" i="4"/>
  <c r="L717" i="4"/>
  <c r="K717" i="4"/>
  <c r="M716" i="4"/>
  <c r="N716" i="4" s="1"/>
  <c r="L716" i="4"/>
  <c r="K716" i="4"/>
  <c r="N715" i="4"/>
  <c r="M715" i="4"/>
  <c r="L715" i="4"/>
  <c r="K715" i="4"/>
  <c r="M714" i="4"/>
  <c r="N714" i="4" s="1"/>
  <c r="L714" i="4"/>
  <c r="K714" i="4"/>
  <c r="N713" i="4"/>
  <c r="M713" i="4"/>
  <c r="L713" i="4"/>
  <c r="K713" i="4"/>
  <c r="M712" i="4"/>
  <c r="N712" i="4" s="1"/>
  <c r="L712" i="4"/>
  <c r="K712" i="4"/>
  <c r="N711" i="4"/>
  <c r="M711" i="4"/>
  <c r="L711" i="4"/>
  <c r="K711" i="4"/>
  <c r="M710" i="4"/>
  <c r="N710" i="4" s="1"/>
  <c r="L710" i="4"/>
  <c r="K710" i="4"/>
  <c r="N709" i="4"/>
  <c r="M709" i="4"/>
  <c r="L709" i="4"/>
  <c r="K709" i="4"/>
  <c r="M708" i="4"/>
  <c r="N708" i="4" s="1"/>
  <c r="L708" i="4"/>
  <c r="K708" i="4"/>
  <c r="N707" i="4"/>
  <c r="M707" i="4"/>
  <c r="L707" i="4"/>
  <c r="K707" i="4"/>
  <c r="M706" i="4"/>
  <c r="N706" i="4" s="1"/>
  <c r="L706" i="4"/>
  <c r="K706" i="4"/>
  <c r="N705" i="4"/>
  <c r="M705" i="4"/>
  <c r="L705" i="4"/>
  <c r="K705" i="4"/>
  <c r="M704" i="4"/>
  <c r="N704" i="4" s="1"/>
  <c r="L704" i="4"/>
  <c r="K704" i="4"/>
  <c r="N703" i="4"/>
  <c r="M703" i="4"/>
  <c r="L703" i="4"/>
  <c r="K703" i="4"/>
  <c r="M702" i="4"/>
  <c r="N702" i="4" s="1"/>
  <c r="L702" i="4"/>
  <c r="K702" i="4"/>
  <c r="N701" i="4"/>
  <c r="M701" i="4"/>
  <c r="L701" i="4"/>
  <c r="K701" i="4"/>
  <c r="M700" i="4"/>
  <c r="N700" i="4" s="1"/>
  <c r="L700" i="4"/>
  <c r="K700" i="4"/>
  <c r="N699" i="4"/>
  <c r="M699" i="4"/>
  <c r="L699" i="4"/>
  <c r="K699" i="4"/>
  <c r="M698" i="4"/>
  <c r="N698" i="4" s="1"/>
  <c r="L698" i="4"/>
  <c r="K698" i="4"/>
  <c r="N697" i="4"/>
  <c r="M697" i="4"/>
  <c r="L697" i="4"/>
  <c r="K697" i="4"/>
  <c r="M696" i="4"/>
  <c r="N696" i="4" s="1"/>
  <c r="L696" i="4"/>
  <c r="K696" i="4"/>
  <c r="N695" i="4"/>
  <c r="M695" i="4"/>
  <c r="L695" i="4"/>
  <c r="K695" i="4"/>
  <c r="M694" i="4"/>
  <c r="N694" i="4" s="1"/>
  <c r="L694" i="4"/>
  <c r="K694" i="4"/>
  <c r="N693" i="4"/>
  <c r="M693" i="4"/>
  <c r="L693" i="4"/>
  <c r="K693" i="4"/>
  <c r="M692" i="4"/>
  <c r="N692" i="4" s="1"/>
  <c r="L692" i="4"/>
  <c r="K692" i="4"/>
  <c r="N691" i="4"/>
  <c r="M691" i="4"/>
  <c r="L691" i="4"/>
  <c r="K691" i="4"/>
  <c r="M690" i="4"/>
  <c r="N690" i="4" s="1"/>
  <c r="L690" i="4"/>
  <c r="K690" i="4"/>
  <c r="N689" i="4"/>
  <c r="M689" i="4"/>
  <c r="L689" i="4"/>
  <c r="K689" i="4"/>
  <c r="M688" i="4"/>
  <c r="N688" i="4" s="1"/>
  <c r="L688" i="4"/>
  <c r="K688" i="4"/>
  <c r="N687" i="4"/>
  <c r="M687" i="4"/>
  <c r="L687" i="4"/>
  <c r="K687" i="4"/>
  <c r="M686" i="4"/>
  <c r="N686" i="4" s="1"/>
  <c r="L686" i="4"/>
  <c r="K686" i="4"/>
  <c r="N685" i="4"/>
  <c r="M685" i="4"/>
  <c r="L685" i="4"/>
  <c r="K685" i="4"/>
  <c r="M684" i="4"/>
  <c r="N684" i="4" s="1"/>
  <c r="L684" i="4"/>
  <c r="K684" i="4"/>
  <c r="N683" i="4"/>
  <c r="M683" i="4"/>
  <c r="L683" i="4"/>
  <c r="K683" i="4"/>
  <c r="M682" i="4"/>
  <c r="N682" i="4" s="1"/>
  <c r="L682" i="4"/>
  <c r="K682" i="4"/>
  <c r="N681" i="4"/>
  <c r="M681" i="4"/>
  <c r="L681" i="4"/>
  <c r="K681" i="4"/>
  <c r="M680" i="4"/>
  <c r="N680" i="4" s="1"/>
  <c r="L680" i="4"/>
  <c r="K680" i="4"/>
  <c r="N679" i="4"/>
  <c r="M679" i="4"/>
  <c r="L679" i="4"/>
  <c r="K679" i="4"/>
  <c r="M678" i="4"/>
  <c r="N678" i="4" s="1"/>
  <c r="L678" i="4"/>
  <c r="K678" i="4"/>
  <c r="N677" i="4"/>
  <c r="M677" i="4"/>
  <c r="L677" i="4"/>
  <c r="K677" i="4"/>
  <c r="M676" i="4"/>
  <c r="N676" i="4" s="1"/>
  <c r="L676" i="4"/>
  <c r="K676" i="4"/>
  <c r="N675" i="4"/>
  <c r="M675" i="4"/>
  <c r="L675" i="4"/>
  <c r="K675" i="4"/>
  <c r="M674" i="4"/>
  <c r="N674" i="4" s="1"/>
  <c r="L674" i="4"/>
  <c r="K674" i="4"/>
  <c r="N673" i="4"/>
  <c r="M673" i="4"/>
  <c r="L673" i="4"/>
  <c r="K673" i="4"/>
  <c r="M672" i="4"/>
  <c r="N672" i="4" s="1"/>
  <c r="L672" i="4"/>
  <c r="K672" i="4"/>
  <c r="N671" i="4"/>
  <c r="M671" i="4"/>
  <c r="L671" i="4"/>
  <c r="K671" i="4"/>
  <c r="M670" i="4"/>
  <c r="N670" i="4" s="1"/>
  <c r="L670" i="4"/>
  <c r="K670" i="4"/>
  <c r="N669" i="4"/>
  <c r="M669" i="4"/>
  <c r="L669" i="4"/>
  <c r="K669" i="4"/>
  <c r="M668" i="4"/>
  <c r="N668" i="4" s="1"/>
  <c r="L668" i="4"/>
  <c r="K668" i="4"/>
  <c r="N667" i="4"/>
  <c r="M667" i="4"/>
  <c r="L667" i="4"/>
  <c r="K667" i="4"/>
  <c r="M666" i="4"/>
  <c r="N666" i="4" s="1"/>
  <c r="L666" i="4"/>
  <c r="K666" i="4"/>
  <c r="N665" i="4"/>
  <c r="M665" i="4"/>
  <c r="L665" i="4"/>
  <c r="K665" i="4"/>
  <c r="M664" i="4"/>
  <c r="N664" i="4" s="1"/>
  <c r="L664" i="4"/>
  <c r="K664" i="4"/>
  <c r="N663" i="4"/>
  <c r="M663" i="4"/>
  <c r="L663" i="4"/>
  <c r="K663" i="4"/>
  <c r="M662" i="4"/>
  <c r="N662" i="4" s="1"/>
  <c r="L662" i="4"/>
  <c r="K662" i="4"/>
  <c r="N661" i="4"/>
  <c r="M661" i="4"/>
  <c r="L661" i="4"/>
  <c r="K661" i="4"/>
  <c r="N660" i="4"/>
  <c r="M660" i="4"/>
  <c r="L660" i="4"/>
  <c r="K660" i="4"/>
  <c r="N659" i="4"/>
  <c r="M659" i="4"/>
  <c r="L659" i="4"/>
  <c r="K659" i="4"/>
  <c r="N658" i="4"/>
  <c r="M658" i="4"/>
  <c r="L658" i="4"/>
  <c r="K658" i="4"/>
  <c r="N657" i="4"/>
  <c r="M657" i="4"/>
  <c r="L657" i="4"/>
  <c r="K657" i="4"/>
  <c r="N656" i="4"/>
  <c r="M656" i="4"/>
  <c r="L656" i="4"/>
  <c r="K656" i="4"/>
  <c r="N655" i="4"/>
  <c r="M655" i="4"/>
  <c r="L655" i="4"/>
  <c r="K655" i="4"/>
  <c r="N654" i="4"/>
  <c r="M654" i="4"/>
  <c r="L654" i="4"/>
  <c r="K654" i="4"/>
  <c r="N653" i="4"/>
  <c r="M653" i="4"/>
  <c r="L653" i="4"/>
  <c r="K653" i="4"/>
  <c r="N652" i="4"/>
  <c r="M652" i="4"/>
  <c r="L652" i="4"/>
  <c r="K652" i="4"/>
  <c r="N651" i="4"/>
  <c r="M651" i="4"/>
  <c r="L651" i="4"/>
  <c r="K651" i="4"/>
  <c r="N650" i="4"/>
  <c r="M650" i="4"/>
  <c r="L650" i="4"/>
  <c r="K650" i="4"/>
  <c r="N649" i="4"/>
  <c r="M649" i="4"/>
  <c r="L649" i="4"/>
  <c r="K649" i="4"/>
  <c r="N648" i="4"/>
  <c r="M648" i="4"/>
  <c r="L648" i="4"/>
  <c r="K648" i="4"/>
  <c r="N647" i="4"/>
  <c r="M647" i="4"/>
  <c r="L647" i="4"/>
  <c r="K647" i="4"/>
  <c r="N646" i="4"/>
  <c r="M646" i="4"/>
  <c r="L646" i="4"/>
  <c r="K646" i="4"/>
  <c r="N645" i="4"/>
  <c r="M645" i="4"/>
  <c r="L645" i="4"/>
  <c r="K645" i="4"/>
  <c r="N644" i="4"/>
  <c r="M644" i="4"/>
  <c r="L644" i="4"/>
  <c r="K644" i="4"/>
  <c r="N643" i="4"/>
  <c r="M643" i="4"/>
  <c r="L643" i="4"/>
  <c r="K643" i="4"/>
  <c r="N642" i="4"/>
  <c r="M642" i="4"/>
  <c r="L642" i="4"/>
  <c r="K642" i="4"/>
  <c r="N641" i="4"/>
  <c r="M641" i="4"/>
  <c r="L641" i="4"/>
  <c r="K641" i="4"/>
  <c r="N640" i="4"/>
  <c r="M640" i="4"/>
  <c r="L640" i="4"/>
  <c r="K640" i="4"/>
  <c r="N639" i="4"/>
  <c r="M639" i="4"/>
  <c r="L639" i="4"/>
  <c r="K639" i="4"/>
  <c r="N638" i="4"/>
  <c r="M638" i="4"/>
  <c r="L638" i="4"/>
  <c r="K638" i="4"/>
  <c r="N637" i="4"/>
  <c r="M637" i="4"/>
  <c r="L637" i="4"/>
  <c r="K637" i="4"/>
  <c r="N636" i="4"/>
  <c r="M636" i="4"/>
  <c r="L636" i="4"/>
  <c r="K636" i="4"/>
  <c r="N635" i="4"/>
  <c r="M635" i="4"/>
  <c r="L635" i="4"/>
  <c r="K635" i="4"/>
  <c r="N634" i="4"/>
  <c r="M634" i="4"/>
  <c r="L634" i="4"/>
  <c r="K634" i="4"/>
  <c r="N633" i="4"/>
  <c r="M633" i="4"/>
  <c r="L633" i="4"/>
  <c r="K633" i="4"/>
  <c r="N632" i="4"/>
  <c r="M632" i="4"/>
  <c r="L632" i="4"/>
  <c r="K632" i="4"/>
  <c r="N631" i="4"/>
  <c r="M631" i="4"/>
  <c r="L631" i="4"/>
  <c r="K631" i="4"/>
  <c r="N630" i="4"/>
  <c r="M630" i="4"/>
  <c r="L630" i="4"/>
  <c r="K630" i="4"/>
  <c r="N629" i="4"/>
  <c r="M629" i="4"/>
  <c r="L629" i="4"/>
  <c r="K629" i="4"/>
  <c r="N628" i="4"/>
  <c r="M628" i="4"/>
  <c r="L628" i="4"/>
  <c r="K628" i="4"/>
  <c r="N627" i="4"/>
  <c r="M627" i="4"/>
  <c r="L627" i="4"/>
  <c r="K627" i="4"/>
  <c r="N626" i="4"/>
  <c r="M626" i="4"/>
  <c r="L626" i="4"/>
  <c r="K626" i="4"/>
  <c r="N625" i="4"/>
  <c r="M625" i="4"/>
  <c r="L625" i="4"/>
  <c r="K625" i="4"/>
  <c r="N624" i="4"/>
  <c r="M624" i="4"/>
  <c r="L624" i="4"/>
  <c r="K624" i="4"/>
  <c r="N623" i="4"/>
  <c r="M623" i="4"/>
  <c r="L623" i="4"/>
  <c r="K623" i="4"/>
  <c r="N622" i="4"/>
  <c r="M622" i="4"/>
  <c r="L622" i="4"/>
  <c r="K622" i="4"/>
  <c r="N621" i="4"/>
  <c r="M621" i="4"/>
  <c r="L621" i="4"/>
  <c r="K621" i="4"/>
  <c r="N620" i="4"/>
  <c r="M620" i="4"/>
  <c r="L620" i="4"/>
  <c r="K620" i="4"/>
  <c r="N619" i="4"/>
  <c r="M619" i="4"/>
  <c r="L619" i="4"/>
  <c r="K619" i="4"/>
  <c r="N618" i="4"/>
  <c r="M618" i="4"/>
  <c r="L618" i="4"/>
  <c r="K618" i="4"/>
  <c r="N617" i="4"/>
  <c r="M617" i="4"/>
  <c r="L617" i="4"/>
  <c r="K617" i="4"/>
  <c r="N616" i="4"/>
  <c r="M616" i="4"/>
  <c r="L616" i="4"/>
  <c r="K616" i="4"/>
  <c r="N615" i="4"/>
  <c r="M615" i="4"/>
  <c r="L615" i="4"/>
  <c r="K615" i="4"/>
  <c r="N614" i="4"/>
  <c r="M614" i="4"/>
  <c r="L614" i="4"/>
  <c r="K614" i="4"/>
  <c r="N613" i="4"/>
  <c r="M613" i="4"/>
  <c r="L613" i="4"/>
  <c r="K613" i="4"/>
  <c r="N612" i="4"/>
  <c r="M612" i="4"/>
  <c r="L612" i="4"/>
  <c r="K612" i="4"/>
  <c r="N611" i="4"/>
  <c r="M611" i="4"/>
  <c r="L611" i="4"/>
  <c r="K611" i="4"/>
  <c r="N610" i="4"/>
  <c r="M610" i="4"/>
  <c r="L610" i="4"/>
  <c r="K610" i="4"/>
  <c r="N609" i="4"/>
  <c r="M609" i="4"/>
  <c r="L609" i="4"/>
  <c r="K609" i="4"/>
  <c r="N608" i="4"/>
  <c r="M608" i="4"/>
  <c r="L608" i="4"/>
  <c r="K608" i="4"/>
  <c r="N607" i="4"/>
  <c r="M607" i="4"/>
  <c r="L607" i="4"/>
  <c r="K607" i="4"/>
  <c r="N606" i="4"/>
  <c r="M606" i="4"/>
  <c r="L606" i="4"/>
  <c r="K606" i="4"/>
  <c r="N605" i="4"/>
  <c r="M605" i="4"/>
  <c r="L605" i="4"/>
  <c r="K605" i="4"/>
  <c r="N604" i="4"/>
  <c r="M604" i="4"/>
  <c r="L604" i="4"/>
  <c r="K604" i="4"/>
  <c r="N603" i="4"/>
  <c r="M603" i="4"/>
  <c r="L603" i="4"/>
  <c r="K603" i="4"/>
  <c r="N602" i="4"/>
  <c r="M602" i="4"/>
  <c r="L602" i="4"/>
  <c r="K602" i="4"/>
  <c r="N601" i="4"/>
  <c r="M601" i="4"/>
  <c r="L601" i="4"/>
  <c r="K601" i="4"/>
  <c r="N600" i="4"/>
  <c r="M600" i="4"/>
  <c r="L600" i="4"/>
  <c r="K600" i="4"/>
  <c r="N599" i="4"/>
  <c r="M599" i="4"/>
  <c r="L599" i="4"/>
  <c r="K599" i="4"/>
  <c r="N598" i="4"/>
  <c r="M598" i="4"/>
  <c r="L598" i="4"/>
  <c r="K598" i="4"/>
  <c r="N597" i="4"/>
  <c r="M597" i="4"/>
  <c r="L597" i="4"/>
  <c r="K597" i="4"/>
  <c r="N596" i="4"/>
  <c r="M596" i="4"/>
  <c r="L596" i="4"/>
  <c r="K596" i="4"/>
  <c r="N595" i="4"/>
  <c r="M595" i="4"/>
  <c r="L595" i="4"/>
  <c r="K595" i="4"/>
  <c r="N594" i="4"/>
  <c r="M594" i="4"/>
  <c r="L594" i="4"/>
  <c r="K594" i="4"/>
  <c r="N593" i="4"/>
  <c r="M593" i="4"/>
  <c r="L593" i="4"/>
  <c r="K593" i="4"/>
  <c r="N592" i="4"/>
  <c r="M592" i="4"/>
  <c r="L592" i="4"/>
  <c r="K592" i="4"/>
  <c r="N591" i="4"/>
  <c r="M591" i="4"/>
  <c r="L591" i="4"/>
  <c r="K591" i="4"/>
  <c r="N590" i="4"/>
  <c r="M590" i="4"/>
  <c r="L590" i="4"/>
  <c r="K590" i="4"/>
  <c r="N589" i="4"/>
  <c r="M589" i="4"/>
  <c r="L589" i="4"/>
  <c r="K589" i="4"/>
  <c r="N588" i="4"/>
  <c r="M588" i="4"/>
  <c r="L588" i="4"/>
  <c r="K588" i="4"/>
  <c r="N587" i="4"/>
  <c r="M587" i="4"/>
  <c r="L587" i="4"/>
  <c r="K587" i="4"/>
  <c r="N586" i="4"/>
  <c r="M586" i="4"/>
  <c r="L586" i="4"/>
  <c r="K586" i="4"/>
  <c r="N585" i="4"/>
  <c r="M585" i="4"/>
  <c r="L585" i="4"/>
  <c r="K585" i="4"/>
  <c r="N584" i="4"/>
  <c r="M584" i="4"/>
  <c r="L584" i="4"/>
  <c r="K584" i="4"/>
  <c r="N583" i="4"/>
  <c r="M583" i="4"/>
  <c r="L583" i="4"/>
  <c r="K583" i="4"/>
  <c r="N582" i="4"/>
  <c r="M582" i="4"/>
  <c r="L582" i="4"/>
  <c r="K582" i="4"/>
  <c r="N581" i="4"/>
  <c r="M581" i="4"/>
  <c r="L581" i="4"/>
  <c r="K581" i="4"/>
  <c r="N580" i="4"/>
  <c r="M580" i="4"/>
  <c r="L580" i="4"/>
  <c r="K580" i="4"/>
  <c r="N579" i="4"/>
  <c r="M579" i="4"/>
  <c r="L579" i="4"/>
  <c r="K579" i="4"/>
  <c r="N578" i="4"/>
  <c r="M578" i="4"/>
  <c r="L578" i="4"/>
  <c r="K578" i="4"/>
  <c r="N577" i="4"/>
  <c r="M577" i="4"/>
  <c r="L577" i="4"/>
  <c r="K577" i="4"/>
  <c r="N576" i="4"/>
  <c r="M576" i="4"/>
  <c r="L576" i="4"/>
  <c r="K576" i="4"/>
  <c r="N575" i="4"/>
  <c r="M575" i="4"/>
  <c r="L575" i="4"/>
  <c r="K575" i="4"/>
  <c r="N574" i="4"/>
  <c r="M574" i="4"/>
  <c r="L574" i="4"/>
  <c r="K574" i="4"/>
  <c r="N573" i="4"/>
  <c r="M573" i="4"/>
  <c r="L573" i="4"/>
  <c r="K573" i="4"/>
  <c r="N572" i="4"/>
  <c r="M572" i="4"/>
  <c r="L572" i="4"/>
  <c r="K572" i="4"/>
  <c r="N571" i="4"/>
  <c r="M571" i="4"/>
  <c r="L571" i="4"/>
  <c r="K571" i="4"/>
  <c r="N570" i="4"/>
  <c r="M570" i="4"/>
  <c r="L570" i="4"/>
  <c r="K570" i="4"/>
  <c r="N569" i="4"/>
  <c r="M569" i="4"/>
  <c r="L569" i="4"/>
  <c r="K569" i="4"/>
  <c r="N568" i="4"/>
  <c r="M568" i="4"/>
  <c r="L568" i="4"/>
  <c r="K568" i="4"/>
  <c r="N567" i="4"/>
  <c r="M567" i="4"/>
  <c r="L567" i="4"/>
  <c r="K567" i="4"/>
  <c r="N566" i="4"/>
  <c r="M566" i="4"/>
  <c r="L566" i="4"/>
  <c r="K566" i="4"/>
  <c r="N565" i="4"/>
  <c r="M565" i="4"/>
  <c r="L565" i="4"/>
  <c r="K565" i="4"/>
  <c r="N564" i="4"/>
  <c r="M564" i="4"/>
  <c r="L564" i="4"/>
  <c r="K564" i="4"/>
  <c r="N563" i="4"/>
  <c r="M563" i="4"/>
  <c r="L563" i="4"/>
  <c r="K563" i="4"/>
  <c r="N562" i="4"/>
  <c r="M562" i="4"/>
  <c r="L562" i="4"/>
  <c r="K562" i="4"/>
  <c r="N561" i="4"/>
  <c r="M561" i="4"/>
  <c r="L561" i="4"/>
  <c r="K561" i="4"/>
  <c r="N560" i="4"/>
  <c r="M560" i="4"/>
  <c r="L560" i="4"/>
  <c r="K560" i="4"/>
  <c r="N559" i="4"/>
  <c r="M559" i="4"/>
  <c r="L559" i="4"/>
  <c r="K559" i="4"/>
  <c r="N558" i="4"/>
  <c r="M558" i="4"/>
  <c r="L558" i="4"/>
  <c r="K558" i="4"/>
  <c r="N557" i="4"/>
  <c r="M557" i="4"/>
  <c r="L557" i="4"/>
  <c r="K557" i="4"/>
  <c r="N556" i="4"/>
  <c r="M556" i="4"/>
  <c r="L556" i="4"/>
  <c r="K556" i="4"/>
  <c r="N555" i="4"/>
  <c r="M555" i="4"/>
  <c r="L555" i="4"/>
  <c r="K555" i="4"/>
  <c r="N554" i="4"/>
  <c r="M554" i="4"/>
  <c r="L554" i="4"/>
  <c r="K554" i="4"/>
  <c r="N553" i="4"/>
  <c r="M553" i="4"/>
  <c r="L553" i="4"/>
  <c r="K553" i="4"/>
  <c r="N552" i="4"/>
  <c r="M552" i="4"/>
  <c r="L552" i="4"/>
  <c r="K552" i="4"/>
  <c r="N551" i="4"/>
  <c r="M551" i="4"/>
  <c r="L551" i="4"/>
  <c r="K551" i="4"/>
  <c r="N550" i="4"/>
  <c r="M550" i="4"/>
  <c r="L550" i="4"/>
  <c r="K550" i="4"/>
  <c r="N549" i="4"/>
  <c r="M549" i="4"/>
  <c r="L549" i="4"/>
  <c r="K549" i="4"/>
  <c r="N548" i="4"/>
  <c r="M548" i="4"/>
  <c r="L548" i="4"/>
  <c r="K548" i="4"/>
  <c r="N547" i="4"/>
  <c r="M547" i="4"/>
  <c r="L547" i="4"/>
  <c r="K547" i="4"/>
  <c r="N546" i="4"/>
  <c r="M546" i="4"/>
  <c r="L546" i="4"/>
  <c r="K546" i="4"/>
  <c r="N545" i="4"/>
  <c r="M545" i="4"/>
  <c r="L545" i="4"/>
  <c r="K545" i="4"/>
  <c r="N544" i="4"/>
  <c r="M544" i="4"/>
  <c r="L544" i="4"/>
  <c r="K544" i="4"/>
  <c r="N543" i="4"/>
  <c r="M543" i="4"/>
  <c r="L543" i="4"/>
  <c r="K543" i="4"/>
  <c r="N542" i="4"/>
  <c r="M542" i="4"/>
  <c r="L542" i="4"/>
  <c r="K542" i="4"/>
  <c r="N541" i="4"/>
  <c r="M541" i="4"/>
  <c r="L541" i="4"/>
  <c r="K541" i="4"/>
  <c r="N540" i="4"/>
  <c r="M540" i="4"/>
  <c r="L540" i="4"/>
  <c r="K540" i="4"/>
  <c r="N539" i="4"/>
  <c r="M539" i="4"/>
  <c r="L539" i="4"/>
  <c r="K539" i="4"/>
  <c r="N538" i="4"/>
  <c r="M538" i="4"/>
  <c r="L538" i="4"/>
  <c r="K538" i="4"/>
  <c r="N537" i="4"/>
  <c r="M537" i="4"/>
  <c r="L537" i="4"/>
  <c r="K537" i="4"/>
  <c r="N536" i="4"/>
  <c r="M536" i="4"/>
  <c r="L536" i="4"/>
  <c r="K536" i="4"/>
  <c r="N535" i="4"/>
  <c r="M535" i="4"/>
  <c r="L535" i="4"/>
  <c r="K535" i="4"/>
  <c r="N534" i="4"/>
  <c r="M534" i="4"/>
  <c r="L534" i="4"/>
  <c r="K534" i="4"/>
  <c r="N533" i="4"/>
  <c r="M533" i="4"/>
  <c r="L533" i="4"/>
  <c r="K533" i="4"/>
  <c r="N532" i="4"/>
  <c r="M532" i="4"/>
  <c r="L532" i="4"/>
  <c r="K532" i="4"/>
  <c r="N531" i="4"/>
  <c r="M531" i="4"/>
  <c r="L531" i="4"/>
  <c r="K531" i="4"/>
  <c r="N530" i="4"/>
  <c r="M530" i="4"/>
  <c r="L530" i="4"/>
  <c r="K530" i="4"/>
  <c r="N529" i="4"/>
  <c r="M529" i="4"/>
  <c r="L529" i="4"/>
  <c r="K529" i="4"/>
  <c r="N528" i="4"/>
  <c r="M528" i="4"/>
  <c r="L528" i="4"/>
  <c r="K528" i="4"/>
  <c r="N527" i="4"/>
  <c r="M527" i="4"/>
  <c r="L527" i="4"/>
  <c r="K527" i="4"/>
  <c r="N526" i="4"/>
  <c r="M526" i="4"/>
  <c r="L526" i="4"/>
  <c r="K526" i="4"/>
  <c r="N525" i="4"/>
  <c r="M525" i="4"/>
  <c r="L525" i="4"/>
  <c r="K525" i="4"/>
  <c r="N524" i="4"/>
  <c r="M524" i="4"/>
  <c r="L524" i="4"/>
  <c r="K524" i="4"/>
  <c r="N523" i="4"/>
  <c r="M523" i="4"/>
  <c r="L523" i="4"/>
  <c r="K523" i="4"/>
  <c r="N522" i="4"/>
  <c r="M522" i="4"/>
  <c r="L522" i="4"/>
  <c r="K522" i="4"/>
  <c r="N521" i="4"/>
  <c r="M521" i="4"/>
  <c r="L521" i="4"/>
  <c r="K521" i="4"/>
  <c r="N520" i="4"/>
  <c r="M520" i="4"/>
  <c r="L520" i="4"/>
  <c r="K520" i="4"/>
  <c r="N519" i="4"/>
  <c r="M519" i="4"/>
  <c r="L519" i="4"/>
  <c r="K519" i="4"/>
  <c r="N518" i="4"/>
  <c r="M518" i="4"/>
  <c r="L518" i="4"/>
  <c r="K518" i="4"/>
  <c r="N517" i="4"/>
  <c r="M517" i="4"/>
  <c r="L517" i="4"/>
  <c r="K517" i="4"/>
  <c r="N516" i="4"/>
  <c r="M516" i="4"/>
  <c r="L516" i="4"/>
  <c r="K516" i="4"/>
  <c r="N515" i="4"/>
  <c r="M515" i="4"/>
  <c r="L515" i="4"/>
  <c r="K515" i="4"/>
  <c r="N514" i="4"/>
  <c r="M514" i="4"/>
  <c r="L514" i="4"/>
  <c r="K514" i="4"/>
  <c r="N513" i="4"/>
  <c r="M513" i="4"/>
  <c r="L513" i="4"/>
  <c r="K513" i="4"/>
  <c r="N512" i="4"/>
  <c r="M512" i="4"/>
  <c r="L512" i="4"/>
  <c r="K512" i="4"/>
  <c r="N511" i="4"/>
  <c r="M511" i="4"/>
  <c r="L511" i="4"/>
  <c r="K511" i="4"/>
  <c r="N510" i="4"/>
  <c r="M510" i="4"/>
  <c r="L510" i="4"/>
  <c r="K510" i="4"/>
  <c r="N509" i="4"/>
  <c r="M509" i="4"/>
  <c r="L509" i="4"/>
  <c r="K509" i="4"/>
  <c r="N508" i="4"/>
  <c r="M508" i="4"/>
  <c r="L508" i="4"/>
  <c r="K508" i="4"/>
  <c r="N507" i="4"/>
  <c r="M507" i="4"/>
  <c r="L507" i="4"/>
  <c r="K507" i="4"/>
  <c r="N506" i="4"/>
  <c r="M506" i="4"/>
  <c r="L506" i="4"/>
  <c r="K506" i="4"/>
  <c r="N505" i="4"/>
  <c r="M505" i="4"/>
  <c r="L505" i="4"/>
  <c r="K505" i="4"/>
  <c r="N504" i="4"/>
  <c r="M504" i="4"/>
  <c r="L504" i="4"/>
  <c r="K504" i="4"/>
  <c r="N503" i="4"/>
  <c r="M503" i="4"/>
  <c r="L503" i="4"/>
  <c r="K503" i="4"/>
  <c r="N502" i="4"/>
  <c r="M502" i="4"/>
  <c r="L502" i="4"/>
  <c r="K502" i="4"/>
  <c r="N501" i="4"/>
  <c r="M501" i="4"/>
  <c r="L501" i="4"/>
  <c r="K501" i="4"/>
  <c r="N500" i="4"/>
  <c r="M500" i="4"/>
  <c r="L500" i="4"/>
  <c r="K500" i="4"/>
  <c r="N499" i="4"/>
  <c r="M499" i="4"/>
  <c r="L499" i="4"/>
  <c r="K499" i="4"/>
  <c r="N498" i="4"/>
  <c r="M498" i="4"/>
  <c r="L498" i="4"/>
  <c r="K498" i="4"/>
  <c r="N497" i="4"/>
  <c r="M497" i="4"/>
  <c r="L497" i="4"/>
  <c r="K497" i="4"/>
  <c r="N496" i="4"/>
  <c r="M496" i="4"/>
  <c r="L496" i="4"/>
  <c r="K496" i="4"/>
  <c r="N495" i="4"/>
  <c r="M495" i="4"/>
  <c r="L495" i="4"/>
  <c r="K495" i="4"/>
  <c r="N494" i="4"/>
  <c r="M494" i="4"/>
  <c r="L494" i="4"/>
  <c r="K494" i="4"/>
  <c r="N493" i="4"/>
  <c r="M493" i="4"/>
  <c r="L493" i="4"/>
  <c r="K493" i="4"/>
  <c r="N492" i="4"/>
  <c r="M492" i="4"/>
  <c r="L492" i="4"/>
  <c r="K492" i="4"/>
  <c r="N491" i="4"/>
  <c r="M491" i="4"/>
  <c r="L491" i="4"/>
  <c r="K491" i="4"/>
  <c r="N490" i="4"/>
  <c r="M490" i="4"/>
  <c r="L490" i="4"/>
  <c r="K490" i="4"/>
  <c r="N489" i="4"/>
  <c r="M489" i="4"/>
  <c r="L489" i="4"/>
  <c r="K489" i="4"/>
  <c r="N488" i="4"/>
  <c r="M488" i="4"/>
  <c r="L488" i="4"/>
  <c r="K488" i="4"/>
  <c r="N487" i="4"/>
  <c r="M487" i="4"/>
  <c r="L487" i="4"/>
  <c r="K487" i="4"/>
  <c r="N486" i="4"/>
  <c r="M486" i="4"/>
  <c r="L486" i="4"/>
  <c r="K486" i="4"/>
  <c r="N485" i="4"/>
  <c r="M485" i="4"/>
  <c r="L485" i="4"/>
  <c r="K485" i="4"/>
  <c r="N484" i="4"/>
  <c r="M484" i="4"/>
  <c r="L484" i="4"/>
  <c r="K484" i="4"/>
  <c r="N483" i="4"/>
  <c r="M483" i="4"/>
  <c r="L483" i="4"/>
  <c r="K483" i="4"/>
  <c r="N482" i="4"/>
  <c r="M482" i="4"/>
  <c r="L482" i="4"/>
  <c r="K482" i="4"/>
  <c r="N481" i="4"/>
  <c r="M481" i="4"/>
  <c r="L481" i="4"/>
  <c r="K481" i="4"/>
  <c r="N480" i="4"/>
  <c r="M480" i="4"/>
  <c r="L480" i="4"/>
  <c r="K480" i="4"/>
  <c r="N479" i="4"/>
  <c r="M479" i="4"/>
  <c r="L479" i="4"/>
  <c r="K479" i="4"/>
  <c r="N478" i="4"/>
  <c r="M478" i="4"/>
  <c r="L478" i="4"/>
  <c r="K478" i="4"/>
  <c r="N477" i="4"/>
  <c r="M477" i="4"/>
  <c r="L477" i="4"/>
  <c r="K477" i="4"/>
  <c r="N476" i="4"/>
  <c r="M476" i="4"/>
  <c r="L476" i="4"/>
  <c r="K476" i="4"/>
  <c r="N475" i="4"/>
  <c r="M475" i="4"/>
  <c r="L475" i="4"/>
  <c r="K475" i="4"/>
  <c r="N474" i="4"/>
  <c r="M474" i="4"/>
  <c r="L474" i="4"/>
  <c r="K474" i="4"/>
  <c r="N473" i="4"/>
  <c r="M473" i="4"/>
  <c r="L473" i="4"/>
  <c r="K473" i="4"/>
  <c r="N472" i="4"/>
  <c r="M472" i="4"/>
  <c r="L472" i="4"/>
  <c r="K472" i="4"/>
  <c r="N471" i="4"/>
  <c r="M471" i="4"/>
  <c r="L471" i="4"/>
  <c r="K471" i="4"/>
  <c r="N470" i="4"/>
  <c r="M470" i="4"/>
  <c r="L470" i="4"/>
  <c r="K470" i="4"/>
  <c r="N469" i="4"/>
  <c r="M469" i="4"/>
  <c r="L469" i="4"/>
  <c r="K469" i="4"/>
  <c r="N468" i="4"/>
  <c r="M468" i="4"/>
  <c r="L468" i="4"/>
  <c r="K468" i="4"/>
  <c r="N467" i="4"/>
  <c r="M467" i="4"/>
  <c r="L467" i="4"/>
  <c r="K467" i="4"/>
  <c r="N466" i="4"/>
  <c r="M466" i="4"/>
  <c r="L466" i="4"/>
  <c r="K466" i="4"/>
  <c r="N465" i="4"/>
  <c r="M465" i="4"/>
  <c r="L465" i="4"/>
  <c r="K465" i="4"/>
  <c r="N464" i="4"/>
  <c r="M464" i="4"/>
  <c r="L464" i="4"/>
  <c r="K464" i="4"/>
  <c r="N463" i="4"/>
  <c r="M463" i="4"/>
  <c r="L463" i="4"/>
  <c r="K463" i="4"/>
  <c r="N462" i="4"/>
  <c r="M462" i="4"/>
  <c r="L462" i="4"/>
  <c r="K462" i="4"/>
  <c r="N461" i="4"/>
  <c r="M461" i="4"/>
  <c r="L461" i="4"/>
  <c r="K461" i="4"/>
  <c r="N460" i="4"/>
  <c r="M460" i="4"/>
  <c r="L460" i="4"/>
  <c r="K460" i="4"/>
  <c r="N459" i="4"/>
  <c r="M459" i="4"/>
  <c r="L459" i="4"/>
  <c r="K459" i="4"/>
  <c r="N458" i="4"/>
  <c r="M458" i="4"/>
  <c r="L458" i="4"/>
  <c r="K458" i="4"/>
  <c r="N457" i="4"/>
  <c r="M457" i="4"/>
  <c r="L457" i="4"/>
  <c r="K457" i="4"/>
  <c r="N456" i="4"/>
  <c r="M456" i="4"/>
  <c r="L456" i="4"/>
  <c r="K456" i="4"/>
  <c r="N455" i="4"/>
  <c r="M455" i="4"/>
  <c r="L455" i="4"/>
  <c r="K455" i="4"/>
  <c r="N454" i="4"/>
  <c r="M454" i="4"/>
  <c r="L454" i="4"/>
  <c r="K454" i="4"/>
  <c r="N453" i="4"/>
  <c r="M453" i="4"/>
  <c r="L453" i="4"/>
  <c r="K453" i="4"/>
  <c r="N452" i="4"/>
  <c r="M452" i="4"/>
  <c r="L452" i="4"/>
  <c r="K452" i="4"/>
  <c r="N451" i="4"/>
  <c r="M451" i="4"/>
  <c r="L451" i="4"/>
  <c r="K451" i="4"/>
  <c r="N450" i="4"/>
  <c r="M450" i="4"/>
  <c r="L450" i="4"/>
  <c r="K450" i="4"/>
  <c r="N449" i="4"/>
  <c r="M449" i="4"/>
  <c r="L449" i="4"/>
  <c r="K449" i="4"/>
  <c r="N448" i="4"/>
  <c r="M448" i="4"/>
  <c r="L448" i="4"/>
  <c r="K448" i="4"/>
  <c r="N447" i="4"/>
  <c r="M447" i="4"/>
  <c r="L447" i="4"/>
  <c r="K447" i="4"/>
  <c r="N446" i="4"/>
  <c r="M446" i="4"/>
  <c r="L446" i="4"/>
  <c r="K446" i="4"/>
  <c r="N445" i="4"/>
  <c r="M445" i="4"/>
  <c r="L445" i="4"/>
  <c r="K445" i="4"/>
  <c r="N444" i="4"/>
  <c r="M444" i="4"/>
  <c r="L444" i="4"/>
  <c r="K444" i="4"/>
  <c r="N443" i="4"/>
  <c r="M443" i="4"/>
  <c r="L443" i="4"/>
  <c r="K443" i="4"/>
  <c r="N442" i="4"/>
  <c r="M442" i="4"/>
  <c r="L442" i="4"/>
  <c r="K442" i="4"/>
  <c r="N441" i="4"/>
  <c r="M441" i="4"/>
  <c r="L441" i="4"/>
  <c r="K441" i="4"/>
  <c r="N440" i="4"/>
  <c r="M440" i="4"/>
  <c r="L440" i="4"/>
  <c r="K440" i="4"/>
  <c r="N439" i="4"/>
  <c r="M439" i="4"/>
  <c r="L439" i="4"/>
  <c r="K439" i="4"/>
  <c r="N438" i="4"/>
  <c r="M438" i="4"/>
  <c r="L438" i="4"/>
  <c r="K438" i="4"/>
  <c r="N437" i="4"/>
  <c r="M437" i="4"/>
  <c r="L437" i="4"/>
  <c r="K437" i="4"/>
  <c r="N436" i="4"/>
  <c r="M436" i="4"/>
  <c r="L436" i="4"/>
  <c r="K436" i="4"/>
  <c r="N435" i="4"/>
  <c r="M435" i="4"/>
  <c r="L435" i="4"/>
  <c r="K435" i="4"/>
  <c r="N434" i="4"/>
  <c r="M434" i="4"/>
  <c r="L434" i="4"/>
  <c r="K434" i="4"/>
  <c r="N433" i="4"/>
  <c r="M433" i="4"/>
  <c r="L433" i="4"/>
  <c r="K433" i="4"/>
  <c r="N432" i="4"/>
  <c r="M432" i="4"/>
  <c r="L432" i="4"/>
  <c r="K432" i="4"/>
  <c r="N431" i="4"/>
  <c r="M431" i="4"/>
  <c r="L431" i="4"/>
  <c r="K431" i="4"/>
  <c r="N430" i="4"/>
  <c r="M430" i="4"/>
  <c r="L430" i="4"/>
  <c r="K430" i="4"/>
  <c r="N429" i="4"/>
  <c r="M429" i="4"/>
  <c r="L429" i="4"/>
  <c r="K429" i="4"/>
  <c r="N428" i="4"/>
  <c r="M428" i="4"/>
  <c r="L428" i="4"/>
  <c r="K428" i="4"/>
  <c r="N427" i="4"/>
  <c r="M427" i="4"/>
  <c r="L427" i="4"/>
  <c r="K427" i="4"/>
  <c r="N426" i="4"/>
  <c r="M426" i="4"/>
  <c r="L426" i="4"/>
  <c r="K426" i="4"/>
  <c r="N425" i="4"/>
  <c r="M425" i="4"/>
  <c r="L425" i="4"/>
  <c r="K425" i="4"/>
  <c r="N424" i="4"/>
  <c r="M424" i="4"/>
  <c r="L424" i="4"/>
  <c r="K424" i="4"/>
  <c r="N423" i="4"/>
  <c r="M423" i="4"/>
  <c r="L423" i="4"/>
  <c r="K423" i="4"/>
  <c r="N422" i="4"/>
  <c r="M422" i="4"/>
  <c r="L422" i="4"/>
  <c r="K422" i="4"/>
  <c r="N421" i="4"/>
  <c r="M421" i="4"/>
  <c r="L421" i="4"/>
  <c r="K421" i="4"/>
  <c r="N420" i="4"/>
  <c r="M420" i="4"/>
  <c r="L420" i="4"/>
  <c r="K420" i="4"/>
  <c r="N419" i="4"/>
  <c r="M419" i="4"/>
  <c r="L419" i="4"/>
  <c r="K419" i="4"/>
  <c r="N418" i="4"/>
  <c r="M418" i="4"/>
  <c r="L418" i="4"/>
  <c r="K418" i="4"/>
  <c r="N417" i="4"/>
  <c r="M417" i="4"/>
  <c r="L417" i="4"/>
  <c r="K417" i="4"/>
  <c r="N416" i="4"/>
  <c r="M416" i="4"/>
  <c r="L416" i="4"/>
  <c r="K416" i="4"/>
  <c r="N415" i="4"/>
  <c r="M415" i="4"/>
  <c r="L415" i="4"/>
  <c r="K415" i="4"/>
  <c r="N414" i="4"/>
  <c r="M414" i="4"/>
  <c r="L414" i="4"/>
  <c r="K414" i="4"/>
  <c r="N413" i="4"/>
  <c r="M413" i="4"/>
  <c r="L413" i="4"/>
  <c r="K413" i="4"/>
  <c r="N412" i="4"/>
  <c r="M412" i="4"/>
  <c r="L412" i="4"/>
  <c r="K412" i="4"/>
  <c r="N411" i="4"/>
  <c r="M411" i="4"/>
  <c r="L411" i="4"/>
  <c r="K411" i="4"/>
  <c r="N410" i="4"/>
  <c r="M410" i="4"/>
  <c r="L410" i="4"/>
  <c r="K410" i="4"/>
  <c r="N409" i="4"/>
  <c r="M409" i="4"/>
  <c r="L409" i="4"/>
  <c r="K409" i="4"/>
  <c r="N408" i="4"/>
  <c r="M408" i="4"/>
  <c r="L408" i="4"/>
  <c r="K408" i="4"/>
  <c r="N407" i="4"/>
  <c r="M407" i="4"/>
  <c r="L407" i="4"/>
  <c r="K407" i="4"/>
  <c r="N406" i="4"/>
  <c r="M406" i="4"/>
  <c r="L406" i="4"/>
  <c r="K406" i="4"/>
  <c r="N405" i="4"/>
  <c r="M405" i="4"/>
  <c r="L405" i="4"/>
  <c r="K405" i="4"/>
  <c r="N404" i="4"/>
  <c r="M404" i="4"/>
  <c r="L404" i="4"/>
  <c r="K404" i="4"/>
  <c r="N403" i="4"/>
  <c r="M403" i="4"/>
  <c r="L403" i="4"/>
  <c r="K403" i="4"/>
  <c r="N402" i="4"/>
  <c r="M402" i="4"/>
  <c r="L402" i="4"/>
  <c r="K402" i="4"/>
  <c r="N401" i="4"/>
  <c r="M401" i="4"/>
  <c r="L401" i="4"/>
  <c r="K401" i="4"/>
  <c r="N400" i="4"/>
  <c r="M400" i="4"/>
  <c r="L400" i="4"/>
  <c r="K400" i="4"/>
  <c r="N399" i="4"/>
  <c r="M399" i="4"/>
  <c r="L399" i="4"/>
  <c r="K399" i="4"/>
  <c r="N398" i="4"/>
  <c r="M398" i="4"/>
  <c r="L398" i="4"/>
  <c r="K398" i="4"/>
  <c r="N397" i="4"/>
  <c r="M397" i="4"/>
  <c r="L397" i="4"/>
  <c r="K397" i="4"/>
  <c r="N396" i="4"/>
  <c r="M396" i="4"/>
  <c r="L396" i="4"/>
  <c r="K396" i="4"/>
  <c r="N395" i="4"/>
  <c r="M395" i="4"/>
  <c r="L395" i="4"/>
  <c r="K395" i="4"/>
  <c r="N394" i="4"/>
  <c r="M394" i="4"/>
  <c r="L394" i="4"/>
  <c r="K394" i="4"/>
  <c r="N393" i="4"/>
  <c r="M393" i="4"/>
  <c r="L393" i="4"/>
  <c r="K393" i="4"/>
  <c r="N392" i="4"/>
  <c r="M392" i="4"/>
  <c r="L392" i="4"/>
  <c r="K392" i="4"/>
  <c r="N391" i="4"/>
  <c r="M391" i="4"/>
  <c r="L391" i="4"/>
  <c r="K391" i="4"/>
  <c r="N390" i="4"/>
  <c r="M390" i="4"/>
  <c r="L390" i="4"/>
  <c r="K390" i="4"/>
  <c r="N389" i="4"/>
  <c r="M389" i="4"/>
  <c r="L389" i="4"/>
  <c r="K389" i="4"/>
  <c r="N388" i="4"/>
  <c r="M388" i="4"/>
  <c r="L388" i="4"/>
  <c r="K388" i="4"/>
  <c r="N387" i="4"/>
  <c r="M387" i="4"/>
  <c r="L387" i="4"/>
  <c r="K387" i="4"/>
  <c r="N386" i="4"/>
  <c r="M386" i="4"/>
  <c r="L386" i="4"/>
  <c r="K386" i="4"/>
  <c r="N385" i="4"/>
  <c r="M385" i="4"/>
  <c r="L385" i="4"/>
  <c r="K385" i="4"/>
  <c r="N384" i="4"/>
  <c r="M384" i="4"/>
  <c r="L384" i="4"/>
  <c r="K384" i="4"/>
  <c r="N383" i="4"/>
  <c r="M383" i="4"/>
  <c r="L383" i="4"/>
  <c r="K383" i="4"/>
  <c r="N382" i="4"/>
  <c r="M382" i="4"/>
  <c r="L382" i="4"/>
  <c r="K382" i="4"/>
  <c r="N381" i="4"/>
  <c r="M381" i="4"/>
  <c r="L381" i="4"/>
  <c r="K381" i="4"/>
  <c r="N380" i="4"/>
  <c r="M380" i="4"/>
  <c r="L380" i="4"/>
  <c r="K380" i="4"/>
  <c r="N379" i="4"/>
  <c r="M379" i="4"/>
  <c r="L379" i="4"/>
  <c r="K379" i="4"/>
  <c r="N378" i="4"/>
  <c r="M378" i="4"/>
  <c r="L378" i="4"/>
  <c r="K378" i="4"/>
  <c r="N377" i="4"/>
  <c r="M377" i="4"/>
  <c r="L377" i="4"/>
  <c r="K377" i="4"/>
  <c r="N376" i="4"/>
  <c r="M376" i="4"/>
  <c r="L376" i="4"/>
  <c r="K376" i="4"/>
  <c r="N375" i="4"/>
  <c r="M375" i="4"/>
  <c r="L375" i="4"/>
  <c r="K375" i="4"/>
  <c r="N374" i="4"/>
  <c r="M374" i="4"/>
  <c r="L374" i="4"/>
  <c r="K374" i="4"/>
  <c r="N373" i="4"/>
  <c r="M373" i="4"/>
  <c r="L373" i="4"/>
  <c r="K373" i="4"/>
  <c r="N372" i="4"/>
  <c r="M372" i="4"/>
  <c r="L372" i="4"/>
  <c r="K372" i="4"/>
  <c r="N371" i="4"/>
  <c r="M371" i="4"/>
  <c r="L371" i="4"/>
  <c r="K371" i="4"/>
  <c r="N370" i="4"/>
  <c r="M370" i="4"/>
  <c r="L370" i="4"/>
  <c r="K370" i="4"/>
  <c r="N369" i="4"/>
  <c r="M369" i="4"/>
  <c r="L369" i="4"/>
  <c r="K369" i="4"/>
  <c r="N368" i="4"/>
  <c r="M368" i="4"/>
  <c r="L368" i="4"/>
  <c r="K368" i="4"/>
  <c r="N367" i="4"/>
  <c r="M367" i="4"/>
  <c r="L367" i="4"/>
  <c r="K367" i="4"/>
  <c r="N366" i="4"/>
  <c r="M366" i="4"/>
  <c r="L366" i="4"/>
  <c r="K366" i="4"/>
  <c r="N365" i="4"/>
  <c r="M365" i="4"/>
  <c r="L365" i="4"/>
  <c r="K365" i="4"/>
  <c r="N364" i="4"/>
  <c r="M364" i="4"/>
  <c r="L364" i="4"/>
  <c r="K364" i="4"/>
  <c r="N363" i="4"/>
  <c r="M363" i="4"/>
  <c r="L363" i="4"/>
  <c r="K363" i="4"/>
  <c r="N362" i="4"/>
  <c r="M362" i="4"/>
  <c r="L362" i="4"/>
  <c r="K362" i="4"/>
  <c r="N361" i="4"/>
  <c r="M361" i="4"/>
  <c r="L361" i="4"/>
  <c r="K361" i="4"/>
  <c r="N360" i="4"/>
  <c r="M360" i="4"/>
  <c r="L360" i="4"/>
  <c r="K360" i="4"/>
  <c r="N359" i="4"/>
  <c r="M359" i="4"/>
  <c r="L359" i="4"/>
  <c r="K359" i="4"/>
  <c r="N358" i="4"/>
  <c r="M358" i="4"/>
  <c r="L358" i="4"/>
  <c r="K358" i="4"/>
  <c r="N357" i="4"/>
  <c r="M357" i="4"/>
  <c r="L357" i="4"/>
  <c r="K357" i="4"/>
  <c r="N356" i="4"/>
  <c r="M356" i="4"/>
  <c r="L356" i="4"/>
  <c r="K356" i="4"/>
  <c r="N355" i="4"/>
  <c r="M355" i="4"/>
  <c r="L355" i="4"/>
  <c r="K355" i="4"/>
  <c r="N354" i="4"/>
  <c r="M354" i="4"/>
  <c r="L354" i="4"/>
  <c r="K354" i="4"/>
  <c r="N353" i="4"/>
  <c r="M353" i="4"/>
  <c r="L353" i="4"/>
  <c r="K353" i="4"/>
  <c r="N352" i="4"/>
  <c r="M352" i="4"/>
  <c r="L352" i="4"/>
  <c r="K352" i="4"/>
  <c r="N351" i="4"/>
  <c r="M351" i="4"/>
  <c r="L351" i="4"/>
  <c r="K351" i="4"/>
  <c r="N350" i="4"/>
  <c r="M350" i="4"/>
  <c r="L350" i="4"/>
  <c r="K350" i="4"/>
  <c r="N349" i="4"/>
  <c r="M349" i="4"/>
  <c r="L349" i="4"/>
  <c r="K349" i="4"/>
  <c r="N348" i="4"/>
  <c r="M348" i="4"/>
  <c r="L348" i="4"/>
  <c r="K348" i="4"/>
  <c r="N347" i="4"/>
  <c r="M347" i="4"/>
  <c r="L347" i="4"/>
  <c r="K347" i="4"/>
  <c r="N346" i="4"/>
  <c r="M346" i="4"/>
  <c r="L346" i="4"/>
  <c r="K346" i="4"/>
  <c r="N345" i="4"/>
  <c r="M345" i="4"/>
  <c r="L345" i="4"/>
  <c r="K345" i="4"/>
  <c r="N344" i="4"/>
  <c r="M344" i="4"/>
  <c r="L344" i="4"/>
  <c r="K344" i="4"/>
  <c r="N343" i="4"/>
  <c r="M343" i="4"/>
  <c r="L343" i="4"/>
  <c r="K343" i="4"/>
  <c r="N342" i="4"/>
  <c r="M342" i="4"/>
  <c r="L342" i="4"/>
  <c r="K342" i="4"/>
  <c r="N341" i="4"/>
  <c r="M341" i="4"/>
  <c r="L341" i="4"/>
  <c r="K341" i="4"/>
  <c r="N340" i="4"/>
  <c r="M340" i="4"/>
  <c r="L340" i="4"/>
  <c r="K340" i="4"/>
  <c r="N339" i="4"/>
  <c r="M339" i="4"/>
  <c r="L339" i="4"/>
  <c r="K339" i="4"/>
  <c r="N338" i="4"/>
  <c r="M338" i="4"/>
  <c r="L338" i="4"/>
  <c r="K338" i="4"/>
  <c r="N337" i="4"/>
  <c r="M337" i="4"/>
  <c r="L337" i="4"/>
  <c r="K337" i="4"/>
  <c r="N336" i="4"/>
  <c r="M336" i="4"/>
  <c r="L336" i="4"/>
  <c r="K336" i="4"/>
  <c r="N335" i="4"/>
  <c r="M335" i="4"/>
  <c r="L335" i="4"/>
  <c r="K335" i="4"/>
  <c r="N334" i="4"/>
  <c r="M334" i="4"/>
  <c r="L334" i="4"/>
  <c r="K334" i="4"/>
  <c r="N333" i="4"/>
  <c r="M333" i="4"/>
  <c r="L333" i="4"/>
  <c r="K333" i="4"/>
  <c r="N332" i="4"/>
  <c r="M332" i="4"/>
  <c r="L332" i="4"/>
  <c r="K332" i="4"/>
  <c r="N331" i="4"/>
  <c r="M331" i="4"/>
  <c r="L331" i="4"/>
  <c r="K331" i="4"/>
  <c r="N330" i="4"/>
  <c r="M330" i="4"/>
  <c r="L330" i="4"/>
  <c r="K330" i="4"/>
  <c r="N329" i="4"/>
  <c r="M329" i="4"/>
  <c r="L329" i="4"/>
  <c r="K329" i="4"/>
  <c r="N328" i="4"/>
  <c r="M328" i="4"/>
  <c r="L328" i="4"/>
  <c r="K328" i="4"/>
  <c r="N327" i="4"/>
  <c r="M327" i="4"/>
  <c r="L327" i="4"/>
  <c r="K327" i="4"/>
  <c r="N326" i="4"/>
  <c r="M326" i="4"/>
  <c r="L326" i="4"/>
  <c r="K326" i="4"/>
  <c r="N325" i="4"/>
  <c r="M325" i="4"/>
  <c r="L325" i="4"/>
  <c r="K325" i="4"/>
  <c r="N324" i="4"/>
  <c r="M324" i="4"/>
  <c r="L324" i="4"/>
  <c r="K324" i="4"/>
  <c r="N323" i="4"/>
  <c r="M323" i="4"/>
  <c r="L323" i="4"/>
  <c r="K323" i="4"/>
  <c r="N322" i="4"/>
  <c r="M322" i="4"/>
  <c r="L322" i="4"/>
  <c r="K322" i="4"/>
  <c r="N321" i="4"/>
  <c r="M321" i="4"/>
  <c r="L321" i="4"/>
  <c r="K321" i="4"/>
  <c r="N320" i="4"/>
  <c r="M320" i="4"/>
  <c r="L320" i="4"/>
  <c r="K320" i="4"/>
  <c r="N319" i="4"/>
  <c r="M319" i="4"/>
  <c r="L319" i="4"/>
  <c r="K319" i="4"/>
  <c r="N318" i="4"/>
  <c r="M318" i="4"/>
  <c r="L318" i="4"/>
  <c r="K318" i="4"/>
  <c r="N317" i="4"/>
  <c r="M317" i="4"/>
  <c r="L317" i="4"/>
  <c r="K317" i="4"/>
  <c r="N316" i="4"/>
  <c r="M316" i="4"/>
  <c r="L316" i="4"/>
  <c r="K316" i="4"/>
  <c r="N315" i="4"/>
  <c r="M315" i="4"/>
  <c r="L315" i="4"/>
  <c r="K315" i="4"/>
  <c r="N314" i="4"/>
  <c r="M314" i="4"/>
  <c r="L314" i="4"/>
  <c r="K314" i="4"/>
  <c r="N313" i="4"/>
  <c r="M313" i="4"/>
  <c r="L313" i="4"/>
  <c r="K313" i="4"/>
  <c r="N312" i="4"/>
  <c r="M312" i="4"/>
  <c r="L312" i="4"/>
  <c r="K312" i="4"/>
  <c r="N311" i="4"/>
  <c r="M311" i="4"/>
  <c r="L311" i="4"/>
  <c r="K311" i="4"/>
  <c r="N310" i="4"/>
  <c r="M310" i="4"/>
  <c r="L310" i="4"/>
  <c r="K310" i="4"/>
  <c r="N309" i="4"/>
  <c r="M309" i="4"/>
  <c r="L309" i="4"/>
  <c r="K309" i="4"/>
  <c r="N308" i="4"/>
  <c r="M308" i="4"/>
  <c r="L308" i="4"/>
  <c r="K308" i="4"/>
  <c r="N307" i="4"/>
  <c r="M307" i="4"/>
  <c r="L307" i="4"/>
  <c r="K307" i="4"/>
  <c r="N306" i="4"/>
  <c r="M306" i="4"/>
  <c r="L306" i="4"/>
  <c r="K306" i="4"/>
  <c r="N305" i="4"/>
  <c r="M305" i="4"/>
  <c r="L305" i="4"/>
  <c r="K305" i="4"/>
  <c r="N304" i="4"/>
  <c r="M304" i="4"/>
  <c r="L304" i="4"/>
  <c r="K304" i="4"/>
  <c r="N303" i="4"/>
  <c r="M303" i="4"/>
  <c r="L303" i="4"/>
  <c r="K303" i="4"/>
  <c r="N302" i="4"/>
  <c r="M302" i="4"/>
  <c r="L302" i="4"/>
  <c r="K302" i="4"/>
  <c r="N301" i="4"/>
  <c r="M301" i="4"/>
  <c r="L301" i="4"/>
  <c r="K301" i="4"/>
  <c r="N300" i="4"/>
  <c r="M300" i="4"/>
  <c r="L300" i="4"/>
  <c r="K300" i="4"/>
  <c r="N299" i="4"/>
  <c r="M299" i="4"/>
  <c r="L299" i="4"/>
  <c r="K299" i="4"/>
  <c r="N298" i="4"/>
  <c r="M298" i="4"/>
  <c r="L298" i="4"/>
  <c r="K298" i="4"/>
  <c r="N297" i="4"/>
  <c r="M297" i="4"/>
  <c r="L297" i="4"/>
  <c r="K297" i="4"/>
  <c r="N296" i="4"/>
  <c r="M296" i="4"/>
  <c r="L296" i="4"/>
  <c r="K296" i="4"/>
  <c r="N295" i="4"/>
  <c r="M295" i="4"/>
  <c r="L295" i="4"/>
  <c r="K295" i="4"/>
  <c r="N294" i="4"/>
  <c r="M294" i="4"/>
  <c r="L294" i="4"/>
  <c r="K294" i="4"/>
  <c r="N293" i="4"/>
  <c r="M293" i="4"/>
  <c r="L293" i="4"/>
  <c r="K293" i="4"/>
  <c r="N292" i="4"/>
  <c r="M292" i="4"/>
  <c r="L292" i="4"/>
  <c r="K292" i="4"/>
  <c r="N291" i="4"/>
  <c r="M291" i="4"/>
  <c r="L291" i="4"/>
  <c r="K291" i="4"/>
  <c r="N290" i="4"/>
  <c r="M290" i="4"/>
  <c r="L290" i="4"/>
  <c r="K290" i="4"/>
  <c r="N289" i="4"/>
  <c r="M289" i="4"/>
  <c r="L289" i="4"/>
  <c r="K289" i="4"/>
  <c r="N288" i="4"/>
  <c r="M288" i="4"/>
  <c r="L288" i="4"/>
  <c r="K288" i="4"/>
  <c r="N287" i="4"/>
  <c r="M287" i="4"/>
  <c r="L287" i="4"/>
  <c r="K287" i="4"/>
  <c r="N286" i="4"/>
  <c r="M286" i="4"/>
  <c r="L286" i="4"/>
  <c r="K286" i="4"/>
  <c r="N285" i="4"/>
  <c r="M285" i="4"/>
  <c r="L285" i="4"/>
  <c r="K285" i="4"/>
  <c r="N284" i="4"/>
  <c r="M284" i="4"/>
  <c r="L284" i="4"/>
  <c r="K284" i="4"/>
  <c r="N283" i="4"/>
  <c r="M283" i="4"/>
  <c r="L283" i="4"/>
  <c r="K283" i="4"/>
  <c r="N282" i="4"/>
  <c r="M282" i="4"/>
  <c r="L282" i="4"/>
  <c r="K282" i="4"/>
  <c r="N281" i="4"/>
  <c r="M281" i="4"/>
  <c r="L281" i="4"/>
  <c r="K281" i="4"/>
  <c r="N280" i="4"/>
  <c r="M280" i="4"/>
  <c r="L280" i="4"/>
  <c r="K280" i="4"/>
  <c r="N279" i="4"/>
  <c r="M279" i="4"/>
  <c r="L279" i="4"/>
  <c r="K279" i="4"/>
  <c r="N278" i="4"/>
  <c r="M278" i="4"/>
  <c r="L278" i="4"/>
  <c r="K278" i="4"/>
  <c r="N277" i="4"/>
  <c r="M277" i="4"/>
  <c r="L277" i="4"/>
  <c r="K277" i="4"/>
  <c r="N276" i="4"/>
  <c r="M276" i="4"/>
  <c r="L276" i="4"/>
  <c r="K276" i="4"/>
  <c r="N275" i="4"/>
  <c r="M275" i="4"/>
  <c r="L275" i="4"/>
  <c r="K275" i="4"/>
  <c r="N274" i="4"/>
  <c r="M274" i="4"/>
  <c r="L274" i="4"/>
  <c r="K274" i="4"/>
  <c r="N273" i="4"/>
  <c r="M273" i="4"/>
  <c r="L273" i="4"/>
  <c r="K273" i="4"/>
  <c r="N272" i="4"/>
  <c r="M272" i="4"/>
  <c r="L272" i="4"/>
  <c r="K272" i="4"/>
  <c r="N271" i="4"/>
  <c r="M271" i="4"/>
  <c r="L271" i="4"/>
  <c r="K271" i="4"/>
  <c r="N270" i="4"/>
  <c r="M270" i="4"/>
  <c r="L270" i="4"/>
  <c r="K270" i="4"/>
  <c r="N269" i="4"/>
  <c r="M269" i="4"/>
  <c r="L269" i="4"/>
  <c r="K269" i="4"/>
  <c r="N268" i="4"/>
  <c r="M268" i="4"/>
  <c r="L268" i="4"/>
  <c r="K268" i="4"/>
  <c r="N267" i="4"/>
  <c r="M267" i="4"/>
  <c r="L267" i="4"/>
  <c r="K267" i="4"/>
  <c r="N266" i="4"/>
  <c r="M266" i="4"/>
  <c r="L266" i="4"/>
  <c r="K266" i="4"/>
  <c r="N265" i="4"/>
  <c r="M265" i="4"/>
  <c r="L265" i="4"/>
  <c r="K265" i="4"/>
  <c r="N264" i="4"/>
  <c r="M264" i="4"/>
  <c r="L264" i="4"/>
  <c r="K264" i="4"/>
  <c r="N263" i="4"/>
  <c r="M263" i="4"/>
  <c r="L263" i="4"/>
  <c r="K263" i="4"/>
  <c r="N262" i="4"/>
  <c r="M262" i="4"/>
  <c r="L262" i="4"/>
  <c r="K262" i="4"/>
  <c r="N261" i="4"/>
  <c r="M261" i="4"/>
  <c r="L261" i="4"/>
  <c r="K261" i="4"/>
  <c r="N260" i="4"/>
  <c r="M260" i="4"/>
  <c r="L260" i="4"/>
  <c r="K260" i="4"/>
  <c r="N259" i="4"/>
  <c r="M259" i="4"/>
  <c r="L259" i="4"/>
  <c r="K259" i="4"/>
  <c r="N258" i="4"/>
  <c r="M258" i="4"/>
  <c r="L258" i="4"/>
  <c r="K258" i="4"/>
  <c r="N257" i="4"/>
  <c r="M257" i="4"/>
  <c r="L257" i="4"/>
  <c r="K257" i="4"/>
  <c r="N256" i="4"/>
  <c r="M256" i="4"/>
  <c r="L256" i="4"/>
  <c r="K256" i="4"/>
  <c r="N255" i="4"/>
  <c r="M255" i="4"/>
  <c r="L255" i="4"/>
  <c r="K255" i="4"/>
  <c r="N254" i="4"/>
  <c r="M254" i="4"/>
  <c r="L254" i="4"/>
  <c r="K254" i="4"/>
  <c r="N253" i="4"/>
  <c r="M253" i="4"/>
  <c r="L253" i="4"/>
  <c r="K253" i="4"/>
  <c r="N252" i="4"/>
  <c r="M252" i="4"/>
  <c r="L252" i="4"/>
  <c r="K252" i="4"/>
  <c r="N251" i="4"/>
  <c r="M251" i="4"/>
  <c r="L251" i="4"/>
  <c r="K251" i="4"/>
  <c r="N250" i="4"/>
  <c r="M250" i="4"/>
  <c r="L250" i="4"/>
  <c r="K250" i="4"/>
  <c r="N249" i="4"/>
  <c r="M249" i="4"/>
  <c r="L249" i="4"/>
  <c r="K249" i="4"/>
  <c r="N248" i="4"/>
  <c r="M248" i="4"/>
  <c r="L248" i="4"/>
  <c r="K248" i="4"/>
  <c r="N247" i="4"/>
  <c r="M247" i="4"/>
  <c r="L247" i="4"/>
  <c r="K247" i="4"/>
  <c r="N246" i="4"/>
  <c r="M246" i="4"/>
  <c r="L246" i="4"/>
  <c r="K246" i="4"/>
  <c r="N245" i="4"/>
  <c r="M245" i="4"/>
  <c r="L245" i="4"/>
  <c r="K245" i="4"/>
  <c r="N244" i="4"/>
  <c r="M244" i="4"/>
  <c r="L244" i="4"/>
  <c r="K244" i="4"/>
  <c r="N243" i="4"/>
  <c r="M243" i="4"/>
  <c r="L243" i="4"/>
  <c r="K243" i="4"/>
  <c r="N242" i="4"/>
  <c r="M242" i="4"/>
  <c r="L242" i="4"/>
  <c r="K242" i="4"/>
  <c r="N241" i="4"/>
  <c r="M241" i="4"/>
  <c r="L241" i="4"/>
  <c r="K241" i="4"/>
  <c r="N240" i="4"/>
  <c r="M240" i="4"/>
  <c r="L240" i="4"/>
  <c r="K240" i="4"/>
  <c r="N239" i="4"/>
  <c r="M239" i="4"/>
  <c r="L239" i="4"/>
  <c r="K239" i="4"/>
  <c r="N238" i="4"/>
  <c r="M238" i="4"/>
  <c r="L238" i="4"/>
  <c r="K238" i="4"/>
  <c r="N237" i="4"/>
  <c r="M237" i="4"/>
  <c r="L237" i="4"/>
  <c r="K237" i="4"/>
  <c r="N236" i="4"/>
  <c r="M236" i="4"/>
  <c r="L236" i="4"/>
  <c r="K236" i="4"/>
  <c r="N235" i="4"/>
  <c r="M235" i="4"/>
  <c r="L235" i="4"/>
  <c r="K235" i="4"/>
  <c r="N234" i="4"/>
  <c r="M234" i="4"/>
  <c r="L234" i="4"/>
  <c r="K234" i="4"/>
  <c r="N233" i="4"/>
  <c r="M233" i="4"/>
  <c r="L233" i="4"/>
  <c r="K233" i="4"/>
  <c r="N232" i="4"/>
  <c r="M232" i="4"/>
  <c r="L232" i="4"/>
  <c r="K232" i="4"/>
  <c r="N231" i="4"/>
  <c r="M231" i="4"/>
  <c r="L231" i="4"/>
  <c r="K231" i="4"/>
  <c r="N230" i="4"/>
  <c r="M230" i="4"/>
  <c r="L230" i="4"/>
  <c r="K230" i="4"/>
  <c r="N229" i="4"/>
  <c r="M229" i="4"/>
  <c r="L229" i="4"/>
  <c r="K229" i="4"/>
  <c r="N228" i="4"/>
  <c r="M228" i="4"/>
  <c r="L228" i="4"/>
  <c r="K228" i="4"/>
  <c r="N227" i="4"/>
  <c r="M227" i="4"/>
  <c r="L227" i="4"/>
  <c r="K227" i="4"/>
  <c r="N226" i="4"/>
  <c r="M226" i="4"/>
  <c r="L226" i="4"/>
  <c r="K226" i="4"/>
  <c r="N225" i="4"/>
  <c r="M225" i="4"/>
  <c r="L225" i="4"/>
  <c r="K225" i="4"/>
  <c r="N224" i="4"/>
  <c r="M224" i="4"/>
  <c r="L224" i="4"/>
  <c r="K224" i="4"/>
  <c r="N223" i="4"/>
  <c r="M223" i="4"/>
  <c r="L223" i="4"/>
  <c r="K223" i="4"/>
  <c r="N222" i="4"/>
  <c r="M222" i="4"/>
  <c r="L222" i="4"/>
  <c r="K222" i="4"/>
  <c r="N221" i="4"/>
  <c r="M221" i="4"/>
  <c r="L221" i="4"/>
  <c r="K221" i="4"/>
  <c r="N220" i="4"/>
  <c r="M220" i="4"/>
  <c r="L220" i="4"/>
  <c r="K220" i="4"/>
  <c r="N219" i="4"/>
  <c r="M219" i="4"/>
  <c r="L219" i="4"/>
  <c r="K219" i="4"/>
  <c r="N218" i="4"/>
  <c r="M218" i="4"/>
  <c r="L218" i="4"/>
  <c r="K218" i="4"/>
  <c r="N217" i="4"/>
  <c r="M217" i="4"/>
  <c r="L217" i="4"/>
  <c r="K217" i="4"/>
  <c r="N216" i="4"/>
  <c r="M216" i="4"/>
  <c r="L216" i="4"/>
  <c r="K216" i="4"/>
  <c r="N215" i="4"/>
  <c r="M215" i="4"/>
  <c r="L215" i="4"/>
  <c r="K215" i="4"/>
  <c r="N214" i="4"/>
  <c r="M214" i="4"/>
  <c r="L214" i="4"/>
  <c r="K214" i="4"/>
  <c r="N213" i="4"/>
  <c r="M213" i="4"/>
  <c r="L213" i="4"/>
  <c r="K213" i="4"/>
  <c r="N212" i="4"/>
  <c r="M212" i="4"/>
  <c r="L212" i="4"/>
  <c r="K212" i="4"/>
  <c r="N211" i="4"/>
  <c r="M211" i="4"/>
  <c r="L211" i="4"/>
  <c r="K211" i="4"/>
  <c r="N210" i="4"/>
  <c r="M210" i="4"/>
  <c r="L210" i="4"/>
  <c r="K210" i="4"/>
  <c r="N209" i="4"/>
  <c r="M209" i="4"/>
  <c r="L209" i="4"/>
  <c r="K209" i="4"/>
  <c r="N208" i="4"/>
  <c r="M208" i="4"/>
  <c r="L208" i="4"/>
  <c r="K208" i="4"/>
  <c r="N207" i="4"/>
  <c r="M207" i="4"/>
  <c r="L207" i="4"/>
  <c r="K207" i="4"/>
  <c r="N206" i="4"/>
  <c r="M206" i="4"/>
  <c r="L206" i="4"/>
  <c r="K206" i="4"/>
  <c r="N205" i="4"/>
  <c r="M205" i="4"/>
  <c r="L205" i="4"/>
  <c r="K205" i="4"/>
  <c r="N204" i="4"/>
  <c r="M204" i="4"/>
  <c r="L204" i="4"/>
  <c r="K204" i="4"/>
  <c r="N203" i="4"/>
  <c r="M203" i="4"/>
  <c r="L203" i="4"/>
  <c r="K203" i="4"/>
  <c r="N202" i="4"/>
  <c r="M202" i="4"/>
  <c r="L202" i="4"/>
  <c r="K202" i="4"/>
  <c r="N201" i="4"/>
  <c r="M201" i="4"/>
  <c r="L201" i="4"/>
  <c r="K201" i="4"/>
  <c r="N200" i="4"/>
  <c r="M200" i="4"/>
  <c r="L200" i="4"/>
  <c r="K200" i="4"/>
  <c r="N199" i="4"/>
  <c r="M199" i="4"/>
  <c r="L199" i="4"/>
  <c r="K199" i="4"/>
  <c r="N198" i="4"/>
  <c r="M198" i="4"/>
  <c r="L198" i="4"/>
  <c r="K198" i="4"/>
  <c r="N197" i="4"/>
  <c r="M197" i="4"/>
  <c r="L197" i="4"/>
  <c r="K197" i="4"/>
  <c r="N196" i="4"/>
  <c r="M196" i="4"/>
  <c r="L196" i="4"/>
  <c r="K196" i="4"/>
  <c r="N195" i="4"/>
  <c r="M195" i="4"/>
  <c r="L195" i="4"/>
  <c r="K195" i="4"/>
  <c r="N194" i="4"/>
  <c r="M194" i="4"/>
  <c r="L194" i="4"/>
  <c r="K194" i="4"/>
  <c r="N193" i="4"/>
  <c r="M193" i="4"/>
  <c r="L193" i="4"/>
  <c r="K193" i="4"/>
  <c r="N192" i="4"/>
  <c r="M192" i="4"/>
  <c r="L192" i="4"/>
  <c r="K192" i="4"/>
  <c r="N191" i="4"/>
  <c r="M191" i="4"/>
  <c r="L191" i="4"/>
  <c r="K191" i="4"/>
  <c r="N190" i="4"/>
  <c r="M190" i="4"/>
  <c r="L190" i="4"/>
  <c r="K190" i="4"/>
  <c r="N189" i="4"/>
  <c r="M189" i="4"/>
  <c r="L189" i="4"/>
  <c r="K189" i="4"/>
  <c r="N188" i="4"/>
  <c r="M188" i="4"/>
  <c r="L188" i="4"/>
  <c r="K188" i="4"/>
  <c r="N187" i="4"/>
  <c r="M187" i="4"/>
  <c r="L187" i="4"/>
  <c r="K187" i="4"/>
  <c r="N186" i="4"/>
  <c r="M186" i="4"/>
  <c r="L186" i="4"/>
  <c r="K186" i="4"/>
  <c r="N185" i="4"/>
  <c r="M185" i="4"/>
  <c r="L185" i="4"/>
  <c r="K185" i="4"/>
  <c r="N184" i="4"/>
  <c r="M184" i="4"/>
  <c r="L184" i="4"/>
  <c r="K184" i="4"/>
  <c r="N183" i="4"/>
  <c r="M183" i="4"/>
  <c r="L183" i="4"/>
  <c r="K183" i="4"/>
  <c r="N182" i="4"/>
  <c r="M182" i="4"/>
  <c r="L182" i="4"/>
  <c r="K182" i="4"/>
  <c r="N181" i="4"/>
  <c r="M181" i="4"/>
  <c r="L181" i="4"/>
  <c r="K181" i="4"/>
  <c r="N180" i="4"/>
  <c r="M180" i="4"/>
  <c r="L180" i="4"/>
  <c r="K180" i="4"/>
  <c r="N179" i="4"/>
  <c r="M179" i="4"/>
  <c r="L179" i="4"/>
  <c r="K179" i="4"/>
  <c r="N178" i="4"/>
  <c r="M178" i="4"/>
  <c r="L178" i="4"/>
  <c r="K178" i="4"/>
  <c r="N177" i="4"/>
  <c r="M177" i="4"/>
  <c r="L177" i="4"/>
  <c r="K177" i="4"/>
  <c r="N176" i="4"/>
  <c r="M176" i="4"/>
  <c r="L176" i="4"/>
  <c r="K176" i="4"/>
  <c r="N175" i="4"/>
  <c r="M175" i="4"/>
  <c r="L175" i="4"/>
  <c r="K175" i="4"/>
  <c r="N174" i="4"/>
  <c r="M174" i="4"/>
  <c r="L174" i="4"/>
  <c r="K174" i="4"/>
  <c r="N173" i="4"/>
  <c r="M173" i="4"/>
  <c r="L173" i="4"/>
  <c r="K173" i="4"/>
  <c r="N172" i="4"/>
  <c r="M172" i="4"/>
  <c r="L172" i="4"/>
  <c r="K172" i="4"/>
  <c r="N171" i="4"/>
  <c r="M171" i="4"/>
  <c r="L171" i="4"/>
  <c r="K171" i="4"/>
  <c r="N170" i="4"/>
  <c r="M170" i="4"/>
  <c r="L170" i="4"/>
  <c r="K170" i="4"/>
  <c r="N169" i="4"/>
  <c r="M169" i="4"/>
  <c r="L169" i="4"/>
  <c r="K169" i="4"/>
  <c r="N168" i="4"/>
  <c r="M168" i="4"/>
  <c r="L168" i="4"/>
  <c r="K168" i="4"/>
  <c r="N167" i="4"/>
  <c r="M167" i="4"/>
  <c r="L167" i="4"/>
  <c r="K167" i="4"/>
  <c r="N166" i="4"/>
  <c r="M166" i="4"/>
  <c r="L166" i="4"/>
  <c r="K166" i="4"/>
  <c r="N165" i="4"/>
  <c r="M165" i="4"/>
  <c r="L165" i="4"/>
  <c r="K165" i="4"/>
  <c r="N164" i="4"/>
  <c r="M164" i="4"/>
  <c r="L164" i="4"/>
  <c r="K164" i="4"/>
  <c r="N163" i="4"/>
  <c r="M163" i="4"/>
  <c r="L163" i="4"/>
  <c r="K163" i="4"/>
  <c r="N162" i="4"/>
  <c r="M162" i="4"/>
  <c r="L162" i="4"/>
  <c r="K162" i="4"/>
  <c r="N161" i="4"/>
  <c r="M161" i="4"/>
  <c r="L161" i="4"/>
  <c r="K161" i="4"/>
  <c r="N160" i="4"/>
  <c r="M160" i="4"/>
  <c r="L160" i="4"/>
  <c r="K160" i="4"/>
  <c r="N159" i="4"/>
  <c r="M159" i="4"/>
  <c r="L159" i="4"/>
  <c r="K159" i="4"/>
  <c r="N158" i="4"/>
  <c r="M158" i="4"/>
  <c r="L158" i="4"/>
  <c r="K158" i="4"/>
  <c r="N157" i="4"/>
  <c r="M157" i="4"/>
  <c r="L157" i="4"/>
  <c r="K157" i="4"/>
  <c r="N156" i="4"/>
  <c r="M156" i="4"/>
  <c r="L156" i="4"/>
  <c r="K156" i="4"/>
  <c r="N155" i="4"/>
  <c r="M155" i="4"/>
  <c r="L155" i="4"/>
  <c r="K155" i="4"/>
  <c r="N154" i="4"/>
  <c r="M154" i="4"/>
  <c r="L154" i="4"/>
  <c r="K154" i="4"/>
  <c r="N153" i="4"/>
  <c r="M153" i="4"/>
  <c r="L153" i="4"/>
  <c r="K153" i="4"/>
  <c r="N152" i="4"/>
  <c r="M152" i="4"/>
  <c r="L152" i="4"/>
  <c r="K152" i="4"/>
  <c r="N151" i="4"/>
  <c r="M151" i="4"/>
  <c r="L151" i="4"/>
  <c r="K151" i="4"/>
  <c r="N150" i="4"/>
  <c r="M150" i="4"/>
  <c r="L150" i="4"/>
  <c r="K150" i="4"/>
  <c r="N149" i="4"/>
  <c r="M149" i="4"/>
  <c r="L149" i="4"/>
  <c r="K149" i="4"/>
  <c r="N148" i="4"/>
  <c r="M148" i="4"/>
  <c r="L148" i="4"/>
  <c r="K148" i="4"/>
  <c r="N147" i="4"/>
  <c r="M147" i="4"/>
  <c r="L147" i="4"/>
  <c r="K147" i="4"/>
  <c r="N146" i="4"/>
  <c r="M146" i="4"/>
  <c r="L146" i="4"/>
  <c r="K146" i="4"/>
  <c r="N145" i="4"/>
  <c r="M145" i="4"/>
  <c r="L145" i="4"/>
  <c r="K145" i="4"/>
  <c r="N144" i="4"/>
  <c r="M144" i="4"/>
  <c r="L144" i="4"/>
  <c r="K144" i="4"/>
  <c r="N143" i="4"/>
  <c r="M143" i="4"/>
  <c r="L143" i="4"/>
  <c r="K143" i="4"/>
  <c r="N142" i="4"/>
  <c r="M142" i="4"/>
  <c r="L142" i="4"/>
  <c r="K142" i="4"/>
  <c r="N141" i="4"/>
  <c r="M141" i="4"/>
  <c r="L141" i="4"/>
  <c r="K141" i="4"/>
  <c r="N140" i="4"/>
  <c r="M140" i="4"/>
  <c r="L140" i="4"/>
  <c r="K140" i="4"/>
  <c r="N139" i="4"/>
  <c r="M139" i="4"/>
  <c r="L139" i="4"/>
  <c r="K139" i="4"/>
  <c r="N138" i="4"/>
  <c r="M138" i="4"/>
  <c r="L138" i="4"/>
  <c r="K138" i="4"/>
  <c r="N137" i="4"/>
  <c r="M137" i="4"/>
  <c r="L137" i="4"/>
  <c r="K137" i="4"/>
  <c r="N136" i="4"/>
  <c r="M136" i="4"/>
  <c r="L136" i="4"/>
  <c r="K136" i="4"/>
  <c r="N135" i="4"/>
  <c r="M135" i="4"/>
  <c r="L135" i="4"/>
  <c r="K135" i="4"/>
  <c r="N134" i="4"/>
  <c r="M134" i="4"/>
  <c r="L134" i="4"/>
  <c r="K134" i="4"/>
  <c r="N133" i="4"/>
  <c r="M133" i="4"/>
  <c r="L133" i="4"/>
  <c r="K133" i="4"/>
  <c r="N132" i="4"/>
  <c r="M132" i="4"/>
  <c r="L132" i="4"/>
  <c r="K132" i="4"/>
  <c r="N131" i="4"/>
  <c r="M131" i="4"/>
  <c r="L131" i="4"/>
  <c r="K131" i="4"/>
  <c r="N130" i="4"/>
  <c r="M130" i="4"/>
  <c r="L130" i="4"/>
  <c r="K130" i="4"/>
  <c r="N129" i="4"/>
  <c r="M129" i="4"/>
  <c r="L129" i="4"/>
  <c r="K129" i="4"/>
  <c r="N128" i="4"/>
  <c r="M128" i="4"/>
  <c r="L128" i="4"/>
  <c r="K128" i="4"/>
  <c r="N127" i="4"/>
  <c r="M127" i="4"/>
  <c r="L127" i="4"/>
  <c r="K127" i="4"/>
  <c r="N126" i="4"/>
  <c r="M126" i="4"/>
  <c r="L126" i="4"/>
  <c r="K126" i="4"/>
  <c r="N125" i="4"/>
  <c r="M125" i="4"/>
  <c r="L125" i="4"/>
  <c r="K125" i="4"/>
  <c r="N124" i="4"/>
  <c r="M124" i="4"/>
  <c r="L124" i="4"/>
  <c r="K124" i="4"/>
  <c r="N123" i="4"/>
  <c r="M123" i="4"/>
  <c r="L123" i="4"/>
  <c r="K123" i="4"/>
  <c r="N122" i="4"/>
  <c r="M122" i="4"/>
  <c r="L122" i="4"/>
  <c r="K122" i="4"/>
  <c r="N121" i="4"/>
  <c r="M121" i="4"/>
  <c r="L121" i="4"/>
  <c r="K121" i="4"/>
  <c r="N120" i="4"/>
  <c r="M120" i="4"/>
  <c r="L120" i="4"/>
  <c r="K120" i="4"/>
  <c r="N119" i="4"/>
  <c r="M119" i="4"/>
  <c r="L119" i="4"/>
  <c r="K119" i="4"/>
  <c r="N118" i="4"/>
  <c r="M118" i="4"/>
  <c r="L118" i="4"/>
  <c r="K118" i="4"/>
  <c r="N117" i="4"/>
  <c r="M117" i="4"/>
  <c r="L117" i="4"/>
  <c r="K117" i="4"/>
  <c r="N116" i="4"/>
  <c r="M116" i="4"/>
  <c r="L116" i="4"/>
  <c r="K116" i="4"/>
  <c r="N115" i="4"/>
  <c r="M115" i="4"/>
  <c r="L115" i="4"/>
  <c r="K115" i="4"/>
  <c r="N114" i="4"/>
  <c r="M114" i="4"/>
  <c r="L114" i="4"/>
  <c r="K114" i="4"/>
  <c r="N113" i="4"/>
  <c r="M113" i="4"/>
  <c r="L113" i="4"/>
  <c r="K113" i="4"/>
  <c r="N112" i="4"/>
  <c r="M112" i="4"/>
  <c r="L112" i="4"/>
  <c r="K112" i="4"/>
  <c r="N111" i="4"/>
  <c r="M111" i="4"/>
  <c r="L111" i="4"/>
  <c r="K111" i="4"/>
  <c r="N110" i="4"/>
  <c r="M110" i="4"/>
  <c r="L110" i="4"/>
  <c r="K110" i="4"/>
  <c r="N109" i="4"/>
  <c r="M109" i="4"/>
  <c r="L109" i="4"/>
  <c r="K109" i="4"/>
  <c r="N108" i="4"/>
  <c r="M108" i="4"/>
  <c r="L108" i="4"/>
  <c r="K108" i="4"/>
  <c r="N107" i="4"/>
  <c r="M107" i="4"/>
  <c r="L107" i="4"/>
  <c r="K107" i="4"/>
  <c r="N106" i="4"/>
  <c r="M106" i="4"/>
  <c r="L106" i="4"/>
  <c r="K106" i="4"/>
  <c r="N105" i="4"/>
  <c r="M105" i="4"/>
  <c r="L105" i="4"/>
  <c r="K105" i="4"/>
  <c r="N104" i="4"/>
  <c r="M104" i="4"/>
  <c r="L104" i="4"/>
  <c r="K104" i="4"/>
  <c r="N103" i="4"/>
  <c r="M103" i="4"/>
  <c r="L103" i="4"/>
  <c r="K103" i="4"/>
  <c r="N102" i="4"/>
  <c r="M102" i="4"/>
  <c r="L102" i="4"/>
  <c r="K102" i="4"/>
  <c r="N101" i="4"/>
  <c r="M101" i="4"/>
  <c r="L101" i="4"/>
  <c r="K101" i="4"/>
  <c r="N100" i="4"/>
  <c r="M100" i="4"/>
  <c r="L100" i="4"/>
  <c r="K100" i="4"/>
  <c r="N99" i="4"/>
  <c r="M99" i="4"/>
  <c r="L99" i="4"/>
  <c r="K99" i="4"/>
  <c r="N98" i="4"/>
  <c r="M98" i="4"/>
  <c r="L98" i="4"/>
  <c r="K98" i="4"/>
  <c r="N97" i="4"/>
  <c r="M97" i="4"/>
  <c r="L97" i="4"/>
  <c r="K97" i="4"/>
  <c r="N96" i="4"/>
  <c r="M96" i="4"/>
  <c r="L96" i="4"/>
  <c r="K96" i="4"/>
  <c r="N95" i="4"/>
  <c r="M95" i="4"/>
  <c r="L95" i="4"/>
  <c r="K95" i="4"/>
  <c r="N94" i="4"/>
  <c r="M94" i="4"/>
  <c r="L94" i="4"/>
  <c r="K94" i="4"/>
  <c r="N93" i="4"/>
  <c r="M93" i="4"/>
  <c r="L93" i="4"/>
  <c r="K93" i="4"/>
  <c r="N92" i="4"/>
  <c r="M92" i="4"/>
  <c r="L92" i="4"/>
  <c r="K92" i="4"/>
  <c r="N91" i="4"/>
  <c r="M91" i="4"/>
  <c r="L91" i="4"/>
  <c r="K91" i="4"/>
  <c r="N90" i="4"/>
  <c r="M90" i="4"/>
  <c r="L90" i="4"/>
  <c r="K90" i="4"/>
  <c r="N89" i="4"/>
  <c r="M89" i="4"/>
  <c r="L89" i="4"/>
  <c r="K89" i="4"/>
  <c r="N88" i="4"/>
  <c r="M88" i="4"/>
  <c r="L88" i="4"/>
  <c r="K88" i="4"/>
  <c r="N87" i="4"/>
  <c r="M87" i="4"/>
  <c r="L87" i="4"/>
  <c r="K87" i="4"/>
  <c r="N86" i="4"/>
  <c r="M86" i="4"/>
  <c r="L86" i="4"/>
  <c r="K86" i="4"/>
  <c r="N85" i="4"/>
  <c r="M85" i="4"/>
  <c r="L85" i="4"/>
  <c r="K85" i="4"/>
  <c r="N84" i="4"/>
  <c r="M84" i="4"/>
  <c r="L84" i="4"/>
  <c r="K84" i="4"/>
  <c r="N83" i="4"/>
  <c r="M83" i="4"/>
  <c r="L83" i="4"/>
  <c r="K83" i="4"/>
  <c r="N82" i="4"/>
  <c r="M82" i="4"/>
  <c r="L82" i="4"/>
  <c r="K82" i="4"/>
  <c r="N81" i="4"/>
  <c r="M81" i="4"/>
  <c r="L81" i="4"/>
  <c r="K81" i="4"/>
  <c r="N80" i="4"/>
  <c r="M80" i="4"/>
  <c r="L80" i="4"/>
  <c r="K80" i="4"/>
  <c r="N79" i="4"/>
  <c r="M79" i="4"/>
  <c r="L79" i="4"/>
  <c r="K79" i="4"/>
  <c r="N78" i="4"/>
  <c r="M78" i="4"/>
  <c r="L78" i="4"/>
  <c r="K78" i="4"/>
  <c r="N77" i="4"/>
  <c r="M77" i="4"/>
  <c r="L77" i="4"/>
  <c r="K77" i="4"/>
  <c r="N76" i="4"/>
  <c r="M76" i="4"/>
  <c r="L76" i="4"/>
  <c r="K76" i="4"/>
  <c r="N75" i="4"/>
  <c r="M75" i="4"/>
  <c r="L75" i="4"/>
  <c r="K75" i="4"/>
  <c r="N74" i="4"/>
  <c r="M74" i="4"/>
  <c r="L74" i="4"/>
  <c r="K74" i="4"/>
  <c r="N73" i="4"/>
  <c r="M73" i="4"/>
  <c r="L73" i="4"/>
  <c r="K73" i="4"/>
  <c r="N72" i="4"/>
  <c r="M72" i="4"/>
  <c r="L72" i="4"/>
  <c r="K72" i="4"/>
  <c r="N71" i="4"/>
  <c r="M71" i="4"/>
  <c r="L71" i="4"/>
  <c r="K71" i="4"/>
  <c r="N70" i="4"/>
  <c r="M70" i="4"/>
  <c r="L70" i="4"/>
  <c r="K70" i="4"/>
  <c r="N69" i="4"/>
  <c r="M69" i="4"/>
  <c r="L69" i="4"/>
  <c r="K69" i="4"/>
  <c r="N68" i="4"/>
  <c r="M68" i="4"/>
  <c r="L68" i="4"/>
  <c r="K68" i="4"/>
  <c r="N67" i="4"/>
  <c r="M67" i="4"/>
  <c r="L67" i="4"/>
  <c r="K67" i="4"/>
  <c r="N66" i="4"/>
  <c r="M66" i="4"/>
  <c r="L66" i="4"/>
  <c r="K66" i="4"/>
  <c r="N65" i="4"/>
  <c r="M65" i="4"/>
  <c r="L65" i="4"/>
  <c r="K65" i="4"/>
  <c r="N64" i="4"/>
  <c r="M64" i="4"/>
  <c r="L64" i="4"/>
  <c r="K64" i="4"/>
  <c r="N63" i="4"/>
  <c r="M63" i="4"/>
  <c r="L63" i="4"/>
  <c r="K63" i="4"/>
  <c r="N62" i="4"/>
  <c r="M62" i="4"/>
  <c r="L62" i="4"/>
  <c r="K62" i="4"/>
  <c r="N61" i="4"/>
  <c r="M61" i="4"/>
  <c r="L61" i="4"/>
  <c r="K61" i="4"/>
  <c r="N60" i="4"/>
  <c r="M60" i="4"/>
  <c r="L60" i="4"/>
  <c r="K60" i="4"/>
  <c r="N59" i="4"/>
  <c r="M59" i="4"/>
  <c r="L59" i="4"/>
  <c r="K59" i="4"/>
  <c r="N58" i="4"/>
  <c r="M58" i="4"/>
  <c r="L58" i="4"/>
  <c r="K58" i="4"/>
  <c r="N57" i="4"/>
  <c r="M57" i="4"/>
  <c r="L57" i="4"/>
  <c r="K57" i="4"/>
  <c r="N56" i="4"/>
  <c r="M56" i="4"/>
  <c r="L56" i="4"/>
  <c r="K56" i="4"/>
  <c r="N55" i="4"/>
  <c r="M55" i="4"/>
  <c r="L55" i="4"/>
  <c r="K55" i="4"/>
  <c r="N54" i="4"/>
  <c r="M54" i="4"/>
  <c r="L54" i="4"/>
  <c r="K54" i="4"/>
  <c r="N53" i="4"/>
  <c r="M53" i="4"/>
  <c r="L53" i="4"/>
  <c r="K53" i="4"/>
  <c r="N52" i="4"/>
  <c r="M52" i="4"/>
  <c r="L52" i="4"/>
  <c r="K52" i="4"/>
  <c r="N51" i="4"/>
  <c r="M51" i="4"/>
  <c r="L51" i="4"/>
  <c r="K51" i="4"/>
  <c r="N50" i="4"/>
  <c r="M50" i="4"/>
  <c r="L50" i="4"/>
  <c r="K50" i="4"/>
  <c r="N49" i="4"/>
  <c r="M49" i="4"/>
  <c r="L49" i="4"/>
  <c r="K49" i="4"/>
  <c r="N48" i="4"/>
  <c r="M48" i="4"/>
  <c r="L48" i="4"/>
  <c r="K48" i="4"/>
  <c r="N47" i="4"/>
  <c r="M47" i="4"/>
  <c r="L47" i="4"/>
  <c r="K47" i="4"/>
  <c r="N46" i="4"/>
  <c r="M46" i="4"/>
  <c r="L46" i="4"/>
  <c r="K46" i="4"/>
  <c r="N45" i="4"/>
  <c r="M45" i="4"/>
  <c r="L45" i="4"/>
  <c r="K45" i="4"/>
  <c r="N44" i="4"/>
  <c r="M44" i="4"/>
  <c r="L44" i="4"/>
  <c r="K44" i="4"/>
  <c r="N43" i="4"/>
  <c r="M43" i="4"/>
  <c r="L43" i="4"/>
  <c r="K43" i="4"/>
  <c r="N42" i="4"/>
  <c r="M42" i="4"/>
  <c r="L42" i="4"/>
  <c r="K42" i="4"/>
  <c r="N41" i="4"/>
  <c r="M41" i="4"/>
  <c r="L41" i="4"/>
  <c r="K41" i="4"/>
  <c r="N40" i="4"/>
  <c r="M40" i="4"/>
  <c r="L40" i="4"/>
  <c r="K40" i="4"/>
  <c r="N39" i="4"/>
  <c r="M39" i="4"/>
  <c r="L39" i="4"/>
  <c r="K39" i="4"/>
  <c r="N38" i="4"/>
  <c r="M38" i="4"/>
  <c r="L38" i="4"/>
  <c r="K38" i="4"/>
  <c r="N37" i="4"/>
  <c r="M37" i="4"/>
  <c r="L37" i="4"/>
  <c r="K37" i="4"/>
  <c r="N36" i="4"/>
  <c r="M36" i="4"/>
  <c r="L36" i="4"/>
  <c r="K36" i="4"/>
  <c r="N35" i="4"/>
  <c r="M35" i="4"/>
  <c r="L35" i="4"/>
  <c r="K35" i="4"/>
  <c r="N34" i="4"/>
  <c r="M34" i="4"/>
  <c r="L34" i="4"/>
  <c r="K34" i="4"/>
  <c r="N33" i="4"/>
  <c r="M33" i="4"/>
  <c r="L33" i="4"/>
  <c r="K33" i="4"/>
  <c r="N32" i="4"/>
  <c r="M32" i="4"/>
  <c r="L32" i="4"/>
  <c r="K32" i="4"/>
  <c r="N31" i="4"/>
  <c r="M31" i="4"/>
  <c r="L31" i="4"/>
  <c r="K31" i="4"/>
  <c r="N30" i="4"/>
  <c r="M30" i="4"/>
  <c r="L30" i="4"/>
  <c r="K30" i="4"/>
  <c r="N29" i="4"/>
  <c r="M29" i="4"/>
  <c r="L29" i="4"/>
  <c r="K29" i="4"/>
  <c r="N28" i="4"/>
  <c r="M28" i="4"/>
  <c r="L28" i="4"/>
  <c r="K28" i="4"/>
  <c r="N27" i="4"/>
  <c r="M27" i="4"/>
  <c r="L27" i="4"/>
  <c r="K27" i="4"/>
  <c r="N26" i="4"/>
  <c r="M26" i="4"/>
  <c r="L26" i="4"/>
  <c r="K26" i="4"/>
  <c r="N25" i="4"/>
  <c r="M25" i="4"/>
  <c r="L25" i="4"/>
  <c r="K25" i="4"/>
  <c r="N24" i="4"/>
  <c r="M24" i="4"/>
  <c r="L24" i="4"/>
  <c r="K24" i="4"/>
  <c r="N23" i="4"/>
  <c r="M23" i="4"/>
  <c r="L23" i="4"/>
  <c r="K23" i="4"/>
  <c r="N22" i="4"/>
  <c r="M22" i="4"/>
  <c r="L22" i="4"/>
  <c r="K22" i="4"/>
  <c r="N21" i="4"/>
  <c r="M21" i="4"/>
  <c r="L21" i="4"/>
  <c r="K21" i="4"/>
  <c r="N20" i="4"/>
  <c r="M20" i="4"/>
  <c r="L20" i="4"/>
  <c r="K20" i="4"/>
  <c r="N19" i="4"/>
  <c r="M19" i="4"/>
  <c r="L19" i="4"/>
  <c r="K19" i="4"/>
  <c r="N18" i="4"/>
  <c r="M18" i="4"/>
  <c r="L18" i="4"/>
  <c r="K18" i="4"/>
  <c r="N17" i="4"/>
  <c r="M17" i="4"/>
  <c r="L17" i="4"/>
  <c r="K17" i="4"/>
  <c r="N16" i="4"/>
  <c r="M16" i="4"/>
  <c r="L16" i="4"/>
  <c r="K16" i="4"/>
  <c r="N15" i="4"/>
  <c r="M15" i="4"/>
  <c r="L15" i="4"/>
  <c r="K15" i="4"/>
  <c r="N14" i="4"/>
  <c r="M14" i="4"/>
  <c r="L14" i="4"/>
  <c r="K14" i="4"/>
  <c r="N13" i="4"/>
  <c r="M13" i="4"/>
  <c r="L13" i="4"/>
  <c r="K13" i="4"/>
  <c r="N12" i="4"/>
  <c r="M12" i="4"/>
  <c r="L12" i="4"/>
  <c r="K12" i="4"/>
  <c r="N11" i="4"/>
  <c r="M11" i="4"/>
  <c r="L11" i="4"/>
  <c r="K11" i="4"/>
  <c r="N10" i="4"/>
  <c r="M10" i="4"/>
  <c r="L10" i="4"/>
  <c r="K10" i="4"/>
  <c r="N9" i="4"/>
  <c r="M9" i="4"/>
  <c r="L9" i="4"/>
  <c r="K9" i="4"/>
  <c r="N8" i="4"/>
  <c r="M8" i="4"/>
  <c r="L8" i="4"/>
  <c r="K8" i="4"/>
  <c r="N7" i="4"/>
  <c r="M7" i="4"/>
  <c r="L7" i="4"/>
  <c r="K7" i="4"/>
  <c r="N6" i="4"/>
  <c r="M6" i="4"/>
  <c r="L6" i="4"/>
  <c r="K6" i="4"/>
  <c r="N5" i="4"/>
  <c r="M5" i="4"/>
  <c r="L5" i="4"/>
  <c r="K5" i="4"/>
  <c r="N4" i="4"/>
  <c r="M4" i="4"/>
  <c r="L4" i="4"/>
  <c r="K4" i="4"/>
  <c r="N3" i="4"/>
  <c r="M3" i="4"/>
  <c r="L3" i="4"/>
  <c r="K3" i="4"/>
  <c r="N2" i="4"/>
  <c r="M2" i="4"/>
  <c r="L2" i="4"/>
  <c r="K2" i="4"/>
</calcChain>
</file>

<file path=xl/sharedStrings.xml><?xml version="1.0" encoding="utf-8"?>
<sst xmlns="http://schemas.openxmlformats.org/spreadsheetml/2006/main" count="6207" uniqueCount="412">
  <si>
    <t>Party Name</t>
  </si>
  <si>
    <t>Product Name</t>
  </si>
  <si>
    <t>City</t>
  </si>
  <si>
    <t>Gender</t>
  </si>
  <si>
    <t>Amount</t>
  </si>
  <si>
    <t>Reliance Enterprises</t>
  </si>
  <si>
    <t>Computer</t>
  </si>
  <si>
    <t>Delhi</t>
  </si>
  <si>
    <t>Female</t>
  </si>
  <si>
    <t>Tata Solutions</t>
  </si>
  <si>
    <t>Laptop</t>
  </si>
  <si>
    <t>Mumbai</t>
  </si>
  <si>
    <t>Male</t>
  </si>
  <si>
    <t>Infosys Technologies</t>
  </si>
  <si>
    <t>Wipro Digital</t>
  </si>
  <si>
    <t>Adani Industries</t>
  </si>
  <si>
    <t>Mahindra Innovations</t>
  </si>
  <si>
    <t>Speakers</t>
  </si>
  <si>
    <t>Chennai</t>
  </si>
  <si>
    <t>HDFC Finance</t>
  </si>
  <si>
    <t>Flipkart Retail</t>
  </si>
  <si>
    <t>Byju’s EdTech</t>
  </si>
  <si>
    <t>Zomato Services</t>
  </si>
  <si>
    <t>Banglore</t>
  </si>
  <si>
    <t>Accounts Expert</t>
  </si>
  <si>
    <t>Haryana</t>
  </si>
  <si>
    <t>Pts Cad Expert</t>
  </si>
  <si>
    <t>Grand Total</t>
  </si>
  <si>
    <t>Sum of Amount</t>
  </si>
  <si>
    <t>date</t>
  </si>
  <si>
    <t>Month</t>
  </si>
  <si>
    <t>Name</t>
  </si>
  <si>
    <t>Category</t>
  </si>
  <si>
    <t>State</t>
  </si>
  <si>
    <t>Quantity</t>
  </si>
  <si>
    <t>Cost</t>
  </si>
  <si>
    <t>Price</t>
  </si>
  <si>
    <t>Purchase Cost</t>
  </si>
  <si>
    <t>Sale Price</t>
  </si>
  <si>
    <t>Profit</t>
  </si>
  <si>
    <t>Status</t>
  </si>
  <si>
    <t>june</t>
  </si>
  <si>
    <t>Horizon Wellness</t>
  </si>
  <si>
    <t>Decor</t>
  </si>
  <si>
    <t>Car accessories</t>
  </si>
  <si>
    <t>Assam</t>
  </si>
  <si>
    <t>True Value Electronics</t>
  </si>
  <si>
    <t>Punjab</t>
  </si>
  <si>
    <t>Harmony Homes Realty</t>
  </si>
  <si>
    <t>Chhattisgarh</t>
  </si>
  <si>
    <t>Stellar Advertising</t>
  </si>
  <si>
    <t>West Bengal</t>
  </si>
  <si>
    <t>Modern Trends Retail</t>
  </si>
  <si>
    <t>Madhya Pradesh</t>
  </si>
  <si>
    <t>Global Spectrum Consulting</t>
  </si>
  <si>
    <t>Jharkhand</t>
  </si>
  <si>
    <t>april</t>
  </si>
  <si>
    <t>Apex Solutions</t>
  </si>
  <si>
    <t xml:space="preserve">Fashion </t>
  </si>
  <si>
    <t>Women dress</t>
  </si>
  <si>
    <t>Gujarat</t>
  </si>
  <si>
    <t>Radiant Vision Studios</t>
  </si>
  <si>
    <t>Home décor</t>
  </si>
  <si>
    <t>Noble Travel Services</t>
  </si>
  <si>
    <t>Uttar Pradesh</t>
  </si>
  <si>
    <t>july</t>
  </si>
  <si>
    <t>Bright Future Academy</t>
  </si>
  <si>
    <t>Visionary Health Systems</t>
  </si>
  <si>
    <t>Apex Retailers</t>
  </si>
  <si>
    <t>Maharashtra</t>
  </si>
  <si>
    <t>Metro Tech Solutions</t>
  </si>
  <si>
    <t>Electronic</t>
  </si>
  <si>
    <t>Speaker</t>
  </si>
  <si>
    <t>Prestige Property Developers</t>
  </si>
  <si>
    <t>Chandigarh</t>
  </si>
  <si>
    <t>Classic Trends Fashion</t>
  </si>
  <si>
    <t>Harmony Ventures</t>
  </si>
  <si>
    <t>Andhra Pradesh</t>
  </si>
  <si>
    <t>Stellar Realty</t>
  </si>
  <si>
    <t>Bihar</t>
  </si>
  <si>
    <t>Future Path Technologies</t>
  </si>
  <si>
    <t>Elite Edge Services</t>
  </si>
  <si>
    <t>august</t>
  </si>
  <si>
    <t>Modern Harmony Products</t>
  </si>
  <si>
    <t>Horizon Builders &amp; Developers</t>
  </si>
  <si>
    <t>Rajasthan</t>
  </si>
  <si>
    <t>Legacy Apparel</t>
  </si>
  <si>
    <t>Elite Marketing Solutions</t>
  </si>
  <si>
    <t>TV</t>
  </si>
  <si>
    <t>Tamil Nadu</t>
  </si>
  <si>
    <t>Pinnacle Education Group</t>
  </si>
  <si>
    <t>Crystal Clear Solutions</t>
  </si>
  <si>
    <t>Noble Innovations</t>
  </si>
  <si>
    <t>Crystal Clear Realty</t>
  </si>
  <si>
    <t>september</t>
  </si>
  <si>
    <t>Apex Publishing House</t>
  </si>
  <si>
    <t>True Value Consulting</t>
  </si>
  <si>
    <t>Future Path Ventures</t>
  </si>
  <si>
    <t>Stellar Tech Services</t>
  </si>
  <si>
    <t>Legacy Travel Agency</t>
  </si>
  <si>
    <t>Karnataka</t>
  </si>
  <si>
    <t>Harmony Innovations</t>
  </si>
  <si>
    <t>Telangana</t>
  </si>
  <si>
    <t>Elite Media Group</t>
  </si>
  <si>
    <t>Radiant Construction</t>
  </si>
  <si>
    <t>Pinnacle Finance</t>
  </si>
  <si>
    <t>Horizon Tech Ventures</t>
  </si>
  <si>
    <t>Elite Edge Consulting</t>
  </si>
  <si>
    <t>Harmony Tech Ventures</t>
  </si>
  <si>
    <t>october</t>
  </si>
  <si>
    <t>Radiant Fitness Studio</t>
  </si>
  <si>
    <t>Zenith Finance Co.</t>
  </si>
  <si>
    <t>Apex Events Management</t>
  </si>
  <si>
    <t>Stellar Media Group</t>
  </si>
  <si>
    <t>Harmony Finance Co.</t>
  </si>
  <si>
    <t>Pure Vision Ventures</t>
  </si>
  <si>
    <t>Legacy Travel Services</t>
  </si>
  <si>
    <t>Elite Spectrum Media</t>
  </si>
  <si>
    <t>Pinnacle Design Studio</t>
  </si>
  <si>
    <t>january</t>
  </si>
  <si>
    <t>Legacy Travel Ventures</t>
  </si>
  <si>
    <t>may</t>
  </si>
  <si>
    <t>Absolute Solutions</t>
  </si>
  <si>
    <t>Saree</t>
  </si>
  <si>
    <t>Stellar Design Group</t>
  </si>
  <si>
    <t>Horizon Ventures Co.</t>
  </si>
  <si>
    <t>Zenith Wellness Services</t>
  </si>
  <si>
    <t>Legacy Travel Co.</t>
  </si>
  <si>
    <t>Pinnacle Innovations Group</t>
  </si>
  <si>
    <t>Stellar Health Services</t>
  </si>
  <si>
    <t>Radiance Design Co.</t>
  </si>
  <si>
    <t>Harmony Consulting Group</t>
  </si>
  <si>
    <t>Synergy Tech Solutions</t>
  </si>
  <si>
    <t>Apex Educational Group</t>
  </si>
  <si>
    <t>Modern Wellness Co.</t>
  </si>
  <si>
    <t>Pure Spectrum Innovations</t>
  </si>
  <si>
    <t>Pinnacle Travel Co.</t>
  </si>
  <si>
    <t>Kerala</t>
  </si>
  <si>
    <t>Radiant Enterprise Solutions</t>
  </si>
  <si>
    <t>Infinite Solutions</t>
  </si>
  <si>
    <t>Synergy Solutions Group</t>
  </si>
  <si>
    <t>Horizon Tech Solutions</t>
  </si>
  <si>
    <t>Apex Wellness Solutions</t>
  </si>
  <si>
    <t>Suit</t>
  </si>
  <si>
    <t>Radiance Tech Solutions</t>
  </si>
  <si>
    <t>Apex Enterprise Solutions</t>
  </si>
  <si>
    <t>Prestige Solutions</t>
  </si>
  <si>
    <t>Urban Wave Solutions</t>
  </si>
  <si>
    <t>Visionary Realty Solutions</t>
  </si>
  <si>
    <t>Pure Essence Solutions</t>
  </si>
  <si>
    <t>Crystal Health Solutions</t>
  </si>
  <si>
    <t>Stellar Travel Solutions</t>
  </si>
  <si>
    <t>Pure Harmony Solutions</t>
  </si>
  <si>
    <t>Modern Spectrum Solutions</t>
  </si>
  <si>
    <t>Bharat Innovations</t>
  </si>
  <si>
    <t>Green Leaf Enterprises</t>
  </si>
  <si>
    <t>Earbuds</t>
  </si>
  <si>
    <t>Urban Pulse Technologies</t>
  </si>
  <si>
    <t>Apex Creative Solutions</t>
  </si>
  <si>
    <t>Mystic India Exports</t>
  </si>
  <si>
    <t>Pure Essence Skincare</t>
  </si>
  <si>
    <t>Zenith Construction Co.</t>
  </si>
  <si>
    <t>Radiant Health Systems</t>
  </si>
  <si>
    <t>Radiance Solutions Group</t>
  </si>
  <si>
    <t>Divine Creations</t>
  </si>
  <si>
    <t>True Path Logistics</t>
  </si>
  <si>
    <t>Modern Edge Solutions</t>
  </si>
  <si>
    <t>Prestige Automobiles</t>
  </si>
  <si>
    <t>Horizon Health Solutions</t>
  </si>
  <si>
    <t>Natural Bliss Beverages</t>
  </si>
  <si>
    <t>Apex Marketing Solutions</t>
  </si>
  <si>
    <t>Modern Trends Fashion</t>
  </si>
  <si>
    <t>Heritage Crafts</t>
  </si>
  <si>
    <t>Future Insights Analytics</t>
  </si>
  <si>
    <t>Emerald Estate Developers</t>
  </si>
  <si>
    <t>Starlight Media Group</t>
  </si>
  <si>
    <t>Himachal Pradesh</t>
  </si>
  <si>
    <t>Supreme Electronics</t>
  </si>
  <si>
    <t>Uttarakhand</t>
  </si>
  <si>
    <t>Optimum Wellness</t>
  </si>
  <si>
    <t>Zenith Books Publishing</t>
  </si>
  <si>
    <t>Pinnacle Innovations</t>
  </si>
  <si>
    <t>Apex Travel Services</t>
  </si>
  <si>
    <t>Golden Era Realty</t>
  </si>
  <si>
    <t>november</t>
  </si>
  <si>
    <t>Radiance Solutions Co.</t>
  </si>
  <si>
    <t>Male dress</t>
  </si>
  <si>
    <t>Radiant Jewelry</t>
  </si>
  <si>
    <t>Infinity Ventures</t>
  </si>
  <si>
    <t>Horizon Creative Solutions</t>
  </si>
  <si>
    <t>Royal Taste Foods</t>
  </si>
  <si>
    <t>Harmony Homes</t>
  </si>
  <si>
    <t>Urban Edge Consulting</t>
  </si>
  <si>
    <t>Prime Tech Innovations</t>
  </si>
  <si>
    <t>Urban Spectrum Solutions</t>
  </si>
  <si>
    <t>Legacy Designs</t>
  </si>
  <si>
    <t>Virtue Enterprises</t>
  </si>
  <si>
    <t>Radiant Health Club</t>
  </si>
  <si>
    <t>Legacy Wellness Solutions</t>
  </si>
  <si>
    <t>Bright Horizon Ventures</t>
  </si>
  <si>
    <t>Horizon Media Solutions</t>
  </si>
  <si>
    <t>Modern Lifestyle Products</t>
  </si>
  <si>
    <t>Nexus Trading Co.</t>
  </si>
  <si>
    <t>Radiance Health and Wellness</t>
  </si>
  <si>
    <t>Legacy Auto Works</t>
  </si>
  <si>
    <t>Prime Essence Creations</t>
  </si>
  <si>
    <t>Quantum Ventures</t>
  </si>
  <si>
    <t>Urban Legends Apparel</t>
  </si>
  <si>
    <t>Pure Bliss Beverages</t>
  </si>
  <si>
    <t>Noble Heights Builders</t>
  </si>
  <si>
    <t>Urban Vision Solutions</t>
  </si>
  <si>
    <t>Radiant Foods</t>
  </si>
  <si>
    <t>Zenith Financial Services</t>
  </si>
  <si>
    <t>december</t>
  </si>
  <si>
    <t>Pinnacle Travel Solutions</t>
  </si>
  <si>
    <t>Apex Travel Ventures</t>
  </si>
  <si>
    <t>Future Vision Realty</t>
  </si>
  <si>
    <t>Urban Pulse Media</t>
  </si>
  <si>
    <t>True Essence Health</t>
  </si>
  <si>
    <t>Harmony Health Solutions</t>
  </si>
  <si>
    <t>Radiant Vision Realty</t>
  </si>
  <si>
    <t>Modern Vision Solutions</t>
  </si>
  <si>
    <t>Zenith Tech Ventures</t>
  </si>
  <si>
    <t>Pure Path Foods</t>
  </si>
  <si>
    <t>Bright Horizon Realty</t>
  </si>
  <si>
    <t>Radiant Educational Solutions</t>
  </si>
  <si>
    <t>Crystal Clear Consulting</t>
  </si>
  <si>
    <t>Zenith Innovations</t>
  </si>
  <si>
    <t>True Essence Innovations</t>
  </si>
  <si>
    <t>Zenith Creative Solutions</t>
  </si>
  <si>
    <t>Pinnacle Media Group</t>
  </si>
  <si>
    <t>Pure Vision Solutions</t>
  </si>
  <si>
    <t>Legacy Design Co.</t>
  </si>
  <si>
    <t>Apex Health Products</t>
  </si>
  <si>
    <t>Zenith Travel Ventures</t>
  </si>
  <si>
    <t>Pure Path Consulting</t>
  </si>
  <si>
    <t>Harmony Edge Solutions</t>
  </si>
  <si>
    <t>Harmony Educational Group</t>
  </si>
  <si>
    <t>Radiant Design Studio</t>
  </si>
  <si>
    <t>Zenith Health Innovations</t>
  </si>
  <si>
    <t>Apex Realty Ventures</t>
  </si>
  <si>
    <t>True Value Ventures</t>
  </si>
  <si>
    <t>Crystal Clear Designs</t>
  </si>
  <si>
    <t>Pinnacle Media Solutions</t>
  </si>
  <si>
    <t>Pinnacle Innovations Co.</t>
  </si>
  <si>
    <t>Radiant Tech Solutions</t>
  </si>
  <si>
    <t>Modern Pathways</t>
  </si>
  <si>
    <t>Elite Creative Solutions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</si>
  <si>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</si>
  <si>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</si>
  <si>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</si>
  <si>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</si>
  <si>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</si>
  <si>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</si>
  <si>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Pinnacle Design Solutions</t>
  </si>
  <si>
    <t>Pure Harmony Innovations</t>
  </si>
  <si>
    <t>Legacy Media Group</t>
  </si>
  <si>
    <t>Horizon Tech Innovations</t>
  </si>
  <si>
    <t>Crystal Spectrum Consulting</t>
  </si>
  <si>
    <t>Stellar Creative Co.</t>
  </si>
  <si>
    <t>Radiance Media Ventures</t>
  </si>
  <si>
    <t>Zenith Edge Services</t>
  </si>
  <si>
    <t>february</t>
  </si>
  <si>
    <t>Stellar Consulting Services</t>
  </si>
  <si>
    <t>Radiant Ventures</t>
  </si>
  <si>
    <t>Harmony Tech Co.</t>
  </si>
  <si>
    <t>Zenith Path Solutions</t>
  </si>
  <si>
    <t>Zenith Creative Ventures</t>
  </si>
  <si>
    <t>Apex Health Services</t>
  </si>
  <si>
    <t>Pure Vision Media</t>
  </si>
  <si>
    <t>Legacy Media Solutions</t>
  </si>
  <si>
    <t>Legacy Innovations Group</t>
  </si>
  <si>
    <t>Pinnacle Consulting Co.</t>
  </si>
  <si>
    <t>Stellar Finance Group</t>
  </si>
  <si>
    <t>Harmony Ventures Group</t>
  </si>
  <si>
    <t>Radiant Solutions Co.</t>
  </si>
  <si>
    <t>Modern Travel Solutions</t>
  </si>
  <si>
    <t>Zenith Tech Solutions</t>
  </si>
  <si>
    <t>Golden Horizon Ventures</t>
  </si>
  <si>
    <t>Eternal Traditions</t>
  </si>
  <si>
    <t>Harmony Foods</t>
  </si>
  <si>
    <t>Sacred Roots Apparel</t>
  </si>
  <si>
    <t>Quantum Finance Services</t>
  </si>
  <si>
    <t>Brilliant Minds Academy</t>
  </si>
  <si>
    <t>Visionary Holdings</t>
  </si>
  <si>
    <t>Stellar Design Studio</t>
  </si>
  <si>
    <t>Classic Cuisines</t>
  </si>
  <si>
    <t>Bold Ventures</t>
  </si>
  <si>
    <t>Radiance Spa</t>
  </si>
  <si>
    <t>Verve Fitness Studio</t>
  </si>
  <si>
    <t>Sparkle Cleaners</t>
  </si>
  <si>
    <t>Global Reach Logistics</t>
  </si>
  <si>
    <t>Noble Path Finance</t>
  </si>
  <si>
    <t>Dynamic Events Management</t>
  </si>
  <si>
    <t>Crystal Waters Resort</t>
  </si>
  <si>
    <t>Excellence Tutors</t>
  </si>
  <si>
    <t>Horizon Builders</t>
  </si>
  <si>
    <t>Classic Heritage Crafts</t>
  </si>
  <si>
    <t>Prime Focus Media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</si>
  <si>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</si>
  <si>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</si>
  <si>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</si>
  <si>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</si>
  <si>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</si>
  <si>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</si>
  <si>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</si>
  <si>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</si>
  <si>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</si>
  <si>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</si>
  <si>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Elite Essence Products</t>
  </si>
  <si>
    <t>Dynamic Creations</t>
  </si>
  <si>
    <t>Quantum Design Studio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</si>
  <si>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</si>
  <si>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</si>
  <si>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</si>
  <si>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</si>
  <si>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</si>
  <si>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</si>
  <si>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</si>
  <si>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</si>
  <si>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</si>
  <si>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</si>
  <si>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</si>
  <si>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</si>
  <si>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</si>
  <si>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</si>
  <si>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</si>
  <si>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</si>
  <si>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</si>
  <si>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</si>
  <si>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</si>
  <si>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Royal Crest Foods</t>
  </si>
  <si>
    <t>Zenith Travels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</si>
  <si>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</si>
  <si>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</si>
  <si>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</si>
  <si>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</si>
  <si>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</si>
  <si>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</si>
  <si>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</si>
  <si>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Pinnacle Health Innovations</t>
  </si>
  <si>
    <t>Horizon Fashion</t>
  </si>
  <si>
    <t>Crystal Essence Beverages</t>
  </si>
  <si>
    <t>Dynamic Pathways</t>
  </si>
  <si>
    <t>Radiance Apparel</t>
  </si>
  <si>
    <t>Zenith Design Group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</si>
  <si>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</si>
  <si>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</si>
  <si>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</si>
  <si>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</si>
  <si>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</si>
  <si>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</si>
  <si>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</si>
  <si>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Visionary Innovations</t>
  </si>
  <si>
    <t>Horizon Design Studio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</si>
  <si>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</si>
  <si>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</si>
  <si>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</si>
  <si>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</si>
  <si>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</si>
  <si>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</si>
  <si>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Zenith Health Products</t>
  </si>
  <si>
    <t>Stellar Wellness Products</t>
  </si>
  <si>
    <t>Radiant Consulting Group</t>
  </si>
  <si>
    <t>Harmony Ventures Co.</t>
  </si>
  <si>
    <t>Urban Path Technologies</t>
  </si>
  <si>
    <t>Modern Vision Ventures</t>
  </si>
  <si>
    <t>Elite Travel Services</t>
  </si>
  <si>
    <t>Crystal Innovations Group</t>
  </si>
  <si>
    <t>Pinnacle Fitness Studio</t>
  </si>
  <si>
    <t>Stellar Travel Agency</t>
  </si>
  <si>
    <t>True Path Consulting</t>
  </si>
  <si>
    <t>Legacy Finance Group</t>
  </si>
  <si>
    <t>Pinnacle Design Ventures</t>
  </si>
  <si>
    <t>Stellar Innovations Co.</t>
  </si>
  <si>
    <t>Harmony Marketing Co.</t>
  </si>
  <si>
    <t>Urban Tech Innovations</t>
  </si>
  <si>
    <t>Crystal Wellness Group</t>
  </si>
  <si>
    <t>Apex Media Co.</t>
  </si>
  <si>
    <t>Legacy Health Ventures</t>
  </si>
  <si>
    <t>Pinnacle Spectrum Co.</t>
  </si>
  <si>
    <t>Stellar Travel Products</t>
  </si>
  <si>
    <t>Radiance Finance Services</t>
  </si>
  <si>
    <t>Modern Travel Agency</t>
  </si>
  <si>
    <t>Crystal Path Consulting</t>
  </si>
  <si>
    <t>Zenith Educational Services</t>
  </si>
  <si>
    <t>Apex Innovations Co.</t>
  </si>
  <si>
    <t>Pure Harmony Health</t>
  </si>
  <si>
    <t>Apex Travel Innovations</t>
  </si>
  <si>
    <t>Modern Health Products</t>
  </si>
  <si>
    <t>Harmony Finance Group</t>
  </si>
  <si>
    <t>Pure Vision Consulting</t>
  </si>
  <si>
    <t>Legacy Spectrum Co.</t>
  </si>
  <si>
    <t>Stellar Media Services</t>
  </si>
  <si>
    <t>Radiant Innovations Group</t>
  </si>
  <si>
    <t>Horizon Path Ventures</t>
  </si>
  <si>
    <t>Zenith Tech Co.</t>
  </si>
  <si>
    <t>Apex Finance Ventures</t>
  </si>
  <si>
    <t>Zenith Wellness Co.</t>
  </si>
  <si>
    <t>Apex Design Services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</si>
  <si>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</si>
  <si>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</si>
  <si>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</si>
  <si>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</si>
  <si>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</si>
  <si>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</si>
  <si>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Apex Finance Group</t>
  </si>
  <si>
    <t>Pure Harmony Media</t>
  </si>
  <si>
    <t>Legacy Health Co.</t>
  </si>
  <si>
    <t>ACCOUNTS EXPERT</t>
  </si>
  <si>
    <t>CHAIR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</si>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</sst>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64" fontId="2" fillId="4" borderId="16" xfId="0" applyNumberFormat="1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164" fontId="2" fillId="4" borderId="18" xfId="0" applyNumberFormat="1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NULL"/><Relationship Id="rId1" Type="http://schemas.openxmlformats.org/officeDocument/2006/relationships/customXml" Target="../ink/ink1.xml"/><Relationship Id="rId6" Type="http://schemas.openxmlformats.org/officeDocument/2006/relationships/image" Target="NUL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616980</xdr:colOff>
      <xdr:row>680</xdr:row>
      <xdr:rowOff>0</xdr:rowOff>
    </xdr:from>
    <xdr:to>
      <xdr:col>10</xdr:col>
      <xdr:colOff>635700</xdr:colOff>
      <xdr:row>680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34B970-98EB-4194-86BA-897F3FCA4E63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616980</xdr:colOff>
      <xdr:row>827</xdr:row>
      <xdr:rowOff>0</xdr:rowOff>
    </xdr:from>
    <xdr:ext cx="1872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F69EBBE-8B3A-403B-9650-AADEF3E6B0E9}"/>
                </a:ext>
              </a:extLst>
            </xdr14:cNvPr>
            <xdr14:cNvContentPartPr/>
          </xdr14:nvContentPartPr>
          <xdr14:nvPr macro=""/>
          <xdr14:xfrm>
            <a:off x="11003040" y="65737800"/>
            <a:ext cx="187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E7F7C3-B0AA-94AA-1784-6C060F9CCC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96920" y="65731680"/>
              <a:ext cx="3096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895320</xdr:colOff>
      <xdr:row>0</xdr:row>
      <xdr:rowOff>120600</xdr:rowOff>
    </xdr:from>
    <xdr:to>
      <xdr:col>0</xdr:col>
      <xdr:colOff>895680</xdr:colOff>
      <xdr:row>0</xdr:row>
      <xdr:rowOff>120960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A1E5266-BF49-4212-AFFF-6AEE00B86B3B}"/>
                </a:ext>
              </a:extLst>
            </xdr14:cNvPr>
            <xdr14:cNvContentPartPr/>
          </xdr14:nvContentPartPr>
          <xdr14:nvPr macro=""/>
          <xdr14:xfrm>
            <a:off x="895320" y="1206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7FFE4CA-6049-5394-6F66-992D8FC59B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9200" y="114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9:35:19.44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9:35:19.46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24575,'3'0'0,"9"0"0,6 0 0,0 0-8191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09:35:19.464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0 24575,'0'0'-8191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faiz" refreshedDate="45948.597448148146" createdVersion="8" refreshedVersion="8" minRefreshableVersion="3" recordCount="51" xr:uid="{72EDC0E5-371F-4A63-B67A-5DFBDD32A83E}">
  <cacheSource type="worksheet">
    <worksheetSource ref="A1:E52" sheet="main shot data"/>
  </cacheSource>
  <cacheFields count="5">
    <cacheField name="Party Name" numFmtId="0">
      <sharedItems/>
    </cacheField>
    <cacheField name="Product Name" numFmtId="0">
      <sharedItems count="3">
        <s v="Computer"/>
        <s v="Laptop"/>
        <s v="Speakers"/>
      </sharedItems>
    </cacheField>
    <cacheField name="City" numFmtId="0">
      <sharedItems count="5">
        <s v="Delhi"/>
        <s v="Mumbai"/>
        <s v="Chennai"/>
        <s v="Banglore"/>
        <s v="Haryana"/>
      </sharedItems>
    </cacheField>
    <cacheField name="Gender" numFmtId="0">
      <sharedItems/>
    </cacheField>
    <cacheField name="Amount" numFmtId="0">
      <sharedItems containsSemiMixedTypes="0" containsString="0" containsNumber="1" containsInteger="1" minValue="50194" maxValue="8365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faiz" refreshedDate="45948.629478703704" createdVersion="8" refreshedVersion="8" minRefreshableVersion="3" recordCount="992" xr:uid="{53FA408A-E596-4336-8DDF-60537F08FDBF}">
  <cacheSource type="worksheet">
    <worksheetSource ref="A1:N993" sheet="main data"/>
  </cacheSource>
  <cacheFields count="18">
    <cacheField name="date" numFmtId="164">
      <sharedItems containsSemiMixedTypes="0" containsNonDate="0" containsDate="1" containsString="0" minDate="2024-04-01T00:00:00" maxDate="2025-02-26T00:00:00" count="331">
        <d v="2024-06-11T00:00:00"/>
        <d v="2024-06-12T00:00:00"/>
        <d v="2024-06-13T00:00:00"/>
        <d v="2024-06-14T00:00:00"/>
        <d v="2024-06-16T00:00:00"/>
        <d v="2024-06-17T00:00:00"/>
        <d v="2024-04-07T00:00:00"/>
        <d v="2024-06-29T00:00:00"/>
        <d v="2024-06-30T00:00:00"/>
        <d v="2024-07-01T00:00:00"/>
        <d v="2024-07-03T00:00:00"/>
        <d v="2024-07-04T00:00:00"/>
        <d v="2024-04-13T00:00:00"/>
        <d v="2024-07-05T00:00:00"/>
        <d v="2024-07-06T00:00:00"/>
        <d v="2024-07-07T00:00:00"/>
        <d v="2024-07-08T00:00:00"/>
        <d v="2024-07-09T00:00:00"/>
        <d v="2024-07-10T00:00:00"/>
        <d v="2024-08-06T00:00:00"/>
        <d v="2024-08-07T00:00:00"/>
        <d v="2024-08-09T00:00:00"/>
        <d v="2024-04-23T00:00:00"/>
        <d v="2024-08-10T00:00:00"/>
        <d v="2024-04-25T00:00:00"/>
        <d v="2024-08-11T00:00:00"/>
        <d v="2024-08-12T00:00:00"/>
        <d v="2024-09-08T00:00:00"/>
        <d v="2024-09-09T00:00:00"/>
        <d v="2024-09-10T00:00:00"/>
        <d v="2024-09-11T00:00:00"/>
        <d v="2024-09-12T00:00:00"/>
        <d v="2024-09-13T00:00:00"/>
        <d v="2024-09-15T00:00:00"/>
        <d v="2024-09-16T00:00:00"/>
        <d v="2024-09-17T00:00:00"/>
        <d v="2024-09-18T00:00:00"/>
        <d v="2024-09-27T00:00:00"/>
        <d v="2024-09-29T00:00:00"/>
        <d v="2024-10-01T00:00:00"/>
        <d v="2024-10-02T00:00:00"/>
        <d v="2024-10-03T00:00:00"/>
        <d v="2024-10-15T00:00:00"/>
        <d v="2024-10-16T00:00:00"/>
        <d v="2024-10-17T00:00:00"/>
        <d v="2024-10-19T00:00:00"/>
        <d v="2024-10-20T00:00:00"/>
        <d v="2024-10-22T00:00:00"/>
        <d v="2025-01-02T00:00:00"/>
        <d v="2024-05-20T00:00:00"/>
        <d v="2025-01-04T00:00:00"/>
        <d v="2025-01-06T00:00:00"/>
        <d v="2025-01-08T00:00:00"/>
        <d v="2025-01-21T00:00:00"/>
        <d v="2025-01-22T00:00:00"/>
        <d v="2025-01-23T00:00:00"/>
        <d v="2025-01-24T00:00:00"/>
        <d v="2025-01-25T00:00:00"/>
        <d v="2024-05-29T00:00:00"/>
        <d v="2025-01-27T00:00:00"/>
        <d v="2025-01-28T00:00:00"/>
        <d v="2025-01-29T00:00:00"/>
        <d v="2025-01-31T00:00:00"/>
        <d v="2024-06-15T00:00:00"/>
        <d v="2024-06-21T00:00:00"/>
        <d v="2024-07-02T00:00:00"/>
        <d v="2024-07-15T00:00:00"/>
        <d v="2024-08-03T00:00:00"/>
        <d v="2024-08-08T00:00:00"/>
        <d v="2024-08-16T00:00:00"/>
        <d v="2024-08-22T00:00:00"/>
        <d v="2024-08-31T00:00:00"/>
        <d v="2024-09-05T00:00:00"/>
        <d v="2024-09-14T00:00:00"/>
        <d v="2024-09-19T00:00:00"/>
        <d v="2024-09-28T00:00:00"/>
        <d v="2024-09-30T00:00:00"/>
        <d v="2024-10-06T00:00:00"/>
        <d v="2024-04-01T00:00:00"/>
        <d v="2024-04-02T00:00:00"/>
        <d v="2024-04-03T00:00:00"/>
        <d v="2024-10-13T00:00:00"/>
        <d v="2024-04-04T00:00:00"/>
        <d v="2024-04-09T00:00:00"/>
        <d v="2024-04-10T00:00:00"/>
        <d v="2024-04-11T00:00:00"/>
        <d v="2024-10-18T00:00:00"/>
        <d v="2024-04-12T00:00:00"/>
        <d v="2024-04-14T00:00:00"/>
        <d v="2024-10-21T00:00:00"/>
        <d v="2024-04-22T00:00:00"/>
        <d v="2024-10-23T00:00:00"/>
        <d v="2024-04-24T00:00:00"/>
        <d v="2024-10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11-06T00:00:00"/>
        <d v="2024-05-07T00:00:00"/>
        <d v="2024-05-08T00:00:00"/>
        <d v="2024-11-09T00:00:00"/>
        <d v="2024-05-09T00:00:00"/>
        <d v="2024-05-10T00:00:00"/>
        <d v="2024-05-11T00:00:00"/>
        <d v="2024-05-12T00:00:00"/>
        <d v="2024-11-14T00:00:00"/>
        <d v="2024-05-13T00:00:00"/>
        <d v="2024-05-14T00:00:00"/>
        <d v="2024-05-15T00:00:00"/>
        <d v="2024-11-18T00:00:00"/>
        <d v="2024-05-16T00:00:00"/>
        <d v="2024-11-20T00:00:00"/>
        <d v="2024-05-17T00:00:00"/>
        <d v="2024-05-18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11-30T00:00:00"/>
        <d v="2024-07-19T00:00:00"/>
        <d v="2024-07-20T00:00:00"/>
        <d v="2024-12-03T00:00:00"/>
        <d v="2024-07-21T00:00:00"/>
        <d v="2024-08-13T00:00:00"/>
        <d v="2024-08-14T00:00:00"/>
        <d v="2024-08-15T00:00:00"/>
        <d v="2024-12-08T00:00:00"/>
        <d v="2024-08-17T00:00:00"/>
        <d v="2024-08-18T00:00:00"/>
        <d v="2024-12-11T00:00:00"/>
        <d v="2024-08-19T00:00:00"/>
        <d v="2024-08-20T00:00:00"/>
        <d v="2024-08-21T00:00:00"/>
        <d v="2024-08-23T00:00:00"/>
        <d v="2024-12-16T00:00:00"/>
        <d v="2024-10-24T00:00:00"/>
        <d v="2024-10-26T00:00:00"/>
        <d v="2024-10-31T00:00:00"/>
        <d v="2024-12-20T00:00:00"/>
        <d v="2024-11-01T00:00:00"/>
        <d v="2024-12-22T00:00:00"/>
        <d v="2024-11-02T00:00:00"/>
        <d v="2024-11-03T00:00:00"/>
        <d v="2024-11-04T00:00:00"/>
        <d v="2024-11-05T00:00:00"/>
        <d v="2024-12-27T00:00:00"/>
        <d v="2024-11-13T00:00:00"/>
        <d v="2024-11-15T00:00:00"/>
        <d v="2024-11-16T00:00:00"/>
        <d v="2024-11-17T00:00:00"/>
        <d v="2024-11-19T00:00:00"/>
        <d v="2024-11-21T00:00:00"/>
        <d v="2025-01-03T00:00:00"/>
        <d v="2024-11-22T00:00:00"/>
        <d v="2025-01-05T00:00:00"/>
        <d v="2024-11-23T00:00:00"/>
        <d v="2025-01-07T00:00:00"/>
        <d v="2024-11-24T00:00:00"/>
        <d v="2024-11-25T00:00:00"/>
        <d v="2024-11-26T00:00:00"/>
        <d v="2024-11-27T00:00:00"/>
        <d v="2024-11-28T00:00:00"/>
        <d v="2024-11-29T00:00:00"/>
        <d v="2025-01-14T00:00:00"/>
        <d v="2024-12-01T00:00:00"/>
        <d v="2024-12-02T00:00:00"/>
        <d v="2024-12-04T00:00:00"/>
        <d v="2024-12-05T00:00:00"/>
        <d v="2024-12-06T00:00:00"/>
        <d v="2025-01-20T00:00:00"/>
        <d v="2024-12-07T00:00:00"/>
        <d v="2024-12-09T00:00:00"/>
        <d v="2025-02-01T00:00:00"/>
        <d v="2025-02-02T00:00:00"/>
        <d v="2025-02-03T00:00:00"/>
        <d v="2025-01-26T00:00:00"/>
        <d v="2025-02-04T00:00:00"/>
        <d v="2025-02-05T00:00:00"/>
        <d v="2025-02-06T00:00:00"/>
        <d v="2025-01-30T00:00:00"/>
        <d v="2025-02-07T00:00:00"/>
        <d v="2025-02-08T00:00:00"/>
        <d v="2025-02-09T00:00:00"/>
        <d v="2025-02-11T00:00:00"/>
        <d v="2025-02-10T00:00:00"/>
        <d v="2025-02-14T00:00:00"/>
        <d v="2025-02-21T00:00:00"/>
        <d v="2024-04-05T00:00:00"/>
        <d v="2024-04-06T00:00:00"/>
        <d v="2024-04-08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5-19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8T00:00:00"/>
        <d v="2024-06-19T00:00:00"/>
        <d v="2024-06-20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4T00:00:00"/>
        <d v="2024-08-05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9-01T00:00:00"/>
        <d v="2024-09-02T00:00:00"/>
        <d v="2024-09-03T00:00:00"/>
        <d v="2024-09-04T00:00:00"/>
        <d v="2024-09-06T00:00:00"/>
        <d v="2024-09-07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10-04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27T00:00:00"/>
        <d v="2024-10-28T00:00:00"/>
        <d v="2024-10-29T00:00:00"/>
        <d v="2024-10-30T00:00:00"/>
        <d v="2024-11-07T00:00:00"/>
        <d v="2024-11-08T00:00:00"/>
        <d v="2024-11-10T00:00:00"/>
        <d v="2024-11-11T00:00:00"/>
        <d v="2024-11-12T00:00:00"/>
        <d v="2024-12-10T00:00:00"/>
        <d v="2024-12-12T00:00:00"/>
        <d v="2024-12-13T00:00:00"/>
        <d v="2024-12-14T00:00:00"/>
        <d v="2024-12-15T00:00:00"/>
        <d v="2024-12-17T00:00:00"/>
        <d v="2024-12-18T00:00:00"/>
        <d v="2024-12-19T00:00:00"/>
        <d v="2024-12-21T00:00:00"/>
        <d v="2024-12-23T00:00:00"/>
        <d v="2024-12-24T00:00:00"/>
        <d v="2024-12-25T00:00:00"/>
        <d v="2024-12-26T00:00:00"/>
        <d v="2024-12-28T00:00:00"/>
        <d v="2024-12-29T00:00:00"/>
        <d v="2024-12-30T00:00:00"/>
        <d v="2024-12-31T00:00:00"/>
        <d v="2025-01-01T00:00:00"/>
        <d v="2025-01-09T00:00:00"/>
        <d v="2025-01-10T00:00:00"/>
        <d v="2025-01-11T00:00:00"/>
        <d v="2025-01-12T00:00:00"/>
        <d v="2025-01-13T00:00:00"/>
        <d v="2025-01-15T00:00:00"/>
        <d v="2025-01-16T00:00:00"/>
        <d v="2025-01-17T00:00:00"/>
        <d v="2025-01-18T00:00:00"/>
        <d v="2025-01-19T00:00:00"/>
        <d v="2025-02-12T00:00:00"/>
        <d v="2025-02-13T00:00:00"/>
        <d v="2025-02-15T00:00:00"/>
        <d v="2025-02-16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5T00:00:00"/>
      </sharedItems>
      <fieldGroup par="16"/>
    </cacheField>
    <cacheField name="Month" numFmtId="164">
      <sharedItems/>
    </cacheField>
    <cacheField name="Name" numFmtId="0">
      <sharedItems/>
    </cacheField>
    <cacheField name="Category" numFmtId="0">
      <sharedItems count="3">
        <s v="Decor"/>
        <s v="Fashion "/>
        <s v="Electronic"/>
      </sharedItems>
    </cacheField>
    <cacheField name="Product Name" numFmtId="0">
      <sharedItems count="11">
        <s v="Car accessories"/>
        <s v="Women dress"/>
        <s v="Home décor"/>
        <s v="Speaker"/>
        <s v="TV"/>
        <s v="Saree"/>
        <s v="Laptop"/>
        <s v="Suit"/>
        <s v="Earbuds"/>
        <s v="Male dress"/>
        <s v="CHAIR"/>
      </sharedItems>
    </cacheField>
    <cacheField name="State" numFmtId="0">
      <sharedItems/>
    </cacheField>
    <cacheField name="Gender" numFmtId="0">
      <sharedItems count="2">
        <s v="Female"/>
        <s v="Male"/>
      </sharedItems>
    </cacheField>
    <cacheField name="Quantity" numFmtId="0">
      <sharedItems containsSemiMixedTypes="0" containsString="0" containsNumber="1" containsInteger="1" minValue="10" maxValue="100"/>
    </cacheField>
    <cacheField name="Cost" numFmtId="0">
      <sharedItems containsSemiMixedTypes="0" containsString="0" containsNumber="1" containsInteger="1" minValue="500" maxValue="1000"/>
    </cacheField>
    <cacheField name="Price" numFmtId="0">
      <sharedItems containsSemiMixedTypes="0" containsString="0" containsNumber="1" containsInteger="1" minValue="750" maxValue="1500"/>
    </cacheField>
    <cacheField name="Purchase Cost" numFmtId="0">
      <sharedItems containsSemiMixedTypes="0" containsString="0" containsNumber="1" containsInteger="1" minValue="5190" maxValue="95254"/>
    </cacheField>
    <cacheField name="Sale Price" numFmtId="0">
      <sharedItems containsSemiMixedTypes="0" containsString="0" containsNumber="1" containsInteger="1" minValue="8010" maxValue="146600" count="962">
        <n v="15946"/>
        <n v="24480"/>
        <n v="23720"/>
        <n v="13481"/>
        <n v="18578"/>
        <n v="28000"/>
        <n v="62865"/>
        <n v="22950"/>
        <n v="18220"/>
        <n v="17095"/>
        <n v="17544"/>
        <n v="14172"/>
        <n v="36772"/>
        <n v="14040"/>
        <n v="17540"/>
        <n v="19346"/>
        <n v="28100"/>
        <n v="13950"/>
        <n v="13005"/>
        <n v="9820"/>
        <n v="18774"/>
        <n v="16740"/>
        <n v="23550"/>
        <n v="27227"/>
        <n v="38636"/>
        <n v="13440"/>
        <n v="18480"/>
        <n v="18792"/>
        <n v="20430"/>
        <n v="16758"/>
        <n v="13840"/>
        <n v="26638"/>
        <n v="19866"/>
        <n v="28660"/>
        <n v="13632"/>
        <n v="12260"/>
        <n v="22320"/>
        <n v="18976"/>
        <n v="17043"/>
        <n v="10920"/>
        <n v="11880"/>
        <n v="10284"/>
        <n v="26480"/>
        <n v="15680"/>
        <n v="18615"/>
        <n v="14706"/>
        <n v="12908"/>
        <n v="27246"/>
        <n v="13636"/>
        <n v="74576"/>
        <n v="14812"/>
        <n v="20280"/>
        <n v="11275"/>
        <n v="15060"/>
        <n v="15360"/>
        <n v="22428"/>
        <n v="24854"/>
        <n v="11089"/>
        <n v="39450"/>
        <n v="27056"/>
        <n v="15215"/>
        <n v="25540"/>
        <n v="21301"/>
        <n v="14553"/>
        <n v="19660"/>
        <n v="14993"/>
        <n v="13949"/>
        <n v="17340"/>
        <n v="21060"/>
        <n v="28234"/>
        <n v="8382"/>
        <n v="8620"/>
        <n v="13695"/>
        <n v="21405"/>
        <n v="15565"/>
        <n v="16320"/>
        <n v="25100"/>
        <n v="18780"/>
        <n v="23647"/>
        <n v="15460"/>
        <n v="21522"/>
        <n v="111450"/>
        <n v="15246"/>
        <n v="9636"/>
        <n v="24605"/>
        <n v="17784"/>
        <n v="9456"/>
        <n v="8415"/>
        <n v="13944"/>
        <n v="17136"/>
        <n v="17238"/>
        <n v="10300"/>
        <n v="13740"/>
        <n v="14436"/>
        <n v="14235"/>
        <n v="10200"/>
        <n v="15312"/>
        <n v="25218"/>
        <n v="17010"/>
        <n v="21777"/>
        <n v="11070"/>
        <n v="15750"/>
        <n v="8850"/>
        <n v="24588"/>
        <n v="23860"/>
        <n v="36816"/>
        <n v="14042"/>
        <n v="16035"/>
        <n v="17745"/>
        <n v="22000"/>
        <n v="16688"/>
        <n v="13360"/>
        <n v="14421"/>
        <n v="14720"/>
        <n v="13508"/>
        <n v="12573"/>
        <n v="23500"/>
        <n v="24912"/>
        <n v="23664"/>
        <n v="16290"/>
        <n v="21584"/>
        <n v="24966"/>
        <n v="13130"/>
        <n v="21793"/>
        <n v="125560"/>
        <n v="18616"/>
        <n v="19376"/>
        <n v="27683"/>
        <n v="16416"/>
        <n v="13860"/>
        <n v="18836"/>
        <n v="17730"/>
        <n v="11165"/>
        <n v="20784"/>
        <n v="24415"/>
        <n v="16672"/>
        <n v="16968"/>
        <n v="21840"/>
        <n v="23400"/>
        <n v="21280"/>
        <n v="19728"/>
        <n v="11690"/>
        <n v="17613"/>
        <n v="20631"/>
        <n v="8833"/>
        <n v="8650"/>
        <n v="27540"/>
        <n v="13848"/>
        <n v="8437"/>
        <n v="15402"/>
        <n v="16704"/>
        <n v="10329"/>
        <n v="112229"/>
        <n v="10290"/>
        <n v="15820"/>
        <n v="14796"/>
        <n v="12100"/>
        <n v="80535"/>
        <n v="14896"/>
        <n v="16875"/>
        <n v="29100"/>
        <n v="14994"/>
        <n v="17748"/>
        <n v="23840"/>
        <n v="11460"/>
        <n v="13736"/>
        <n v="10738"/>
        <n v="20311"/>
        <n v="22275"/>
        <n v="15660"/>
        <n v="17220"/>
        <n v="20230"/>
        <n v="14490"/>
        <n v="20200"/>
        <n v="16156"/>
        <n v="19608"/>
        <n v="12698"/>
        <n v="18360"/>
        <n v="13965"/>
        <n v="20205"/>
        <n v="28620"/>
        <n v="14205"/>
        <n v="18335"/>
        <n v="21204"/>
        <n v="19684"/>
        <n v="27949"/>
        <n v="20736"/>
        <n v="105892"/>
        <n v="15275"/>
        <n v="31929"/>
        <n v="40020"/>
        <n v="22701"/>
        <n v="84189"/>
        <n v="20800"/>
        <n v="34040"/>
        <n v="32112"/>
        <n v="19950"/>
        <n v="20448"/>
        <n v="20040"/>
        <n v="22120"/>
        <n v="20900"/>
        <n v="29718"/>
        <n v="30990"/>
        <n v="16120"/>
        <n v="29420"/>
        <n v="25366"/>
        <n v="34762"/>
        <n v="27830"/>
        <n v="26650"/>
        <n v="28590"/>
        <n v="18900"/>
        <n v="24250"/>
        <n v="27792"/>
        <n v="40656"/>
        <n v="25346"/>
        <n v="26864"/>
        <n v="46683"/>
        <n v="21920"/>
        <n v="23764"/>
        <n v="60340"/>
        <n v="40419"/>
        <n v="34875"/>
        <n v="34725"/>
        <n v="27150"/>
        <n v="16460"/>
        <n v="26494"/>
        <n v="19942"/>
        <n v="17986"/>
        <n v="29325"/>
        <n v="40980"/>
        <n v="33096"/>
        <n v="19925"/>
        <n v="29536"/>
        <n v="30472"/>
        <n v="33690"/>
        <n v="28920"/>
        <n v="23780"/>
        <n v="18552"/>
        <n v="39990"/>
        <n v="23608"/>
        <n v="30856"/>
        <n v="30240"/>
        <n v="24725"/>
        <n v="36453"/>
        <n v="16212"/>
        <n v="28938"/>
        <n v="35343"/>
        <n v="41644"/>
        <n v="32890"/>
        <n v="34530"/>
        <n v="23914"/>
        <n v="53394"/>
        <n v="39060"/>
        <n v="28912"/>
        <n v="30300"/>
        <n v="30514"/>
        <n v="73696"/>
        <n v="23820"/>
        <n v="40600"/>
        <n v="40920"/>
        <n v="68880"/>
        <n v="34710"/>
        <n v="63450"/>
        <n v="32799"/>
        <n v="33966"/>
        <n v="23716"/>
        <n v="34866"/>
        <n v="81066"/>
        <n v="26220"/>
        <n v="20643"/>
        <n v="39330"/>
        <n v="21072"/>
        <n v="22330"/>
        <n v="32620"/>
        <n v="8800"/>
        <n v="21700"/>
        <n v="25432"/>
        <n v="12056"/>
        <n v="25532"/>
        <n v="34668"/>
        <n v="23919"/>
        <n v="32520"/>
        <n v="31458"/>
        <n v="32786"/>
        <n v="43176"/>
        <n v="26544"/>
        <n v="21740"/>
        <n v="17526"/>
        <n v="17052"/>
        <n v="26580"/>
        <n v="18820"/>
        <n v="33264"/>
        <n v="18860"/>
        <n v="26422"/>
        <n v="27255"/>
        <n v="28290"/>
        <n v="26775"/>
        <n v="23688"/>
        <n v="24660"/>
        <n v="10970"/>
        <n v="20723"/>
        <n v="30406"/>
        <n v="27250"/>
        <n v="38024"/>
        <n v="26012"/>
        <n v="31525"/>
        <n v="25180"/>
        <n v="28424"/>
        <n v="21399"/>
        <n v="24416"/>
        <n v="33592"/>
        <n v="16918"/>
        <n v="28784"/>
        <n v="18084"/>
        <n v="41580"/>
        <n v="26519"/>
        <n v="32545"/>
        <n v="41412"/>
        <n v="33020"/>
        <n v="37604"/>
        <n v="25298"/>
        <n v="120560"/>
        <n v="31296"/>
        <n v="30720"/>
        <n v="22029"/>
        <n v="22126"/>
        <n v="30792"/>
        <n v="36582"/>
        <n v="23031"/>
        <n v="26187"/>
        <n v="16830"/>
        <n v="29120"/>
        <n v="48400"/>
        <n v="26824"/>
        <n v="31966"/>
        <n v="29279"/>
        <n v="36480"/>
        <n v="31032"/>
        <n v="19932"/>
        <n v="45000"/>
        <n v="19890"/>
        <n v="32319"/>
        <n v="40252"/>
        <n v="34655"/>
        <n v="30144"/>
        <n v="29238"/>
        <n v="30282"/>
        <n v="22302"/>
        <n v="25085"/>
        <n v="22707"/>
        <n v="35352"/>
        <n v="21075"/>
        <n v="27786"/>
        <n v="28622"/>
        <n v="27347"/>
        <n v="29016"/>
        <n v="31512"/>
        <n v="26040"/>
        <n v="30602"/>
        <n v="29970"/>
        <n v="21500"/>
        <n v="25875"/>
        <n v="23184"/>
        <n v="32430"/>
        <n v="25578"/>
        <n v="38116"/>
        <n v="26532"/>
        <n v="24882"/>
        <n v="23620"/>
        <n v="30206"/>
        <n v="38164"/>
        <n v="24248"/>
        <n v="33885"/>
        <n v="83160"/>
        <n v="19492"/>
        <n v="16464"/>
        <n v="18640"/>
        <n v="26550"/>
        <n v="41076"/>
        <n v="26208"/>
        <n v="37350"/>
        <n v="38310"/>
        <n v="90249"/>
        <n v="24656"/>
        <n v="28470"/>
        <n v="43065"/>
        <n v="43650"/>
        <n v="20480"/>
        <n v="31306"/>
        <n v="19120"/>
        <n v="31356"/>
        <n v="18100"/>
        <n v="26928"/>
        <n v="18538"/>
        <n v="34034"/>
        <n v="32670"/>
        <n v="32186"/>
        <n v="23375"/>
        <n v="23904"/>
        <n v="15456"/>
        <n v="26767"/>
        <n v="23738"/>
        <n v="28680"/>
        <n v="26651"/>
        <n v="30639"/>
        <n v="87164"/>
        <n v="34860"/>
        <n v="23150"/>
        <n v="29370"/>
        <n v="37530"/>
        <n v="29510"/>
        <n v="30544"/>
        <n v="22624"/>
        <n v="29250"/>
        <n v="23446"/>
        <n v="18288"/>
        <n v="20056"/>
        <n v="27216"/>
        <n v="35280"/>
        <n v="39396"/>
        <n v="24435"/>
        <n v="24960"/>
        <n v="22600"/>
        <n v="26289"/>
        <n v="26379"/>
        <n v="41441"/>
        <n v="30726"/>
        <n v="18260"/>
        <n v="23475"/>
        <n v="21264"/>
        <n v="26266"/>
        <n v="18648"/>
        <n v="27550"/>
        <n v="24120"/>
        <n v="36270"/>
        <n v="19389"/>
        <n v="21736"/>
        <n v="22586"/>
        <n v="29232"/>
        <n v="24640"/>
        <n v="33235"/>
        <n v="44910"/>
        <n v="21952"/>
        <n v="89820"/>
        <n v="28262"/>
        <n v="30825"/>
        <n v="35175"/>
        <n v="22440"/>
        <n v="30107"/>
        <n v="18700"/>
        <n v="34296"/>
        <n v="39179"/>
        <n v="30213"/>
        <n v="37233"/>
        <n v="19110"/>
        <n v="32016"/>
        <n v="22652"/>
        <n v="28119"/>
        <n v="27896"/>
        <n v="17598"/>
        <n v="38700"/>
        <n v="33950"/>
        <n v="35989"/>
        <n v="31556"/>
        <n v="32088"/>
        <n v="34650"/>
        <n v="28150"/>
        <n v="17503"/>
        <n v="42108"/>
        <n v="74496"/>
        <n v="30820"/>
        <n v="33748"/>
        <n v="22724"/>
        <n v="31164"/>
        <n v="54860"/>
        <n v="33744"/>
        <n v="20460"/>
        <n v="25234"/>
        <n v="33831"/>
        <n v="24759"/>
        <n v="34182"/>
        <n v="31668"/>
        <n v="36975"/>
        <n v="25612"/>
        <n v="24766"/>
        <n v="23982"/>
        <n v="19392"/>
        <n v="21641"/>
        <n v="17468"/>
        <n v="33270"/>
        <n v="19416"/>
        <n v="28320"/>
        <n v="25220"/>
        <n v="30492"/>
        <n v="28623"/>
        <n v="8010"/>
        <n v="25740"/>
        <n v="15180"/>
        <n v="20055"/>
        <n v="27924"/>
        <n v="128250"/>
        <n v="81060"/>
        <n v="49572"/>
        <n v="77064"/>
        <n v="73780"/>
        <n v="84456"/>
        <n v="67150"/>
        <n v="48880"/>
        <n v="67386"/>
        <n v="103950"/>
        <n v="124270"/>
        <n v="94050"/>
        <n v="133315"/>
        <n v="89376"/>
        <n v="64515"/>
        <n v="26400"/>
        <n v="73425"/>
        <n v="68373"/>
        <n v="20729"/>
        <n v="86680"/>
        <n v="22282"/>
        <n v="59472"/>
        <n v="22997"/>
        <n v="63918"/>
        <n v="111584"/>
        <n v="102267"/>
        <n v="123376"/>
        <n v="70632"/>
        <n v="110260"/>
        <n v="118026"/>
        <n v="140085"/>
        <n v="81868"/>
        <n v="43377"/>
        <n v="123900"/>
        <n v="84952"/>
        <n v="111796"/>
        <n v="121179"/>
        <n v="59422"/>
        <n v="72148"/>
        <n v="113190"/>
        <n v="115080"/>
        <n v="121014"/>
        <n v="23136"/>
        <n v="84448"/>
        <n v="88382"/>
        <n v="47838"/>
        <n v="21670"/>
        <n v="103056"/>
        <n v="26541"/>
        <n v="69520"/>
        <n v="56610"/>
        <n v="96184"/>
        <n v="61944"/>
        <n v="71961"/>
        <n v="75820"/>
        <n v="48963"/>
        <n v="102508"/>
        <n v="25960"/>
        <n v="51912"/>
        <n v="105196"/>
        <n v="29198"/>
        <n v="79728"/>
        <n v="122672"/>
        <n v="59724"/>
        <n v="57888"/>
        <n v="29164"/>
        <n v="123505"/>
        <n v="74175"/>
        <n v="82992"/>
        <n v="74466"/>
        <n v="98112"/>
        <n v="76294"/>
        <n v="124068"/>
        <n v="66600"/>
        <n v="130482"/>
        <n v="73788"/>
        <n v="125146"/>
        <n v="109908"/>
        <n v="56137"/>
        <n v="51984"/>
        <n v="116994"/>
        <n v="78036"/>
        <n v="89165"/>
        <n v="130386"/>
        <n v="111507"/>
        <n v="77896"/>
        <n v="52860"/>
        <n v="73224"/>
        <n v="87200"/>
        <n v="95216"/>
        <n v="90372"/>
        <n v="11550"/>
        <n v="96330"/>
        <n v="18629"/>
        <n v="71978"/>
        <n v="16944"/>
        <n v="76311"/>
        <n v="53878"/>
        <n v="72557"/>
        <n v="75768"/>
        <n v="113135"/>
        <n v="69440"/>
        <n v="84600"/>
        <n v="87087"/>
        <n v="74385"/>
        <n v="83100"/>
        <n v="104690"/>
        <n v="79464"/>
        <n v="79716"/>
        <n v="76300"/>
        <n v="94671"/>
        <n v="81510"/>
        <n v="134550"/>
        <n v="19170"/>
        <n v="96063"/>
        <n v="66654"/>
        <n v="134244"/>
        <n v="12683"/>
        <n v="71780"/>
        <n v="66096"/>
        <n v="56109"/>
        <n v="68724"/>
        <n v="86848"/>
        <n v="83190"/>
        <n v="78710"/>
        <n v="100278"/>
        <n v="88776"/>
        <n v="81740"/>
        <n v="22968"/>
        <n v="51585"/>
        <n v="84175"/>
        <n v="99876"/>
        <n v="65667"/>
        <n v="83880"/>
        <n v="56544"/>
        <n v="88976"/>
        <n v="125809"/>
        <n v="54684"/>
        <n v="88465"/>
        <n v="146600"/>
        <n v="90288"/>
        <n v="41094"/>
        <n v="65364"/>
        <n v="108945"/>
        <n v="87048"/>
        <n v="54046"/>
        <n v="47310"/>
        <n v="53550"/>
        <n v="100720"/>
        <n v="69000"/>
        <n v="61620"/>
        <n v="98592"/>
        <n v="120571"/>
        <n v="80352"/>
        <n v="60129"/>
        <n v="75620"/>
        <n v="21912"/>
        <n v="103320"/>
        <n v="115668"/>
        <n v="71022"/>
        <n v="73932"/>
        <n v="72106"/>
        <n v="93610"/>
        <n v="70716"/>
        <n v="59080"/>
        <n v="47823"/>
        <n v="19665"/>
        <n v="58600"/>
        <n v="30728"/>
        <n v="64052"/>
        <n v="82087"/>
        <n v="65046"/>
        <n v="105944"/>
        <n v="121975"/>
        <n v="117096"/>
        <n v="77832"/>
        <n v="67486"/>
        <n v="70755"/>
        <n v="74472"/>
        <n v="104230"/>
        <n v="127276"/>
        <n v="93440"/>
        <n v="116512"/>
        <n v="67402"/>
        <n v="101625"/>
        <n v="54060"/>
        <n v="93624"/>
        <n v="53463"/>
        <n v="45188"/>
        <n v="67067"/>
        <n v="97524"/>
        <n v="72747"/>
        <n v="121770"/>
        <n v="70378"/>
        <n v="81180"/>
        <n v="81322"/>
        <n v="130660"/>
        <n v="93654"/>
        <n v="90610"/>
        <n v="114582"/>
        <n v="68324"/>
        <n v="74163"/>
        <n v="138996"/>
        <n v="91572"/>
        <n v="93120"/>
        <n v="87040"/>
        <n v="51448"/>
        <n v="95550"/>
        <n v="108489"/>
        <n v="124900"/>
        <n v="46410"/>
        <n v="51584"/>
        <n v="96515"/>
        <n v="73834"/>
        <n v="61617"/>
        <n v="105786"/>
        <n v="69153"/>
        <n v="71550"/>
        <n v="21811"/>
        <n v="88592"/>
        <n v="96652"/>
        <n v="76560"/>
        <n v="59478"/>
        <n v="58652"/>
        <n v="89225"/>
        <n v="65961"/>
        <n v="73944"/>
        <n v="68172"/>
        <n v="71820"/>
        <n v="64456"/>
        <n v="65592"/>
        <n v="74459"/>
        <n v="64044"/>
        <n v="97643"/>
        <n v="20762"/>
        <n v="91854"/>
        <n v="67122"/>
        <n v="50922"/>
        <n v="101981"/>
        <n v="87020"/>
        <n v="84130"/>
        <n v="124742"/>
        <n v="110264"/>
        <n v="63752"/>
        <n v="97920"/>
        <n v="108864"/>
        <n v="49014"/>
        <n v="33488"/>
        <n v="108328"/>
        <n v="81508"/>
        <n v="119200"/>
        <n v="92260"/>
        <n v="81213"/>
        <n v="45540"/>
        <n v="125136"/>
        <n v="45720"/>
        <n v="76480"/>
        <n v="63393"/>
        <n v="60316"/>
        <n v="105357"/>
        <n v="62424"/>
        <n v="98496"/>
        <n v="50220"/>
        <n v="116691"/>
        <n v="96360"/>
        <n v="113068"/>
        <n v="76426"/>
        <n v="99144"/>
        <n v="112416"/>
        <n v="11120"/>
        <n v="57615"/>
        <n v="57420"/>
        <n v="96612"/>
        <n v="51240"/>
        <n v="116946"/>
        <n v="123851"/>
        <n v="75036"/>
        <n v="28248"/>
        <n v="52380"/>
        <n v="90864"/>
        <n v="38250"/>
        <n v="97704"/>
        <n v="28971"/>
        <n v="80100"/>
        <n v="116688"/>
        <n v="51942"/>
        <n v="79980"/>
        <n v="97104"/>
        <n v="87300"/>
        <n v="110880"/>
        <n v="68170"/>
        <n v="56160"/>
        <n v="54808"/>
        <n v="53400"/>
        <n v="98472"/>
        <n v="86559"/>
        <n v="97444"/>
        <n v="106704"/>
        <n v="128160"/>
        <n v="86562"/>
        <n v="130088"/>
        <n v="92625"/>
        <n v="65100"/>
        <n v="87555"/>
        <n v="22439"/>
        <n v="146000"/>
        <n v="100409"/>
        <n v="97310"/>
        <n v="90706"/>
        <n v="17088"/>
        <n v="54534"/>
        <n v="67545"/>
        <n v="74442"/>
        <n v="66108"/>
        <n v="96368"/>
        <n v="46350"/>
        <n v="46375"/>
        <n v="77686"/>
        <n v="22212"/>
        <n v="54216"/>
        <n v="12363"/>
        <n v="74589"/>
        <n v="73920"/>
        <n v="61275"/>
        <n v="113600"/>
        <n v="98175"/>
        <n v="114076"/>
        <n v="63852"/>
        <n v="57475"/>
        <n v="66338"/>
        <n v="81280"/>
        <n v="103816"/>
        <n v="122667"/>
        <n v="85760"/>
        <n v="39882"/>
        <n v="109208"/>
        <n v="83088"/>
        <n v="45320"/>
        <n v="17300"/>
        <n v="62315"/>
        <n v="59976"/>
        <n v="16170"/>
        <n v="125889"/>
        <n v="21137"/>
        <n v="81624"/>
        <n v="30968"/>
        <n v="122995"/>
        <n v="72495"/>
        <n v="127538"/>
        <n v="88720"/>
        <n v="71508"/>
        <n v="72904"/>
        <n v="72680"/>
        <n v="112704"/>
        <n v="110837"/>
        <n v="84568"/>
        <n v="66409"/>
        <n v="70670"/>
        <n v="81984"/>
        <n v="52038"/>
        <n v="102256"/>
        <n v="74752"/>
        <n v="59228"/>
        <n v="64454"/>
        <n v="106444"/>
        <n v="27945"/>
        <n v="72450"/>
        <n v="83490"/>
        <n v="104328"/>
        <n v="38792"/>
        <n v="57297"/>
        <n v="33550"/>
        <n v="131850"/>
        <n v="46970"/>
        <n v="78648"/>
        <n v="46080"/>
        <n v="97515"/>
        <n v="65919"/>
        <n v="63720"/>
        <n v="86088"/>
        <n v="32098"/>
        <n v="72105"/>
        <n v="47788"/>
        <n v="38612"/>
        <n v="119985"/>
        <n v="133650"/>
        <n v="79580"/>
        <n v="72540"/>
        <n v="24244"/>
        <n v="93183"/>
        <n v="80947"/>
        <n v="74690"/>
        <n v="68536"/>
        <n v="115968"/>
        <n v="73620"/>
        <n v="116620"/>
        <n v="112800"/>
        <n v="81840"/>
        <n v="81774"/>
        <n v="123480"/>
        <n v="75911"/>
        <n v="100098"/>
        <n v="67752"/>
        <n v="103017"/>
        <n v="95580"/>
        <n v="64660"/>
        <n v="55803"/>
        <n v="137449"/>
        <n v="56880"/>
        <n v="73414"/>
        <n v="39728"/>
        <n v="81383"/>
        <n v="65520"/>
        <n v="11436"/>
        <n v="72076"/>
        <n v="13325"/>
        <n v="122550"/>
        <n v="10439"/>
        <n v="72864"/>
        <n v="113088"/>
        <n v="56940"/>
        <n v="87042"/>
        <n v="100080"/>
        <n v="118490"/>
        <n v="54944"/>
        <n v="78408"/>
        <n v="50112"/>
        <n v="68526"/>
        <n v="65564"/>
        <n v="14200"/>
        <n v="88454"/>
        <n v="52500"/>
        <n v="85320"/>
        <n v="67725"/>
        <n v="117992"/>
        <n v="15283"/>
        <n v="54162"/>
        <n v="90225"/>
        <n v="58048"/>
        <n v="14544"/>
        <n v="67044"/>
        <n v="110900"/>
        <n v="57240"/>
        <n v="77376"/>
        <n v="128226"/>
        <n v="42498"/>
        <n v="139748"/>
        <n v="119802"/>
        <n v="68244"/>
        <n v="107800"/>
        <n v="92349"/>
        <n v="116532"/>
        <n v="80562"/>
        <n v="81104"/>
        <n v="133950"/>
        <n v="66165"/>
        <n v="75096"/>
        <n v="123892"/>
        <n v="95760"/>
        <n v="55815"/>
        <n v="81477"/>
        <n v="90720"/>
      </sharedItems>
    </cacheField>
    <cacheField name="Profit" numFmtId="0">
      <sharedItems containsSemiMixedTypes="0" containsString="0" containsNumber="1" containsInteger="1" minValue="-14996" maxValue="88949"/>
    </cacheField>
    <cacheField name="Status" numFmtId="0">
      <sharedItems/>
    </cacheField>
    <cacheField name="Months (date)" numFmtId="0" databaseField="0">
      <fieldGroup base="0">
        <rangePr groupBy="months" startDate="2024-04-01T00:00:00" endDate="2025-02-26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2-2025"/>
        </groupItems>
      </fieldGroup>
    </cacheField>
    <cacheField name="Quarters (date)" numFmtId="0" databaseField="0">
      <fieldGroup base="0">
        <rangePr groupBy="quarters" startDate="2024-04-01T00:00:00" endDate="2025-02-26T00:00:00"/>
        <groupItems count="6">
          <s v="&lt;01-04-2024"/>
          <s v="Qtr1"/>
          <s v="Qtr2"/>
          <s v="Qtr3"/>
          <s v="Qtr4"/>
          <s v="&gt;26-02-2025"/>
        </groupItems>
      </fieldGroup>
    </cacheField>
    <cacheField name="Years (date)" numFmtId="0" databaseField="0">
      <fieldGroup base="0">
        <rangePr groupBy="years" startDate="2024-04-01T00:00:00" endDate="2025-02-26T00:00:00"/>
        <groupItems count="4">
          <s v="&lt;01-04-2024"/>
          <s v="2024"/>
          <s v="2025"/>
          <s v="&gt;26-02-2025"/>
        </groupItems>
      </fieldGroup>
    </cacheField>
    <cacheField name="Rate" numFmtId="0" formula="'Sale Price'/Quantity" databaseField="0"/>
  </cacheFields>
  <extLst>
    <ext xmlns:x14="http://schemas.microsoft.com/office/spreadsheetml/2009/9/main" uri="{725AE2AE-9491-48be-B2B4-4EB974FC3084}">
      <x14:pivotCacheDefinition pivotCacheId="15415939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Reliance Enterprises"/>
    <x v="0"/>
    <x v="0"/>
    <s v="Female"/>
    <n v="122444"/>
  </r>
  <r>
    <s v="Tata Solutions"/>
    <x v="1"/>
    <x v="1"/>
    <s v="Male"/>
    <n v="94138"/>
  </r>
  <r>
    <s v="Infosys Technologies"/>
    <x v="0"/>
    <x v="0"/>
    <s v="Female"/>
    <n v="72679"/>
  </r>
  <r>
    <s v="Wipro Digital"/>
    <x v="0"/>
    <x v="0"/>
    <s v="Female"/>
    <n v="130238"/>
  </r>
  <r>
    <s v="Adani Industries"/>
    <x v="1"/>
    <x v="1"/>
    <s v="Female"/>
    <n v="108636"/>
  </r>
  <r>
    <s v="Mahindra Innovations"/>
    <x v="2"/>
    <x v="2"/>
    <s v="Male"/>
    <n v="108005"/>
  </r>
  <r>
    <s v="HDFC Finance"/>
    <x v="2"/>
    <x v="0"/>
    <s v="Male"/>
    <n v="141259"/>
  </r>
  <r>
    <s v="Flipkart Retail"/>
    <x v="2"/>
    <x v="0"/>
    <s v="Male"/>
    <n v="86739"/>
  </r>
  <r>
    <s v="Byju’s EdTech"/>
    <x v="0"/>
    <x v="2"/>
    <s v="Female"/>
    <n v="95170"/>
  </r>
  <r>
    <s v="Zomato Services"/>
    <x v="1"/>
    <x v="1"/>
    <s v="Male"/>
    <n v="50655"/>
  </r>
  <r>
    <s v="Reliance Enterprises"/>
    <x v="1"/>
    <x v="1"/>
    <s v="Female"/>
    <n v="76361"/>
  </r>
  <r>
    <s v="Tata Solutions"/>
    <x v="1"/>
    <x v="3"/>
    <s v="Female"/>
    <n v="59986"/>
  </r>
  <r>
    <s v="Infosys Technologies"/>
    <x v="0"/>
    <x v="3"/>
    <s v="Male"/>
    <n v="96489"/>
  </r>
  <r>
    <s v="Wipro Digital"/>
    <x v="0"/>
    <x v="3"/>
    <s v="Male"/>
    <n v="96845"/>
  </r>
  <r>
    <s v="Adani Industries"/>
    <x v="2"/>
    <x v="0"/>
    <s v="Female"/>
    <n v="147430"/>
  </r>
  <r>
    <s v="Mahindra Innovations"/>
    <x v="2"/>
    <x v="0"/>
    <s v="Female"/>
    <n v="116547"/>
  </r>
  <r>
    <s v="HDFC Finance"/>
    <x v="0"/>
    <x v="1"/>
    <s v="Female"/>
    <n v="50478"/>
  </r>
  <r>
    <s v="Flipkart Retail"/>
    <x v="1"/>
    <x v="2"/>
    <s v="Male"/>
    <n v="131028"/>
  </r>
  <r>
    <s v="Byju’s EdTech"/>
    <x v="0"/>
    <x v="2"/>
    <s v="Male"/>
    <n v="136265"/>
  </r>
  <r>
    <s v="Zomato Services"/>
    <x v="0"/>
    <x v="0"/>
    <s v="Male"/>
    <n v="143860"/>
  </r>
  <r>
    <s v="Reliance Enterprises"/>
    <x v="1"/>
    <x v="1"/>
    <s v="Female"/>
    <n v="57757"/>
  </r>
  <r>
    <s v="Tata Solutions"/>
    <x v="2"/>
    <x v="3"/>
    <s v="Female"/>
    <n v="122231"/>
  </r>
  <r>
    <s v="Infosys Technologies"/>
    <x v="2"/>
    <x v="3"/>
    <s v="Male"/>
    <n v="127292"/>
  </r>
  <r>
    <s v="Wipro Digital"/>
    <x v="2"/>
    <x v="2"/>
    <s v="Male"/>
    <n v="50194"/>
  </r>
  <r>
    <s v="Adani Industries"/>
    <x v="0"/>
    <x v="1"/>
    <s v="Female"/>
    <n v="76180"/>
  </r>
  <r>
    <s v="Mahindra Innovations"/>
    <x v="1"/>
    <x v="1"/>
    <s v="Female"/>
    <n v="112323"/>
  </r>
  <r>
    <s v="HDFC Finance"/>
    <x v="1"/>
    <x v="3"/>
    <s v="Male"/>
    <n v="61988"/>
  </r>
  <r>
    <s v="Flipkart Retail"/>
    <x v="1"/>
    <x v="3"/>
    <s v="Male"/>
    <n v="142292"/>
  </r>
  <r>
    <s v="Byju’s EdTech"/>
    <x v="0"/>
    <x v="0"/>
    <s v="Female"/>
    <n v="135328"/>
  </r>
  <r>
    <s v="Zomato Services"/>
    <x v="0"/>
    <x v="0"/>
    <s v="Female"/>
    <n v="85819"/>
  </r>
  <r>
    <s v="Accounts Expert"/>
    <x v="0"/>
    <x v="4"/>
    <s v="Female"/>
    <n v="836511"/>
  </r>
  <r>
    <s v="Tata Solutions"/>
    <x v="2"/>
    <x v="0"/>
    <s v="Male"/>
    <n v="103228"/>
  </r>
  <r>
    <s v="Infosys Technologies"/>
    <x v="0"/>
    <x v="1"/>
    <s v="Female"/>
    <n v="56765"/>
  </r>
  <r>
    <s v="Wipro Digital"/>
    <x v="1"/>
    <x v="2"/>
    <s v="Female"/>
    <n v="122853"/>
  </r>
  <r>
    <s v="Adani Industries"/>
    <x v="0"/>
    <x v="2"/>
    <s v="Male"/>
    <n v="59918"/>
  </r>
  <r>
    <s v="Mahindra Innovations"/>
    <x v="0"/>
    <x v="0"/>
    <s v="Male"/>
    <n v="59303"/>
  </r>
  <r>
    <s v="HDFC Finance"/>
    <x v="1"/>
    <x v="1"/>
    <s v="Female"/>
    <n v="105850"/>
  </r>
  <r>
    <s v="Flipkart Retail"/>
    <x v="2"/>
    <x v="3"/>
    <s v="Male"/>
    <n v="146177"/>
  </r>
  <r>
    <s v="Byju’s EdTech"/>
    <x v="2"/>
    <x v="2"/>
    <s v="Female"/>
    <n v="56078"/>
  </r>
  <r>
    <s v="Zomato Services"/>
    <x v="2"/>
    <x v="2"/>
    <s v="Male"/>
    <n v="109136"/>
  </r>
  <r>
    <s v="Reliance Enterprises"/>
    <x v="0"/>
    <x v="0"/>
    <s v="Male"/>
    <n v="76997"/>
  </r>
  <r>
    <s v="Tata Solutions"/>
    <x v="1"/>
    <x v="0"/>
    <s v="Male"/>
    <n v="148442"/>
  </r>
  <r>
    <s v="Infosys Technologies"/>
    <x v="1"/>
    <x v="1"/>
    <s v="Male"/>
    <n v="129500"/>
  </r>
  <r>
    <s v="Wipro Digital"/>
    <x v="1"/>
    <x v="3"/>
    <s v="Female"/>
    <n v="133884"/>
  </r>
  <r>
    <s v="Adani Industries"/>
    <x v="0"/>
    <x v="3"/>
    <s v="Female"/>
    <n v="106065"/>
  </r>
  <r>
    <s v="Mahindra Innovations"/>
    <x v="0"/>
    <x v="3"/>
    <s v="Female"/>
    <n v="82337"/>
  </r>
  <r>
    <s v="HDFC Finance"/>
    <x v="2"/>
    <x v="1"/>
    <s v="Male"/>
    <n v="73197"/>
  </r>
  <r>
    <s v="Flipkart Retail"/>
    <x v="2"/>
    <x v="0"/>
    <s v="Male"/>
    <n v="119829"/>
  </r>
  <r>
    <s v="Byju’s EdTech"/>
    <x v="2"/>
    <x v="0"/>
    <s v="Male"/>
    <n v="92926"/>
  </r>
  <r>
    <s v="Zomato Services"/>
    <x v="0"/>
    <x v="2"/>
    <s v="Female"/>
    <n v="88313"/>
  </r>
  <r>
    <s v="Pts Cad Expert"/>
    <x v="1"/>
    <x v="4"/>
    <s v="Male"/>
    <n v="5678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s v="june"/>
    <s v="Horizon Wellness"/>
    <x v="0"/>
    <x v="0"/>
    <s v="Assam"/>
    <x v="0"/>
    <n v="17"/>
    <n v="938"/>
    <n v="938"/>
    <n v="15946"/>
    <x v="0"/>
    <n v="0"/>
    <s v="loss"/>
  </r>
  <r>
    <x v="1"/>
    <s v="june"/>
    <s v="True Value Electronics"/>
    <x v="0"/>
    <x v="0"/>
    <s v="Punjab"/>
    <x v="0"/>
    <n v="18"/>
    <n v="920"/>
    <n v="1360"/>
    <n v="16560"/>
    <x v="1"/>
    <n v="7920"/>
    <s v="profit"/>
  </r>
  <r>
    <x v="2"/>
    <s v="june"/>
    <s v="Harmony Homes Realty"/>
    <x v="0"/>
    <x v="0"/>
    <s v="Chhattisgarh"/>
    <x v="0"/>
    <n v="20"/>
    <n v="731"/>
    <n v="1186"/>
    <n v="14620"/>
    <x v="2"/>
    <n v="9100"/>
    <s v="profit"/>
  </r>
  <r>
    <x v="3"/>
    <s v="june"/>
    <s v="Stellar Advertising"/>
    <x v="0"/>
    <x v="0"/>
    <s v="West Bengal"/>
    <x v="0"/>
    <n v="17"/>
    <n v="750"/>
    <n v="793"/>
    <n v="12750"/>
    <x v="3"/>
    <n v="731"/>
    <s v="profit"/>
  </r>
  <r>
    <x v="4"/>
    <s v="june"/>
    <s v="Modern Trends Retail"/>
    <x v="0"/>
    <x v="0"/>
    <s v="Madhya Pradesh"/>
    <x v="1"/>
    <n v="14"/>
    <n v="906"/>
    <n v="1327"/>
    <n v="12684"/>
    <x v="4"/>
    <n v="5894"/>
    <s v="profit"/>
  </r>
  <r>
    <x v="5"/>
    <s v="june"/>
    <s v="Global Spectrum Consulting"/>
    <x v="0"/>
    <x v="0"/>
    <s v="Jharkhand"/>
    <x v="1"/>
    <n v="20"/>
    <n v="699"/>
    <n v="1400"/>
    <n v="13980"/>
    <x v="5"/>
    <n v="14020"/>
    <s v="profit"/>
  </r>
  <r>
    <x v="6"/>
    <s v="april"/>
    <s v="Apex Solutions"/>
    <x v="1"/>
    <x v="1"/>
    <s v="Gujarat"/>
    <x v="1"/>
    <n v="55"/>
    <n v="637"/>
    <n v="1143"/>
    <n v="35035"/>
    <x v="6"/>
    <n v="27830"/>
    <s v="profit"/>
  </r>
  <r>
    <x v="7"/>
    <s v="june"/>
    <s v="Radiant Vision Studios"/>
    <x v="0"/>
    <x v="2"/>
    <s v="Gujarat"/>
    <x v="0"/>
    <n v="17"/>
    <n v="537"/>
    <n v="1350"/>
    <n v="9129"/>
    <x v="7"/>
    <n v="13821"/>
    <s v="profit"/>
  </r>
  <r>
    <x v="8"/>
    <s v="june"/>
    <s v="Noble Travel Services"/>
    <x v="0"/>
    <x v="2"/>
    <s v="Uttar Pradesh"/>
    <x v="0"/>
    <n v="20"/>
    <n v="875"/>
    <n v="911"/>
    <n v="17500"/>
    <x v="8"/>
    <n v="720"/>
    <s v="profit"/>
  </r>
  <r>
    <x v="9"/>
    <s v="july"/>
    <s v="Bright Future Academy"/>
    <x v="0"/>
    <x v="2"/>
    <s v="Uttar Pradesh"/>
    <x v="0"/>
    <n v="13"/>
    <n v="917"/>
    <n v="1315"/>
    <n v="11921"/>
    <x v="9"/>
    <n v="5174"/>
    <s v="profit"/>
  </r>
  <r>
    <x v="10"/>
    <s v="july"/>
    <s v="Visionary Health Systems"/>
    <x v="0"/>
    <x v="2"/>
    <s v="Madhya Pradesh"/>
    <x v="0"/>
    <n v="12"/>
    <n v="980"/>
    <n v="1462"/>
    <n v="11760"/>
    <x v="10"/>
    <n v="5784"/>
    <s v="profit"/>
  </r>
  <r>
    <x v="11"/>
    <s v="july"/>
    <s v="Apex Retailers"/>
    <x v="0"/>
    <x v="2"/>
    <s v="Maharashtra"/>
    <x v="0"/>
    <n v="12"/>
    <n v="734"/>
    <n v="1181"/>
    <n v="8808"/>
    <x v="11"/>
    <n v="5364"/>
    <s v="profit"/>
  </r>
  <r>
    <x v="12"/>
    <s v="april"/>
    <s v="Metro Tech Solutions"/>
    <x v="2"/>
    <x v="3"/>
    <s v="Maharashtra"/>
    <x v="0"/>
    <n v="29"/>
    <n v="951"/>
    <n v="1268"/>
    <n v="27579"/>
    <x v="12"/>
    <n v="9193"/>
    <s v="profit"/>
  </r>
  <r>
    <x v="13"/>
    <s v="july"/>
    <s v="Prestige Property Developers"/>
    <x v="0"/>
    <x v="2"/>
    <s v="Chandigarh"/>
    <x v="0"/>
    <n v="12"/>
    <n v="913"/>
    <n v="1170"/>
    <n v="10956"/>
    <x v="13"/>
    <n v="3084"/>
    <s v="profit"/>
  </r>
  <r>
    <x v="14"/>
    <s v="july"/>
    <s v="Classic Trends Fashion"/>
    <x v="0"/>
    <x v="2"/>
    <s v="Madhya Pradesh"/>
    <x v="1"/>
    <n v="20"/>
    <n v="833"/>
    <n v="877"/>
    <n v="16660"/>
    <x v="14"/>
    <n v="880"/>
    <s v="profit"/>
  </r>
  <r>
    <x v="15"/>
    <s v="july"/>
    <s v="Harmony Ventures"/>
    <x v="0"/>
    <x v="2"/>
    <s v="Andhra Pradesh"/>
    <x v="1"/>
    <n v="17"/>
    <n v="748"/>
    <n v="1138"/>
    <n v="12716"/>
    <x v="15"/>
    <n v="6630"/>
    <s v="profit"/>
  </r>
  <r>
    <x v="16"/>
    <s v="july"/>
    <s v="Stellar Realty"/>
    <x v="0"/>
    <x v="2"/>
    <s v="Bihar"/>
    <x v="1"/>
    <n v="20"/>
    <n v="517"/>
    <n v="1405"/>
    <n v="10340"/>
    <x v="16"/>
    <n v="17760"/>
    <s v="profit"/>
  </r>
  <r>
    <x v="17"/>
    <s v="july"/>
    <s v="Future Path Technologies"/>
    <x v="0"/>
    <x v="2"/>
    <s v="Gujarat"/>
    <x v="1"/>
    <n v="18"/>
    <n v="674"/>
    <n v="775"/>
    <n v="12132"/>
    <x v="17"/>
    <n v="1818"/>
    <s v="profit"/>
  </r>
  <r>
    <x v="18"/>
    <s v="july"/>
    <s v="Elite Edge Services"/>
    <x v="0"/>
    <x v="2"/>
    <s v="Uttar Pradesh"/>
    <x v="0"/>
    <n v="17"/>
    <n v="641"/>
    <n v="765"/>
    <n v="10897"/>
    <x v="18"/>
    <n v="2108"/>
    <s v="profit"/>
  </r>
  <r>
    <x v="19"/>
    <s v="august"/>
    <s v="Modern Harmony Products"/>
    <x v="0"/>
    <x v="2"/>
    <s v="Maharashtra"/>
    <x v="0"/>
    <n v="10"/>
    <n v="754"/>
    <n v="982"/>
    <n v="7540"/>
    <x v="19"/>
    <n v="2280"/>
    <s v="profit"/>
  </r>
  <r>
    <x v="20"/>
    <s v="august"/>
    <s v="Horizon Builders &amp; Developers"/>
    <x v="0"/>
    <x v="2"/>
    <s v="Rajasthan"/>
    <x v="0"/>
    <n v="14"/>
    <n v="815"/>
    <n v="1341"/>
    <n v="11410"/>
    <x v="20"/>
    <n v="7364"/>
    <s v="profit"/>
  </r>
  <r>
    <x v="21"/>
    <s v="august"/>
    <s v="Legacy Apparel"/>
    <x v="0"/>
    <x v="2"/>
    <s v="Uttar Pradesh"/>
    <x v="0"/>
    <n v="18"/>
    <n v="704"/>
    <n v="930"/>
    <n v="12672"/>
    <x v="21"/>
    <n v="4068"/>
    <s v="profit"/>
  </r>
  <r>
    <x v="22"/>
    <s v="april"/>
    <s v="Elite Marketing Solutions"/>
    <x v="2"/>
    <x v="4"/>
    <s v="Tamil Nadu"/>
    <x v="1"/>
    <n v="25"/>
    <n v="958"/>
    <n v="942"/>
    <n v="23950"/>
    <x v="22"/>
    <n v="-400"/>
    <s v="loss"/>
  </r>
  <r>
    <x v="23"/>
    <s v="august"/>
    <s v="Pinnacle Education Group"/>
    <x v="0"/>
    <x v="2"/>
    <s v="Uttar Pradesh"/>
    <x v="0"/>
    <n v="19"/>
    <n v="744"/>
    <n v="1433"/>
    <n v="14136"/>
    <x v="23"/>
    <n v="13091"/>
    <s v="profit"/>
  </r>
  <r>
    <x v="24"/>
    <s v="april"/>
    <s v="Crystal Clear Solutions"/>
    <x v="2"/>
    <x v="4"/>
    <s v="Rajasthan"/>
    <x v="0"/>
    <n v="26"/>
    <n v="520"/>
    <n v="1486"/>
    <n v="13520"/>
    <x v="24"/>
    <n v="25116"/>
    <s v="profit"/>
  </r>
  <r>
    <x v="25"/>
    <s v="august"/>
    <s v="Noble Innovations"/>
    <x v="0"/>
    <x v="2"/>
    <s v="Maharashtra"/>
    <x v="1"/>
    <n v="10"/>
    <n v="669"/>
    <n v="1344"/>
    <n v="6690"/>
    <x v="25"/>
    <n v="6750"/>
    <s v="profit"/>
  </r>
  <r>
    <x v="26"/>
    <s v="august"/>
    <s v="Crystal Clear Realty"/>
    <x v="0"/>
    <x v="2"/>
    <s v="Madhya Pradesh"/>
    <x v="1"/>
    <n v="20"/>
    <n v="966"/>
    <n v="924"/>
    <n v="19320"/>
    <x v="26"/>
    <n v="-840"/>
    <s v="loss"/>
  </r>
  <r>
    <x v="27"/>
    <s v="september"/>
    <s v="Apex Publishing House"/>
    <x v="0"/>
    <x v="2"/>
    <s v="Delhi"/>
    <x v="1"/>
    <n v="18"/>
    <n v="859"/>
    <n v="1044"/>
    <n v="15462"/>
    <x v="27"/>
    <n v="3330"/>
    <s v="profit"/>
  </r>
  <r>
    <x v="28"/>
    <s v="september"/>
    <s v="True Value Consulting"/>
    <x v="0"/>
    <x v="2"/>
    <s v="Maharashtra"/>
    <x v="1"/>
    <n v="15"/>
    <n v="890"/>
    <n v="1362"/>
    <n v="13350"/>
    <x v="28"/>
    <n v="7080"/>
    <s v="profit"/>
  </r>
  <r>
    <x v="29"/>
    <s v="september"/>
    <s v="Future Path Ventures"/>
    <x v="0"/>
    <x v="2"/>
    <s v="West Bengal"/>
    <x v="1"/>
    <n v="19"/>
    <n v="630"/>
    <n v="882"/>
    <n v="11970"/>
    <x v="29"/>
    <n v="4788"/>
    <s v="profit"/>
  </r>
  <r>
    <x v="30"/>
    <s v="september"/>
    <s v="Stellar Tech Services"/>
    <x v="0"/>
    <x v="2"/>
    <s v="Tamil Nadu"/>
    <x v="1"/>
    <n v="10"/>
    <n v="701"/>
    <n v="1384"/>
    <n v="7010"/>
    <x v="30"/>
    <n v="6830"/>
    <s v="profit"/>
  </r>
  <r>
    <x v="31"/>
    <s v="september"/>
    <s v="Legacy Travel Agency"/>
    <x v="0"/>
    <x v="2"/>
    <s v="Karnataka"/>
    <x v="0"/>
    <n v="19"/>
    <n v="653"/>
    <n v="1402"/>
    <n v="12407"/>
    <x v="31"/>
    <n v="14231"/>
    <s v="profit"/>
  </r>
  <r>
    <x v="32"/>
    <s v="september"/>
    <s v="Harmony Innovations"/>
    <x v="0"/>
    <x v="2"/>
    <s v="Telangana"/>
    <x v="0"/>
    <n v="14"/>
    <n v="968"/>
    <n v="1419"/>
    <n v="13552"/>
    <x v="32"/>
    <n v="6314"/>
    <s v="profit"/>
  </r>
  <r>
    <x v="33"/>
    <s v="september"/>
    <s v="Elite Media Group"/>
    <x v="0"/>
    <x v="2"/>
    <s v="Maharashtra"/>
    <x v="0"/>
    <n v="20"/>
    <n v="508"/>
    <n v="1433"/>
    <n v="10160"/>
    <x v="33"/>
    <n v="18500"/>
    <s v="profit"/>
  </r>
  <r>
    <x v="34"/>
    <s v="september"/>
    <s v="Radiant Construction"/>
    <x v="0"/>
    <x v="2"/>
    <s v="Rajasthan"/>
    <x v="0"/>
    <n v="12"/>
    <n v="539"/>
    <n v="1136"/>
    <n v="6468"/>
    <x v="34"/>
    <n v="7164"/>
    <s v="profit"/>
  </r>
  <r>
    <x v="35"/>
    <s v="september"/>
    <s v="Pinnacle Finance"/>
    <x v="0"/>
    <x v="2"/>
    <s v="Gujarat"/>
    <x v="0"/>
    <n v="10"/>
    <n v="731"/>
    <n v="1226"/>
    <n v="7310"/>
    <x v="35"/>
    <n v="4950"/>
    <s v="profit"/>
  </r>
  <r>
    <x v="36"/>
    <s v="september"/>
    <s v="Horizon Tech Ventures"/>
    <x v="0"/>
    <x v="2"/>
    <s v="Uttar Pradesh"/>
    <x v="0"/>
    <n v="15"/>
    <n v="621"/>
    <n v="1488"/>
    <n v="9315"/>
    <x v="36"/>
    <n v="13005"/>
    <s v="profit"/>
  </r>
  <r>
    <x v="37"/>
    <s v="september"/>
    <s v="Elite Edge Consulting"/>
    <x v="0"/>
    <x v="0"/>
    <s v="Gujarat"/>
    <x v="1"/>
    <n v="16"/>
    <n v="963"/>
    <n v="1186"/>
    <n v="15408"/>
    <x v="37"/>
    <n v="3568"/>
    <s v="profit"/>
  </r>
  <r>
    <x v="38"/>
    <s v="september"/>
    <s v="Harmony Tech Ventures"/>
    <x v="0"/>
    <x v="0"/>
    <s v="Uttar Pradesh"/>
    <x v="0"/>
    <n v="13"/>
    <n v="762"/>
    <n v="1311"/>
    <n v="9906"/>
    <x v="38"/>
    <n v="7137"/>
    <s v="profit"/>
  </r>
  <r>
    <x v="39"/>
    <s v="october"/>
    <s v="Radiant Fitness Studio"/>
    <x v="0"/>
    <x v="0"/>
    <s v="Tamil Nadu"/>
    <x v="0"/>
    <n v="14"/>
    <n v="909"/>
    <n v="780"/>
    <n v="12726"/>
    <x v="39"/>
    <n v="-1806"/>
    <s v="loss"/>
  </r>
  <r>
    <x v="40"/>
    <s v="october"/>
    <s v="Zenith Finance Co."/>
    <x v="0"/>
    <x v="0"/>
    <s v="Rajasthan"/>
    <x v="0"/>
    <n v="11"/>
    <n v="858"/>
    <n v="1080"/>
    <n v="9438"/>
    <x v="40"/>
    <n v="2442"/>
    <s v="profit"/>
  </r>
  <r>
    <x v="41"/>
    <s v="october"/>
    <s v="Apex Events Management"/>
    <x v="0"/>
    <x v="0"/>
    <s v="Uttar Pradesh"/>
    <x v="0"/>
    <n v="12"/>
    <n v="516"/>
    <n v="857"/>
    <n v="6192"/>
    <x v="41"/>
    <n v="4092"/>
    <s v="profit"/>
  </r>
  <r>
    <x v="42"/>
    <s v="october"/>
    <s v="Stellar Media Group"/>
    <x v="0"/>
    <x v="2"/>
    <s v="Jharkhand"/>
    <x v="1"/>
    <n v="20"/>
    <n v="817"/>
    <n v="1324"/>
    <n v="16340"/>
    <x v="42"/>
    <n v="10140"/>
    <s v="profit"/>
  </r>
  <r>
    <x v="43"/>
    <s v="october"/>
    <s v="Harmony Finance Co."/>
    <x v="0"/>
    <x v="2"/>
    <s v="West Bengal"/>
    <x v="1"/>
    <n v="16"/>
    <n v="935"/>
    <n v="980"/>
    <n v="14960"/>
    <x v="43"/>
    <n v="720"/>
    <s v="profit"/>
  </r>
  <r>
    <x v="44"/>
    <s v="october"/>
    <s v="Pure Vision Ventures"/>
    <x v="0"/>
    <x v="2"/>
    <s v="Karnataka"/>
    <x v="1"/>
    <n v="17"/>
    <n v="642"/>
    <n v="1095"/>
    <n v="10914"/>
    <x v="44"/>
    <n v="7701"/>
    <s v="profit"/>
  </r>
  <r>
    <x v="45"/>
    <s v="october"/>
    <s v="Legacy Travel Services"/>
    <x v="0"/>
    <x v="2"/>
    <s v="Gujarat"/>
    <x v="0"/>
    <n v="18"/>
    <n v="596"/>
    <n v="817"/>
    <n v="10728"/>
    <x v="45"/>
    <n v="3978"/>
    <s v="profit"/>
  </r>
  <r>
    <x v="46"/>
    <s v="october"/>
    <s v="Elite Spectrum Media"/>
    <x v="0"/>
    <x v="2"/>
    <s v="Uttar Pradesh"/>
    <x v="0"/>
    <n v="14"/>
    <n v="533"/>
    <n v="922"/>
    <n v="7462"/>
    <x v="46"/>
    <n v="5446"/>
    <s v="profit"/>
  </r>
  <r>
    <x v="47"/>
    <s v="october"/>
    <s v="Pinnacle Design Studio"/>
    <x v="0"/>
    <x v="2"/>
    <s v="Tamil Nadu"/>
    <x v="0"/>
    <n v="19"/>
    <n v="578"/>
    <n v="1434"/>
    <n v="10982"/>
    <x v="47"/>
    <n v="16264"/>
    <s v="profit"/>
  </r>
  <r>
    <x v="48"/>
    <s v="january"/>
    <s v="Legacy Travel Ventures"/>
    <x v="0"/>
    <x v="0"/>
    <s v="West Bengal"/>
    <x v="0"/>
    <n v="14"/>
    <n v="521"/>
    <n v="974"/>
    <n v="7294"/>
    <x v="48"/>
    <n v="6342"/>
    <s v="profit"/>
  </r>
  <r>
    <x v="49"/>
    <s v="may"/>
    <s v="Absolute Solutions"/>
    <x v="1"/>
    <x v="5"/>
    <s v="Gujarat"/>
    <x v="1"/>
    <n v="79"/>
    <n v="616"/>
    <n v="944"/>
    <n v="48664"/>
    <x v="49"/>
    <n v="25912"/>
    <s v="profit"/>
  </r>
  <r>
    <x v="50"/>
    <s v="january"/>
    <s v="Stellar Design Group"/>
    <x v="0"/>
    <x v="0"/>
    <s v="Delhi"/>
    <x v="0"/>
    <n v="14"/>
    <n v="734"/>
    <n v="1058"/>
    <n v="10276"/>
    <x v="50"/>
    <n v="4536"/>
    <s v="profit"/>
  </r>
  <r>
    <x v="51"/>
    <s v="january"/>
    <s v="Horizon Ventures Co."/>
    <x v="0"/>
    <x v="0"/>
    <s v="Punjab"/>
    <x v="0"/>
    <n v="20"/>
    <n v="837"/>
    <n v="1014"/>
    <n v="16740"/>
    <x v="51"/>
    <n v="3540"/>
    <s v="profit"/>
  </r>
  <r>
    <x v="52"/>
    <s v="january"/>
    <s v="Zenith Wellness Services"/>
    <x v="0"/>
    <x v="0"/>
    <s v="West Bengal"/>
    <x v="1"/>
    <n v="11"/>
    <n v="617"/>
    <n v="1025"/>
    <n v="6787"/>
    <x v="52"/>
    <n v="4488"/>
    <s v="profit"/>
  </r>
  <r>
    <x v="53"/>
    <s v="january"/>
    <s v="Legacy Travel Co."/>
    <x v="0"/>
    <x v="2"/>
    <s v="Assam"/>
    <x v="0"/>
    <n v="20"/>
    <n v="749"/>
    <n v="753"/>
    <n v="14980"/>
    <x v="53"/>
    <n v="80"/>
    <s v="profit"/>
  </r>
  <r>
    <x v="54"/>
    <s v="january"/>
    <s v="Pinnacle Innovations Group"/>
    <x v="0"/>
    <x v="2"/>
    <s v="Punjab"/>
    <x v="0"/>
    <n v="15"/>
    <n v="924"/>
    <n v="1024"/>
    <n v="13860"/>
    <x v="54"/>
    <n v="1500"/>
    <s v="profit"/>
  </r>
  <r>
    <x v="55"/>
    <s v="january"/>
    <s v="Stellar Health Services"/>
    <x v="0"/>
    <x v="2"/>
    <s v="Chhattisgarh"/>
    <x v="0"/>
    <n v="18"/>
    <n v="601"/>
    <n v="1246"/>
    <n v="10818"/>
    <x v="55"/>
    <n v="11610"/>
    <s v="profit"/>
  </r>
  <r>
    <x v="56"/>
    <s v="january"/>
    <s v="Radiance Design Co."/>
    <x v="0"/>
    <x v="2"/>
    <s v="West Bengal"/>
    <x v="0"/>
    <n v="17"/>
    <n v="626"/>
    <n v="1462"/>
    <n v="10642"/>
    <x v="56"/>
    <n v="14212"/>
    <s v="profit"/>
  </r>
  <r>
    <x v="57"/>
    <s v="january"/>
    <s v="Harmony Consulting Group"/>
    <x v="0"/>
    <x v="2"/>
    <s v="West Bengal"/>
    <x v="0"/>
    <n v="13"/>
    <n v="542"/>
    <n v="853"/>
    <n v="7046"/>
    <x v="57"/>
    <n v="4043"/>
    <s v="profit"/>
  </r>
  <r>
    <x v="58"/>
    <s v="may"/>
    <s v="Synergy Tech Solutions"/>
    <x v="1"/>
    <x v="5"/>
    <s v="Bihar"/>
    <x v="1"/>
    <n v="50"/>
    <n v="639"/>
    <n v="789"/>
    <n v="31950"/>
    <x v="58"/>
    <n v="7500"/>
    <s v="profit"/>
  </r>
  <r>
    <x v="59"/>
    <s v="january"/>
    <s v="Apex Educational Group"/>
    <x v="0"/>
    <x v="2"/>
    <s v="Jharkhand"/>
    <x v="1"/>
    <n v="19"/>
    <n v="595"/>
    <n v="1424"/>
    <n v="11305"/>
    <x v="59"/>
    <n v="15751"/>
    <s v="profit"/>
  </r>
  <r>
    <x v="60"/>
    <s v="january"/>
    <s v="Modern Wellness Co."/>
    <x v="0"/>
    <x v="2"/>
    <s v="West Bengal"/>
    <x v="1"/>
    <n v="17"/>
    <n v="593"/>
    <n v="895"/>
    <n v="10081"/>
    <x v="60"/>
    <n v="5134"/>
    <s v="profit"/>
  </r>
  <r>
    <x v="61"/>
    <s v="january"/>
    <s v="Pure Spectrum Innovations"/>
    <x v="0"/>
    <x v="2"/>
    <s v="Uttar Pradesh"/>
    <x v="1"/>
    <n v="20"/>
    <n v="735"/>
    <n v="1277"/>
    <n v="14700"/>
    <x v="61"/>
    <n v="10840"/>
    <s v="profit"/>
  </r>
  <r>
    <x v="62"/>
    <s v="january"/>
    <s v="Pinnacle Travel Co."/>
    <x v="0"/>
    <x v="2"/>
    <s v="Kerala"/>
    <x v="1"/>
    <n v="17"/>
    <n v="750"/>
    <n v="1253"/>
    <n v="12750"/>
    <x v="62"/>
    <n v="8551"/>
    <s v="profit"/>
  </r>
  <r>
    <x v="0"/>
    <s v="june"/>
    <s v="Horizon Wellness"/>
    <x v="0"/>
    <x v="0"/>
    <s v="Assam"/>
    <x v="0"/>
    <n v="11"/>
    <n v="601"/>
    <n v="1323"/>
    <n v="6611"/>
    <x v="63"/>
    <n v="7942"/>
    <s v="profit"/>
  </r>
  <r>
    <x v="1"/>
    <s v="june"/>
    <s v="True Value Electronics"/>
    <x v="0"/>
    <x v="0"/>
    <s v="Punjab"/>
    <x v="0"/>
    <n v="20"/>
    <n v="857"/>
    <n v="983"/>
    <n v="17140"/>
    <x v="64"/>
    <n v="2520"/>
    <s v="profit"/>
  </r>
  <r>
    <x v="2"/>
    <s v="june"/>
    <s v="Harmony Homes Realty"/>
    <x v="0"/>
    <x v="0"/>
    <s v="Chhattisgarh"/>
    <x v="0"/>
    <n v="11"/>
    <n v="774"/>
    <n v="1363"/>
    <n v="8514"/>
    <x v="65"/>
    <n v="6479"/>
    <s v="profit"/>
  </r>
  <r>
    <x v="3"/>
    <s v="june"/>
    <s v="Stellar Advertising"/>
    <x v="0"/>
    <x v="0"/>
    <s v="West Bengal"/>
    <x v="0"/>
    <n v="13"/>
    <n v="986"/>
    <n v="1073"/>
    <n v="12818"/>
    <x v="66"/>
    <n v="1131"/>
    <s v="profit"/>
  </r>
  <r>
    <x v="4"/>
    <s v="june"/>
    <s v="Modern Trends Retail"/>
    <x v="0"/>
    <x v="0"/>
    <s v="Madhya Pradesh"/>
    <x v="1"/>
    <n v="12"/>
    <n v="997"/>
    <n v="1445"/>
    <n v="11964"/>
    <x v="67"/>
    <n v="5376"/>
    <s v="profit"/>
  </r>
  <r>
    <x v="5"/>
    <s v="june"/>
    <s v="Global Spectrum Consulting"/>
    <x v="0"/>
    <x v="0"/>
    <s v="Jharkhand"/>
    <x v="1"/>
    <n v="20"/>
    <n v="941"/>
    <n v="1053"/>
    <n v="18820"/>
    <x v="68"/>
    <n v="2240"/>
    <s v="profit"/>
  </r>
  <r>
    <x v="7"/>
    <s v="june"/>
    <s v="Radiant Vision Studios"/>
    <x v="0"/>
    <x v="2"/>
    <s v="Gujarat"/>
    <x v="0"/>
    <n v="19"/>
    <n v="952"/>
    <n v="1486"/>
    <n v="18088"/>
    <x v="69"/>
    <n v="10146"/>
    <s v="profit"/>
  </r>
  <r>
    <x v="8"/>
    <s v="june"/>
    <s v="Noble Travel Services"/>
    <x v="0"/>
    <x v="2"/>
    <s v="Uttar Pradesh"/>
    <x v="0"/>
    <n v="11"/>
    <n v="503"/>
    <n v="762"/>
    <n v="5533"/>
    <x v="70"/>
    <n v="2849"/>
    <s v="profit"/>
  </r>
  <r>
    <x v="9"/>
    <s v="july"/>
    <s v="Bright Future Academy"/>
    <x v="0"/>
    <x v="2"/>
    <s v="Uttar Pradesh"/>
    <x v="0"/>
    <n v="10"/>
    <n v="719"/>
    <n v="862"/>
    <n v="7190"/>
    <x v="71"/>
    <n v="1430"/>
    <s v="profit"/>
  </r>
  <r>
    <x v="10"/>
    <s v="july"/>
    <s v="Visionary Health Systems"/>
    <x v="0"/>
    <x v="2"/>
    <s v="Madhya Pradesh"/>
    <x v="0"/>
    <n v="15"/>
    <n v="941"/>
    <n v="913"/>
    <n v="14115"/>
    <x v="72"/>
    <n v="-420"/>
    <s v="loss"/>
  </r>
  <r>
    <x v="11"/>
    <s v="july"/>
    <s v="Apex Retailers"/>
    <x v="0"/>
    <x v="2"/>
    <s v="Maharashtra"/>
    <x v="0"/>
    <n v="15"/>
    <n v="937"/>
    <n v="1427"/>
    <n v="14055"/>
    <x v="73"/>
    <n v="7350"/>
    <s v="profit"/>
  </r>
  <r>
    <x v="13"/>
    <s v="july"/>
    <s v="Prestige Property Developers"/>
    <x v="0"/>
    <x v="2"/>
    <s v="Chandigarh"/>
    <x v="0"/>
    <n v="11"/>
    <n v="674"/>
    <n v="1415"/>
    <n v="7414"/>
    <x v="74"/>
    <n v="8151"/>
    <s v="profit"/>
  </r>
  <r>
    <x v="63"/>
    <s v="june"/>
    <s v="Radiant Enterprise Solutions"/>
    <x v="0"/>
    <x v="0"/>
    <s v="West Bengal"/>
    <x v="0"/>
    <n v="20"/>
    <n v="827"/>
    <n v="816"/>
    <n v="16540"/>
    <x v="75"/>
    <n v="-220"/>
    <s v="loss"/>
  </r>
  <r>
    <x v="14"/>
    <s v="july"/>
    <s v="Classic Trends Fashion"/>
    <x v="0"/>
    <x v="2"/>
    <s v="Madhya Pradesh"/>
    <x v="1"/>
    <n v="20"/>
    <n v="596"/>
    <n v="1255"/>
    <n v="11920"/>
    <x v="76"/>
    <n v="13180"/>
    <s v="profit"/>
  </r>
  <r>
    <x v="15"/>
    <s v="july"/>
    <s v="Harmony Ventures"/>
    <x v="0"/>
    <x v="2"/>
    <s v="Andhra Pradesh"/>
    <x v="1"/>
    <n v="20"/>
    <n v="689"/>
    <n v="939"/>
    <n v="13780"/>
    <x v="77"/>
    <n v="5000"/>
    <s v="profit"/>
  </r>
  <r>
    <x v="16"/>
    <s v="july"/>
    <s v="Stellar Realty"/>
    <x v="0"/>
    <x v="2"/>
    <s v="Bihar"/>
    <x v="1"/>
    <n v="17"/>
    <n v="990"/>
    <n v="1391"/>
    <n v="16830"/>
    <x v="78"/>
    <n v="6817"/>
    <s v="profit"/>
  </r>
  <r>
    <x v="17"/>
    <s v="july"/>
    <s v="Future Path Technologies"/>
    <x v="0"/>
    <x v="2"/>
    <s v="Gujarat"/>
    <x v="1"/>
    <n v="20"/>
    <n v="589"/>
    <n v="773"/>
    <n v="11780"/>
    <x v="79"/>
    <n v="3680"/>
    <s v="profit"/>
  </r>
  <r>
    <x v="18"/>
    <s v="july"/>
    <s v="Elite Edge Services"/>
    <x v="0"/>
    <x v="2"/>
    <s v="Uttar Pradesh"/>
    <x v="0"/>
    <n v="17"/>
    <n v="773"/>
    <n v="1266"/>
    <n v="13141"/>
    <x v="80"/>
    <n v="8381"/>
    <s v="profit"/>
  </r>
  <r>
    <x v="64"/>
    <s v="june"/>
    <s v="Infinite Solutions"/>
    <x v="1"/>
    <x v="5"/>
    <s v="Maharashtra"/>
    <x v="0"/>
    <n v="75"/>
    <n v="859"/>
    <n v="1486"/>
    <n v="64425"/>
    <x v="81"/>
    <n v="47025"/>
    <s v="profit"/>
  </r>
  <r>
    <x v="19"/>
    <s v="august"/>
    <s v="Modern Harmony Products"/>
    <x v="0"/>
    <x v="2"/>
    <s v="Maharashtra"/>
    <x v="0"/>
    <n v="11"/>
    <n v="830"/>
    <n v="1386"/>
    <n v="9130"/>
    <x v="82"/>
    <n v="6116"/>
    <s v="profit"/>
  </r>
  <r>
    <x v="20"/>
    <s v="august"/>
    <s v="Horizon Builders &amp; Developers"/>
    <x v="0"/>
    <x v="2"/>
    <s v="Rajasthan"/>
    <x v="0"/>
    <n v="11"/>
    <n v="930"/>
    <n v="876"/>
    <n v="10230"/>
    <x v="83"/>
    <n v="-594"/>
    <s v="loss"/>
  </r>
  <r>
    <x v="21"/>
    <s v="august"/>
    <s v="Legacy Apparel"/>
    <x v="0"/>
    <x v="2"/>
    <s v="Uttar Pradesh"/>
    <x v="0"/>
    <n v="19"/>
    <n v="654"/>
    <n v="1295"/>
    <n v="12426"/>
    <x v="84"/>
    <n v="12179"/>
    <s v="profit"/>
  </r>
  <r>
    <x v="23"/>
    <s v="august"/>
    <s v="Pinnacle Education Group"/>
    <x v="0"/>
    <x v="2"/>
    <s v="Uttar Pradesh"/>
    <x v="0"/>
    <n v="18"/>
    <n v="767"/>
    <n v="988"/>
    <n v="13806"/>
    <x v="85"/>
    <n v="3978"/>
    <s v="profit"/>
  </r>
  <r>
    <x v="25"/>
    <s v="august"/>
    <s v="Noble Innovations"/>
    <x v="0"/>
    <x v="2"/>
    <s v="Maharashtra"/>
    <x v="1"/>
    <n v="12"/>
    <n v="654"/>
    <n v="788"/>
    <n v="7848"/>
    <x v="86"/>
    <n v="1608"/>
    <s v="profit"/>
  </r>
  <r>
    <x v="26"/>
    <s v="august"/>
    <s v="Crystal Clear Realty"/>
    <x v="0"/>
    <x v="2"/>
    <s v="Madhya Pradesh"/>
    <x v="1"/>
    <n v="11"/>
    <n v="827"/>
    <n v="765"/>
    <n v="9097"/>
    <x v="87"/>
    <n v="-682"/>
    <s v="loss"/>
  </r>
  <r>
    <x v="27"/>
    <s v="september"/>
    <s v="Apex Publishing House"/>
    <x v="0"/>
    <x v="2"/>
    <s v="Delhi"/>
    <x v="1"/>
    <n v="12"/>
    <n v="561"/>
    <n v="1162"/>
    <n v="6732"/>
    <x v="88"/>
    <n v="7212"/>
    <s v="profit"/>
  </r>
  <r>
    <x v="28"/>
    <s v="september"/>
    <s v="True Value Consulting"/>
    <x v="0"/>
    <x v="2"/>
    <s v="Maharashtra"/>
    <x v="1"/>
    <n v="12"/>
    <n v="879"/>
    <n v="1428"/>
    <n v="10548"/>
    <x v="89"/>
    <n v="6588"/>
    <s v="profit"/>
  </r>
  <r>
    <x v="29"/>
    <s v="september"/>
    <s v="Future Path Ventures"/>
    <x v="0"/>
    <x v="2"/>
    <s v="West Bengal"/>
    <x v="1"/>
    <n v="13"/>
    <n v="523"/>
    <n v="1326"/>
    <n v="6799"/>
    <x v="90"/>
    <n v="10439"/>
    <s v="profit"/>
  </r>
  <r>
    <x v="30"/>
    <s v="september"/>
    <s v="Stellar Tech Services"/>
    <x v="0"/>
    <x v="2"/>
    <s v="Tamil Nadu"/>
    <x v="1"/>
    <n v="10"/>
    <n v="990"/>
    <n v="1030"/>
    <n v="9900"/>
    <x v="91"/>
    <n v="400"/>
    <s v="profit"/>
  </r>
  <r>
    <x v="65"/>
    <s v="july"/>
    <s v="Synergy Solutions Group"/>
    <x v="0"/>
    <x v="2"/>
    <s v="Maharashtra"/>
    <x v="0"/>
    <n v="15"/>
    <n v="910"/>
    <n v="916"/>
    <n v="13650"/>
    <x v="92"/>
    <n v="90"/>
    <s v="profit"/>
  </r>
  <r>
    <x v="31"/>
    <s v="september"/>
    <s v="Legacy Travel Agency"/>
    <x v="0"/>
    <x v="2"/>
    <s v="Karnataka"/>
    <x v="0"/>
    <n v="12"/>
    <n v="707"/>
    <n v="1203"/>
    <n v="8484"/>
    <x v="93"/>
    <n v="5952"/>
    <s v="profit"/>
  </r>
  <r>
    <x v="32"/>
    <s v="september"/>
    <s v="Harmony Innovations"/>
    <x v="0"/>
    <x v="2"/>
    <s v="Telangana"/>
    <x v="0"/>
    <n v="13"/>
    <n v="515"/>
    <n v="1095"/>
    <n v="6695"/>
    <x v="94"/>
    <n v="7540"/>
    <s v="profit"/>
  </r>
  <r>
    <x v="33"/>
    <s v="september"/>
    <s v="Elite Media Group"/>
    <x v="0"/>
    <x v="2"/>
    <s v="Maharashtra"/>
    <x v="0"/>
    <n v="12"/>
    <n v="671"/>
    <n v="850"/>
    <n v="8052"/>
    <x v="95"/>
    <n v="2148"/>
    <s v="profit"/>
  </r>
  <r>
    <x v="34"/>
    <s v="september"/>
    <s v="Radiant Construction"/>
    <x v="0"/>
    <x v="2"/>
    <s v="Rajasthan"/>
    <x v="0"/>
    <n v="12"/>
    <n v="500"/>
    <n v="1276"/>
    <n v="6000"/>
    <x v="96"/>
    <n v="9312"/>
    <s v="profit"/>
  </r>
  <r>
    <x v="35"/>
    <s v="september"/>
    <s v="Pinnacle Finance"/>
    <x v="0"/>
    <x v="2"/>
    <s v="Gujarat"/>
    <x v="0"/>
    <n v="18"/>
    <n v="602"/>
    <n v="1401"/>
    <n v="10836"/>
    <x v="97"/>
    <n v="14382"/>
    <s v="profit"/>
  </r>
  <r>
    <x v="36"/>
    <s v="september"/>
    <s v="Horizon Tech Ventures"/>
    <x v="0"/>
    <x v="2"/>
    <s v="Uttar Pradesh"/>
    <x v="0"/>
    <n v="18"/>
    <n v="629"/>
    <n v="945"/>
    <n v="11322"/>
    <x v="98"/>
    <n v="5688"/>
    <s v="profit"/>
  </r>
  <r>
    <x v="37"/>
    <s v="september"/>
    <s v="Elite Edge Consulting"/>
    <x v="0"/>
    <x v="0"/>
    <s v="Gujarat"/>
    <x v="1"/>
    <n v="17"/>
    <n v="565"/>
    <n v="1281"/>
    <n v="9605"/>
    <x v="99"/>
    <n v="12172"/>
    <s v="profit"/>
  </r>
  <r>
    <x v="38"/>
    <s v="september"/>
    <s v="Harmony Tech Ventures"/>
    <x v="0"/>
    <x v="0"/>
    <s v="Uttar Pradesh"/>
    <x v="0"/>
    <n v="10"/>
    <n v="917"/>
    <n v="1107"/>
    <n v="9170"/>
    <x v="100"/>
    <n v="1900"/>
    <s v="profit"/>
  </r>
  <r>
    <x v="39"/>
    <s v="october"/>
    <s v="Radiant Fitness Studio"/>
    <x v="0"/>
    <x v="0"/>
    <s v="Tamil Nadu"/>
    <x v="0"/>
    <n v="18"/>
    <n v="867"/>
    <n v="875"/>
    <n v="15606"/>
    <x v="101"/>
    <n v="144"/>
    <s v="profit"/>
  </r>
  <r>
    <x v="40"/>
    <s v="october"/>
    <s v="Zenith Finance Co."/>
    <x v="0"/>
    <x v="0"/>
    <s v="Rajasthan"/>
    <x v="0"/>
    <n v="10"/>
    <n v="757"/>
    <n v="885"/>
    <n v="7570"/>
    <x v="102"/>
    <n v="1280"/>
    <s v="profit"/>
  </r>
  <r>
    <x v="41"/>
    <s v="october"/>
    <s v="Apex Events Management"/>
    <x v="0"/>
    <x v="0"/>
    <s v="Uttar Pradesh"/>
    <x v="0"/>
    <n v="18"/>
    <n v="668"/>
    <n v="1366"/>
    <n v="12024"/>
    <x v="103"/>
    <n v="12564"/>
    <s v="profit"/>
  </r>
  <r>
    <x v="42"/>
    <s v="october"/>
    <s v="Stellar Media Group"/>
    <x v="0"/>
    <x v="2"/>
    <s v="Jharkhand"/>
    <x v="1"/>
    <n v="20"/>
    <n v="882"/>
    <n v="1193"/>
    <n v="17640"/>
    <x v="104"/>
    <n v="6220"/>
    <s v="profit"/>
  </r>
  <r>
    <x v="66"/>
    <s v="july"/>
    <s v="Horizon Tech Solutions"/>
    <x v="2"/>
    <x v="6"/>
    <s v="Uttar Pradesh"/>
    <x v="0"/>
    <n v="26"/>
    <n v="627"/>
    <n v="1416"/>
    <n v="16302"/>
    <x v="105"/>
    <n v="20514"/>
    <s v="profit"/>
  </r>
  <r>
    <x v="43"/>
    <s v="october"/>
    <s v="Harmony Finance Co."/>
    <x v="0"/>
    <x v="2"/>
    <s v="West Bengal"/>
    <x v="1"/>
    <n v="17"/>
    <n v="739"/>
    <n v="826"/>
    <n v="12563"/>
    <x v="106"/>
    <n v="1479"/>
    <s v="profit"/>
  </r>
  <r>
    <x v="44"/>
    <s v="october"/>
    <s v="Pure Vision Ventures"/>
    <x v="0"/>
    <x v="2"/>
    <s v="Karnataka"/>
    <x v="1"/>
    <n v="15"/>
    <n v="563"/>
    <n v="1069"/>
    <n v="8445"/>
    <x v="107"/>
    <n v="7590"/>
    <s v="profit"/>
  </r>
  <r>
    <x v="45"/>
    <s v="october"/>
    <s v="Legacy Travel Services"/>
    <x v="0"/>
    <x v="2"/>
    <s v="Gujarat"/>
    <x v="0"/>
    <n v="15"/>
    <n v="662"/>
    <n v="1183"/>
    <n v="9930"/>
    <x v="108"/>
    <n v="7815"/>
    <s v="profit"/>
  </r>
  <r>
    <x v="46"/>
    <s v="october"/>
    <s v="Elite Spectrum Media"/>
    <x v="0"/>
    <x v="2"/>
    <s v="Uttar Pradesh"/>
    <x v="0"/>
    <n v="16"/>
    <n v="846"/>
    <n v="1375"/>
    <n v="13536"/>
    <x v="109"/>
    <n v="8464"/>
    <s v="profit"/>
  </r>
  <r>
    <x v="47"/>
    <s v="october"/>
    <s v="Pinnacle Design Studio"/>
    <x v="0"/>
    <x v="2"/>
    <s v="Tamil Nadu"/>
    <x v="0"/>
    <n v="14"/>
    <n v="777"/>
    <n v="1192"/>
    <n v="10878"/>
    <x v="110"/>
    <n v="5810"/>
    <s v="profit"/>
  </r>
  <r>
    <x v="48"/>
    <s v="january"/>
    <s v="Legacy Travel Ventures"/>
    <x v="0"/>
    <x v="0"/>
    <s v="West Bengal"/>
    <x v="0"/>
    <n v="16"/>
    <n v="632"/>
    <n v="835"/>
    <n v="10112"/>
    <x v="111"/>
    <n v="3248"/>
    <s v="profit"/>
  </r>
  <r>
    <x v="50"/>
    <s v="january"/>
    <s v="Stellar Design Group"/>
    <x v="0"/>
    <x v="0"/>
    <s v="Delhi"/>
    <x v="0"/>
    <n v="11"/>
    <n v="731"/>
    <n v="1311"/>
    <n v="8041"/>
    <x v="112"/>
    <n v="6380"/>
    <s v="profit"/>
  </r>
  <r>
    <x v="51"/>
    <s v="january"/>
    <s v="Horizon Ventures Co."/>
    <x v="0"/>
    <x v="0"/>
    <s v="Punjab"/>
    <x v="0"/>
    <n v="10"/>
    <n v="774"/>
    <n v="1472"/>
    <n v="7740"/>
    <x v="113"/>
    <n v="6980"/>
    <s v="profit"/>
  </r>
  <r>
    <x v="52"/>
    <s v="january"/>
    <s v="Zenith Wellness Services"/>
    <x v="0"/>
    <x v="0"/>
    <s v="West Bengal"/>
    <x v="1"/>
    <n v="11"/>
    <n v="986"/>
    <n v="1228"/>
    <n v="10846"/>
    <x v="114"/>
    <n v="2662"/>
    <s v="profit"/>
  </r>
  <r>
    <x v="53"/>
    <s v="january"/>
    <s v="Legacy Travel Co."/>
    <x v="0"/>
    <x v="2"/>
    <s v="Assam"/>
    <x v="0"/>
    <n v="11"/>
    <n v="519"/>
    <n v="1143"/>
    <n v="5709"/>
    <x v="115"/>
    <n v="6864"/>
    <s v="profit"/>
  </r>
  <r>
    <x v="54"/>
    <s v="january"/>
    <s v="Pinnacle Innovations Group"/>
    <x v="0"/>
    <x v="2"/>
    <s v="Punjab"/>
    <x v="0"/>
    <n v="20"/>
    <n v="597"/>
    <n v="1175"/>
    <n v="11940"/>
    <x v="116"/>
    <n v="11560"/>
    <s v="profit"/>
  </r>
  <r>
    <x v="55"/>
    <s v="january"/>
    <s v="Stellar Health Services"/>
    <x v="0"/>
    <x v="2"/>
    <s v="Chhattisgarh"/>
    <x v="0"/>
    <n v="18"/>
    <n v="632"/>
    <n v="1384"/>
    <n v="11376"/>
    <x v="117"/>
    <n v="13536"/>
    <s v="profit"/>
  </r>
  <r>
    <x v="56"/>
    <s v="january"/>
    <s v="Radiance Design Co."/>
    <x v="0"/>
    <x v="2"/>
    <s v="West Bengal"/>
    <x v="0"/>
    <n v="17"/>
    <n v="649"/>
    <n v="1392"/>
    <n v="11033"/>
    <x v="118"/>
    <n v="12631"/>
    <s v="profit"/>
  </r>
  <r>
    <x v="57"/>
    <s v="january"/>
    <s v="Harmony Consulting Group"/>
    <x v="0"/>
    <x v="2"/>
    <s v="West Bengal"/>
    <x v="0"/>
    <n v="18"/>
    <n v="587"/>
    <n v="905"/>
    <n v="10566"/>
    <x v="119"/>
    <n v="5724"/>
    <s v="profit"/>
  </r>
  <r>
    <x v="59"/>
    <s v="january"/>
    <s v="Apex Educational Group"/>
    <x v="0"/>
    <x v="2"/>
    <s v="Jharkhand"/>
    <x v="1"/>
    <n v="19"/>
    <n v="701"/>
    <n v="1136"/>
    <n v="13319"/>
    <x v="120"/>
    <n v="8265"/>
    <s v="profit"/>
  </r>
  <r>
    <x v="60"/>
    <s v="january"/>
    <s v="Modern Wellness Co."/>
    <x v="0"/>
    <x v="2"/>
    <s v="West Bengal"/>
    <x v="1"/>
    <n v="19"/>
    <n v="972"/>
    <n v="1314"/>
    <n v="18468"/>
    <x v="121"/>
    <n v="6498"/>
    <s v="profit"/>
  </r>
  <r>
    <x v="61"/>
    <s v="january"/>
    <s v="Pure Spectrum Innovations"/>
    <x v="0"/>
    <x v="2"/>
    <s v="Uttar Pradesh"/>
    <x v="1"/>
    <n v="13"/>
    <n v="615"/>
    <n v="1010"/>
    <n v="7995"/>
    <x v="122"/>
    <n v="5135"/>
    <s v="profit"/>
  </r>
  <r>
    <x v="62"/>
    <s v="january"/>
    <s v="Pinnacle Travel Co."/>
    <x v="0"/>
    <x v="2"/>
    <s v="Kerala"/>
    <x v="1"/>
    <n v="19"/>
    <n v="864"/>
    <n v="1147"/>
    <n v="16416"/>
    <x v="123"/>
    <n v="5377"/>
    <s v="profit"/>
  </r>
  <r>
    <x v="67"/>
    <s v="august"/>
    <s v="Apex Wellness Solutions"/>
    <x v="1"/>
    <x v="7"/>
    <s v="Karnataka"/>
    <x v="1"/>
    <n v="86"/>
    <n v="540"/>
    <n v="1460"/>
    <n v="46440"/>
    <x v="124"/>
    <n v="79120"/>
    <s v="profit"/>
  </r>
  <r>
    <x v="0"/>
    <s v="june"/>
    <s v="Horizon Wellness"/>
    <x v="0"/>
    <x v="0"/>
    <s v="Assam"/>
    <x v="0"/>
    <n v="13"/>
    <n v="643"/>
    <n v="1432"/>
    <n v="8359"/>
    <x v="125"/>
    <n v="10257"/>
    <s v="profit"/>
  </r>
  <r>
    <x v="1"/>
    <s v="june"/>
    <s v="True Value Electronics"/>
    <x v="0"/>
    <x v="0"/>
    <s v="Punjab"/>
    <x v="0"/>
    <n v="16"/>
    <n v="848"/>
    <n v="1211"/>
    <n v="13568"/>
    <x v="126"/>
    <n v="5808"/>
    <s v="profit"/>
  </r>
  <r>
    <x v="2"/>
    <s v="june"/>
    <s v="Harmony Homes Realty"/>
    <x v="0"/>
    <x v="0"/>
    <s v="Chhattisgarh"/>
    <x v="0"/>
    <n v="19"/>
    <n v="982"/>
    <n v="1457"/>
    <n v="18658"/>
    <x v="127"/>
    <n v="9025"/>
    <s v="profit"/>
  </r>
  <r>
    <x v="3"/>
    <s v="june"/>
    <s v="Stellar Advertising"/>
    <x v="0"/>
    <x v="0"/>
    <s v="West Bengal"/>
    <x v="0"/>
    <n v="19"/>
    <n v="918"/>
    <n v="864"/>
    <n v="17442"/>
    <x v="128"/>
    <n v="-1026"/>
    <s v="loss"/>
  </r>
  <r>
    <x v="68"/>
    <s v="august"/>
    <s v="Radiance Tech Solutions"/>
    <x v="0"/>
    <x v="2"/>
    <s v="Gujarat"/>
    <x v="0"/>
    <n v="10"/>
    <n v="863"/>
    <n v="1386"/>
    <n v="8630"/>
    <x v="129"/>
    <n v="5230"/>
    <s v="profit"/>
  </r>
  <r>
    <x v="4"/>
    <s v="june"/>
    <s v="Modern Trends Retail"/>
    <x v="0"/>
    <x v="0"/>
    <s v="Madhya Pradesh"/>
    <x v="1"/>
    <n v="17"/>
    <n v="787"/>
    <n v="1108"/>
    <n v="13379"/>
    <x v="130"/>
    <n v="5457"/>
    <s v="profit"/>
  </r>
  <r>
    <x v="5"/>
    <s v="june"/>
    <s v="Global Spectrum Consulting"/>
    <x v="0"/>
    <x v="0"/>
    <s v="Jharkhand"/>
    <x v="1"/>
    <n v="15"/>
    <n v="545"/>
    <n v="1182"/>
    <n v="8175"/>
    <x v="131"/>
    <n v="9555"/>
    <s v="profit"/>
  </r>
  <r>
    <x v="7"/>
    <s v="june"/>
    <s v="Radiant Vision Studios"/>
    <x v="0"/>
    <x v="2"/>
    <s v="Gujarat"/>
    <x v="0"/>
    <n v="11"/>
    <n v="616"/>
    <n v="1015"/>
    <n v="6776"/>
    <x v="132"/>
    <n v="4389"/>
    <s v="profit"/>
  </r>
  <r>
    <x v="8"/>
    <s v="june"/>
    <s v="Noble Travel Services"/>
    <x v="0"/>
    <x v="2"/>
    <s v="Uttar Pradesh"/>
    <x v="0"/>
    <n v="16"/>
    <n v="911"/>
    <n v="1299"/>
    <n v="14576"/>
    <x v="133"/>
    <n v="6208"/>
    <s v="profit"/>
  </r>
  <r>
    <x v="9"/>
    <s v="july"/>
    <s v="Bright Future Academy"/>
    <x v="0"/>
    <x v="2"/>
    <s v="Uttar Pradesh"/>
    <x v="0"/>
    <n v="19"/>
    <n v="816"/>
    <n v="1285"/>
    <n v="15504"/>
    <x v="134"/>
    <n v="8911"/>
    <s v="profit"/>
  </r>
  <r>
    <x v="10"/>
    <s v="july"/>
    <s v="Visionary Health Systems"/>
    <x v="0"/>
    <x v="2"/>
    <s v="Madhya Pradesh"/>
    <x v="0"/>
    <n v="16"/>
    <n v="693"/>
    <n v="1042"/>
    <n v="11088"/>
    <x v="135"/>
    <n v="5584"/>
    <s v="profit"/>
  </r>
  <r>
    <x v="11"/>
    <s v="july"/>
    <s v="Apex Retailers"/>
    <x v="0"/>
    <x v="2"/>
    <s v="Maharashtra"/>
    <x v="0"/>
    <n v="14"/>
    <n v="965"/>
    <n v="1212"/>
    <n v="13510"/>
    <x v="136"/>
    <n v="3458"/>
    <s v="profit"/>
  </r>
  <r>
    <x v="69"/>
    <s v="august"/>
    <s v="Apex Enterprise Solutions"/>
    <x v="2"/>
    <x v="6"/>
    <s v="Andhra Pradesh"/>
    <x v="1"/>
    <n v="26"/>
    <n v="715"/>
    <n v="840"/>
    <n v="18590"/>
    <x v="137"/>
    <n v="3250"/>
    <s v="profit"/>
  </r>
  <r>
    <x v="13"/>
    <s v="july"/>
    <s v="Prestige Property Developers"/>
    <x v="0"/>
    <x v="2"/>
    <s v="Chandigarh"/>
    <x v="0"/>
    <n v="20"/>
    <n v="960"/>
    <n v="1170"/>
    <n v="19200"/>
    <x v="138"/>
    <n v="4200"/>
    <s v="profit"/>
  </r>
  <r>
    <x v="14"/>
    <s v="july"/>
    <s v="Classic Trends Fashion"/>
    <x v="0"/>
    <x v="2"/>
    <s v="Madhya Pradesh"/>
    <x v="1"/>
    <n v="16"/>
    <n v="734"/>
    <n v="1330"/>
    <n v="11744"/>
    <x v="139"/>
    <n v="9536"/>
    <s v="profit"/>
  </r>
  <r>
    <x v="15"/>
    <s v="july"/>
    <s v="Harmony Ventures"/>
    <x v="0"/>
    <x v="2"/>
    <s v="Andhra Pradesh"/>
    <x v="1"/>
    <n v="16"/>
    <n v="673"/>
    <n v="1233"/>
    <n v="10768"/>
    <x v="140"/>
    <n v="8960"/>
    <s v="profit"/>
  </r>
  <r>
    <x v="16"/>
    <s v="july"/>
    <s v="Stellar Realty"/>
    <x v="0"/>
    <x v="2"/>
    <s v="Bihar"/>
    <x v="1"/>
    <n v="14"/>
    <n v="782"/>
    <n v="835"/>
    <n v="10948"/>
    <x v="141"/>
    <n v="742"/>
    <s v="profit"/>
  </r>
  <r>
    <x v="17"/>
    <s v="july"/>
    <s v="Future Path Technologies"/>
    <x v="0"/>
    <x v="2"/>
    <s v="Gujarat"/>
    <x v="1"/>
    <n v="19"/>
    <n v="536"/>
    <n v="927"/>
    <n v="10184"/>
    <x v="142"/>
    <n v="7429"/>
    <s v="profit"/>
  </r>
  <r>
    <x v="70"/>
    <s v="august"/>
    <s v="Prestige Solutions"/>
    <x v="2"/>
    <x v="6"/>
    <s v="Tamil Nadu"/>
    <x v="0"/>
    <n v="23"/>
    <n v="923"/>
    <n v="897"/>
    <n v="21229"/>
    <x v="143"/>
    <n v="-598"/>
    <s v="loss"/>
  </r>
  <r>
    <x v="18"/>
    <s v="july"/>
    <s v="Elite Edge Services"/>
    <x v="0"/>
    <x v="2"/>
    <s v="Uttar Pradesh"/>
    <x v="0"/>
    <n v="11"/>
    <n v="991"/>
    <n v="803"/>
    <n v="10901"/>
    <x v="144"/>
    <n v="-2068"/>
    <s v="loss"/>
  </r>
  <r>
    <x v="19"/>
    <s v="august"/>
    <s v="Modern Harmony Products"/>
    <x v="0"/>
    <x v="2"/>
    <s v="Maharashtra"/>
    <x v="0"/>
    <n v="10"/>
    <n v="844"/>
    <n v="865"/>
    <n v="8440"/>
    <x v="145"/>
    <n v="210"/>
    <s v="profit"/>
  </r>
  <r>
    <x v="20"/>
    <s v="august"/>
    <s v="Horizon Builders &amp; Developers"/>
    <x v="0"/>
    <x v="2"/>
    <s v="Rajasthan"/>
    <x v="0"/>
    <n v="20"/>
    <n v="803"/>
    <n v="1377"/>
    <n v="16060"/>
    <x v="146"/>
    <n v="11480"/>
    <s v="profit"/>
  </r>
  <r>
    <x v="21"/>
    <s v="august"/>
    <s v="Legacy Apparel"/>
    <x v="0"/>
    <x v="2"/>
    <s v="Uttar Pradesh"/>
    <x v="0"/>
    <n v="12"/>
    <n v="606"/>
    <n v="1154"/>
    <n v="7272"/>
    <x v="147"/>
    <n v="6576"/>
    <s v="profit"/>
  </r>
  <r>
    <x v="23"/>
    <s v="august"/>
    <s v="Pinnacle Education Group"/>
    <x v="0"/>
    <x v="2"/>
    <s v="Uttar Pradesh"/>
    <x v="0"/>
    <n v="11"/>
    <n v="622"/>
    <n v="767"/>
    <n v="6842"/>
    <x v="148"/>
    <n v="1595"/>
    <s v="profit"/>
  </r>
  <r>
    <x v="25"/>
    <s v="august"/>
    <s v="Noble Innovations"/>
    <x v="0"/>
    <x v="2"/>
    <s v="Maharashtra"/>
    <x v="1"/>
    <n v="17"/>
    <n v="671"/>
    <n v="906"/>
    <n v="11407"/>
    <x v="149"/>
    <n v="3995"/>
    <s v="profit"/>
  </r>
  <r>
    <x v="26"/>
    <s v="august"/>
    <s v="Crystal Clear Realty"/>
    <x v="0"/>
    <x v="2"/>
    <s v="Madhya Pradesh"/>
    <x v="1"/>
    <n v="12"/>
    <n v="814"/>
    <n v="1392"/>
    <n v="9768"/>
    <x v="150"/>
    <n v="6936"/>
    <s v="profit"/>
  </r>
  <r>
    <x v="27"/>
    <s v="september"/>
    <s v="Apex Publishing House"/>
    <x v="0"/>
    <x v="2"/>
    <s v="Delhi"/>
    <x v="1"/>
    <n v="11"/>
    <n v="960"/>
    <n v="939"/>
    <n v="10560"/>
    <x v="151"/>
    <n v="-231"/>
    <s v="loss"/>
  </r>
  <r>
    <x v="71"/>
    <s v="august"/>
    <s v="Urban Wave Solutions"/>
    <x v="1"/>
    <x v="5"/>
    <s v="Punjab"/>
    <x v="1"/>
    <n v="89"/>
    <n v="910"/>
    <n v="1261"/>
    <n v="80990"/>
    <x v="152"/>
    <n v="31239"/>
    <s v="profit"/>
  </r>
  <r>
    <x v="28"/>
    <s v="september"/>
    <s v="True Value Consulting"/>
    <x v="0"/>
    <x v="2"/>
    <s v="Maharashtra"/>
    <x v="1"/>
    <n v="10"/>
    <n v="654"/>
    <n v="1029"/>
    <n v="6540"/>
    <x v="153"/>
    <n v="3750"/>
    <s v="profit"/>
  </r>
  <r>
    <x v="29"/>
    <s v="september"/>
    <s v="Future Path Ventures"/>
    <x v="0"/>
    <x v="2"/>
    <s v="West Bengal"/>
    <x v="1"/>
    <n v="14"/>
    <n v="504"/>
    <n v="1130"/>
    <n v="7056"/>
    <x v="154"/>
    <n v="8764"/>
    <s v="profit"/>
  </r>
  <r>
    <x v="30"/>
    <s v="september"/>
    <s v="Stellar Tech Services"/>
    <x v="0"/>
    <x v="2"/>
    <s v="Tamil Nadu"/>
    <x v="1"/>
    <n v="12"/>
    <n v="886"/>
    <n v="1233"/>
    <n v="10632"/>
    <x v="155"/>
    <n v="4164"/>
    <s v="profit"/>
  </r>
  <r>
    <x v="31"/>
    <s v="september"/>
    <s v="Legacy Travel Agency"/>
    <x v="0"/>
    <x v="2"/>
    <s v="Karnataka"/>
    <x v="0"/>
    <n v="10"/>
    <n v="554"/>
    <n v="1210"/>
    <n v="5540"/>
    <x v="156"/>
    <n v="6560"/>
    <s v="profit"/>
  </r>
  <r>
    <x v="72"/>
    <s v="september"/>
    <s v="Visionary Realty Solutions"/>
    <x v="1"/>
    <x v="7"/>
    <s v="Jharkhand"/>
    <x v="0"/>
    <n v="59"/>
    <n v="764"/>
    <n v="1365"/>
    <n v="45076"/>
    <x v="157"/>
    <n v="35459"/>
    <s v="profit"/>
  </r>
  <r>
    <x v="32"/>
    <s v="september"/>
    <s v="Harmony Innovations"/>
    <x v="0"/>
    <x v="2"/>
    <s v="Telangana"/>
    <x v="0"/>
    <n v="14"/>
    <n v="933"/>
    <n v="1064"/>
    <n v="13062"/>
    <x v="158"/>
    <n v="1834"/>
    <s v="profit"/>
  </r>
  <r>
    <x v="33"/>
    <s v="september"/>
    <s v="Elite Media Group"/>
    <x v="0"/>
    <x v="2"/>
    <s v="Maharashtra"/>
    <x v="0"/>
    <n v="15"/>
    <n v="674"/>
    <n v="1125"/>
    <n v="10110"/>
    <x v="159"/>
    <n v="6765"/>
    <s v="profit"/>
  </r>
  <r>
    <x v="34"/>
    <s v="september"/>
    <s v="Radiant Construction"/>
    <x v="0"/>
    <x v="2"/>
    <s v="Rajasthan"/>
    <x v="0"/>
    <n v="20"/>
    <n v="529"/>
    <n v="1455"/>
    <n v="10580"/>
    <x v="160"/>
    <n v="18520"/>
    <s v="profit"/>
  </r>
  <r>
    <x v="35"/>
    <s v="september"/>
    <s v="Pinnacle Finance"/>
    <x v="0"/>
    <x v="2"/>
    <s v="Gujarat"/>
    <x v="0"/>
    <n v="18"/>
    <n v="717"/>
    <n v="833"/>
    <n v="12906"/>
    <x v="161"/>
    <n v="2088"/>
    <s v="profit"/>
  </r>
  <r>
    <x v="36"/>
    <s v="september"/>
    <s v="Horizon Tech Ventures"/>
    <x v="0"/>
    <x v="2"/>
    <s v="Uttar Pradesh"/>
    <x v="0"/>
    <n v="17"/>
    <n v="966"/>
    <n v="1044"/>
    <n v="16422"/>
    <x v="162"/>
    <n v="1326"/>
    <s v="profit"/>
  </r>
  <r>
    <x v="37"/>
    <s v="september"/>
    <s v="Elite Edge Consulting"/>
    <x v="0"/>
    <x v="0"/>
    <s v="Gujarat"/>
    <x v="1"/>
    <n v="16"/>
    <n v="599"/>
    <n v="1490"/>
    <n v="9584"/>
    <x v="163"/>
    <n v="14256"/>
    <s v="profit"/>
  </r>
  <r>
    <x v="38"/>
    <s v="september"/>
    <s v="Harmony Tech Ventures"/>
    <x v="0"/>
    <x v="0"/>
    <s v="Uttar Pradesh"/>
    <x v="0"/>
    <n v="12"/>
    <n v="827"/>
    <n v="955"/>
    <n v="9924"/>
    <x v="164"/>
    <n v="1536"/>
    <s v="profit"/>
  </r>
  <r>
    <x v="39"/>
    <s v="october"/>
    <s v="Radiant Fitness Studio"/>
    <x v="0"/>
    <x v="0"/>
    <s v="Tamil Nadu"/>
    <x v="0"/>
    <n v="17"/>
    <n v="932"/>
    <n v="808"/>
    <n v="15844"/>
    <x v="165"/>
    <n v="-2108"/>
    <s v="loss"/>
  </r>
  <r>
    <x v="73"/>
    <s v="september"/>
    <s v="Pure Essence Solutions"/>
    <x v="0"/>
    <x v="2"/>
    <s v="Gujarat"/>
    <x v="0"/>
    <n v="14"/>
    <n v="857"/>
    <n v="767"/>
    <n v="11998"/>
    <x v="166"/>
    <n v="-1260"/>
    <s v="loss"/>
  </r>
  <r>
    <x v="40"/>
    <s v="october"/>
    <s v="Zenith Finance Co."/>
    <x v="0"/>
    <x v="0"/>
    <s v="Rajasthan"/>
    <x v="0"/>
    <n v="11"/>
    <n v="654"/>
    <n v="767"/>
    <n v="7194"/>
    <x v="148"/>
    <n v="1243"/>
    <s v="profit"/>
  </r>
  <r>
    <x v="41"/>
    <s v="october"/>
    <s v="Apex Events Management"/>
    <x v="0"/>
    <x v="0"/>
    <s v="Uttar Pradesh"/>
    <x v="0"/>
    <n v="19"/>
    <n v="764"/>
    <n v="1069"/>
    <n v="14516"/>
    <x v="167"/>
    <n v="5795"/>
    <s v="profit"/>
  </r>
  <r>
    <x v="42"/>
    <s v="october"/>
    <s v="Stellar Media Group"/>
    <x v="0"/>
    <x v="2"/>
    <s v="Jharkhand"/>
    <x v="1"/>
    <n v="15"/>
    <n v="906"/>
    <n v="1485"/>
    <n v="13590"/>
    <x v="168"/>
    <n v="8685"/>
    <s v="profit"/>
  </r>
  <r>
    <x v="43"/>
    <s v="october"/>
    <s v="Harmony Finance Co."/>
    <x v="0"/>
    <x v="2"/>
    <s v="West Bengal"/>
    <x v="1"/>
    <n v="20"/>
    <n v="780"/>
    <n v="783"/>
    <n v="15600"/>
    <x v="169"/>
    <n v="60"/>
    <s v="profit"/>
  </r>
  <r>
    <x v="74"/>
    <s v="september"/>
    <s v="Crystal Health Solutions"/>
    <x v="0"/>
    <x v="2"/>
    <s v="Uttar Pradesh"/>
    <x v="1"/>
    <n v="14"/>
    <n v="515"/>
    <n v="1230"/>
    <n v="7210"/>
    <x v="170"/>
    <n v="10010"/>
    <s v="profit"/>
  </r>
  <r>
    <x v="44"/>
    <s v="october"/>
    <s v="Pure Vision Ventures"/>
    <x v="0"/>
    <x v="2"/>
    <s v="Karnataka"/>
    <x v="1"/>
    <n v="17"/>
    <n v="747"/>
    <n v="1190"/>
    <n v="12699"/>
    <x v="171"/>
    <n v="7531"/>
    <s v="profit"/>
  </r>
  <r>
    <x v="45"/>
    <s v="october"/>
    <s v="Legacy Travel Services"/>
    <x v="0"/>
    <x v="2"/>
    <s v="Gujarat"/>
    <x v="0"/>
    <n v="15"/>
    <n v="747"/>
    <n v="966"/>
    <n v="11205"/>
    <x v="172"/>
    <n v="3285"/>
    <s v="profit"/>
  </r>
  <r>
    <x v="46"/>
    <s v="october"/>
    <s v="Elite Spectrum Media"/>
    <x v="0"/>
    <x v="2"/>
    <s v="Uttar Pradesh"/>
    <x v="0"/>
    <n v="20"/>
    <n v="844"/>
    <n v="1010"/>
    <n v="16880"/>
    <x v="173"/>
    <n v="3320"/>
    <s v="profit"/>
  </r>
  <r>
    <x v="47"/>
    <s v="october"/>
    <s v="Pinnacle Design Studio"/>
    <x v="0"/>
    <x v="2"/>
    <s v="Tamil Nadu"/>
    <x v="0"/>
    <n v="14"/>
    <n v="799"/>
    <n v="1154"/>
    <n v="11186"/>
    <x v="174"/>
    <n v="4970"/>
    <s v="profit"/>
  </r>
  <r>
    <x v="48"/>
    <s v="january"/>
    <s v="Legacy Travel Ventures"/>
    <x v="0"/>
    <x v="0"/>
    <s v="West Bengal"/>
    <x v="0"/>
    <n v="19"/>
    <n v="608"/>
    <n v="1032"/>
    <n v="11552"/>
    <x v="175"/>
    <n v="8056"/>
    <s v="profit"/>
  </r>
  <r>
    <x v="50"/>
    <s v="january"/>
    <s v="Stellar Design Group"/>
    <x v="0"/>
    <x v="0"/>
    <s v="Delhi"/>
    <x v="0"/>
    <n v="14"/>
    <n v="579"/>
    <n v="907"/>
    <n v="8106"/>
    <x v="176"/>
    <n v="4592"/>
    <s v="profit"/>
  </r>
  <r>
    <x v="51"/>
    <s v="january"/>
    <s v="Horizon Ventures Co."/>
    <x v="0"/>
    <x v="0"/>
    <s v="Punjab"/>
    <x v="0"/>
    <n v="17"/>
    <n v="825"/>
    <n v="1080"/>
    <n v="14025"/>
    <x v="177"/>
    <n v="4335"/>
    <s v="profit"/>
  </r>
  <r>
    <x v="52"/>
    <s v="january"/>
    <s v="Zenith Wellness Services"/>
    <x v="0"/>
    <x v="0"/>
    <s v="West Bengal"/>
    <x v="1"/>
    <n v="15"/>
    <n v="827"/>
    <n v="931"/>
    <n v="12405"/>
    <x v="178"/>
    <n v="1560"/>
    <s v="profit"/>
  </r>
  <r>
    <x v="75"/>
    <s v="september"/>
    <s v="Stellar Travel Solutions"/>
    <x v="0"/>
    <x v="0"/>
    <s v="Uttar Pradesh"/>
    <x v="0"/>
    <n v="15"/>
    <n v="650"/>
    <n v="1347"/>
    <n v="9750"/>
    <x v="179"/>
    <n v="10455"/>
    <s v="profit"/>
  </r>
  <r>
    <x v="53"/>
    <s v="january"/>
    <s v="Legacy Travel Co."/>
    <x v="0"/>
    <x v="2"/>
    <s v="Assam"/>
    <x v="0"/>
    <n v="20"/>
    <n v="900"/>
    <n v="1431"/>
    <n v="18000"/>
    <x v="180"/>
    <n v="10620"/>
    <s v="profit"/>
  </r>
  <r>
    <x v="76"/>
    <s v="september"/>
    <s v="Pure Harmony Solutions"/>
    <x v="0"/>
    <x v="0"/>
    <s v="Tamil Nadu"/>
    <x v="0"/>
    <n v="15"/>
    <n v="825"/>
    <n v="947"/>
    <n v="12375"/>
    <x v="181"/>
    <n v="1830"/>
    <s v="profit"/>
  </r>
  <r>
    <x v="54"/>
    <s v="january"/>
    <s v="Pinnacle Innovations Group"/>
    <x v="0"/>
    <x v="2"/>
    <s v="Punjab"/>
    <x v="0"/>
    <n v="19"/>
    <n v="791"/>
    <n v="965"/>
    <n v="15029"/>
    <x v="182"/>
    <n v="3306"/>
    <s v="profit"/>
  </r>
  <r>
    <x v="55"/>
    <s v="january"/>
    <s v="Stellar Health Services"/>
    <x v="0"/>
    <x v="2"/>
    <s v="Chhattisgarh"/>
    <x v="0"/>
    <n v="18"/>
    <n v="963"/>
    <n v="1178"/>
    <n v="17334"/>
    <x v="183"/>
    <n v="3870"/>
    <s v="profit"/>
  </r>
  <r>
    <x v="56"/>
    <s v="january"/>
    <s v="Radiance Design Co."/>
    <x v="0"/>
    <x v="2"/>
    <s v="West Bengal"/>
    <x v="0"/>
    <n v="19"/>
    <n v="763"/>
    <n v="1036"/>
    <n v="14497"/>
    <x v="184"/>
    <n v="5187"/>
    <s v="profit"/>
  </r>
  <r>
    <x v="57"/>
    <s v="january"/>
    <s v="Harmony Consulting Group"/>
    <x v="0"/>
    <x v="2"/>
    <s v="West Bengal"/>
    <x v="0"/>
    <n v="19"/>
    <n v="795"/>
    <n v="1471"/>
    <n v="15105"/>
    <x v="185"/>
    <n v="12844"/>
    <s v="profit"/>
  </r>
  <r>
    <x v="59"/>
    <s v="january"/>
    <s v="Apex Educational Group"/>
    <x v="0"/>
    <x v="2"/>
    <s v="Jharkhand"/>
    <x v="1"/>
    <n v="16"/>
    <n v="731"/>
    <n v="1296"/>
    <n v="11696"/>
    <x v="186"/>
    <n v="9040"/>
    <s v="profit"/>
  </r>
  <r>
    <x v="77"/>
    <s v="october"/>
    <s v="Modern Spectrum Solutions"/>
    <x v="1"/>
    <x v="5"/>
    <s v="Maharashtra"/>
    <x v="0"/>
    <n v="92"/>
    <n v="923"/>
    <n v="1151"/>
    <n v="84916"/>
    <x v="187"/>
    <n v="20976"/>
    <s v="profit"/>
  </r>
  <r>
    <x v="60"/>
    <s v="january"/>
    <s v="Modern Wellness Co."/>
    <x v="0"/>
    <x v="2"/>
    <s v="West Bengal"/>
    <x v="1"/>
    <n v="12"/>
    <n v="927"/>
    <n v="1162"/>
    <n v="11124"/>
    <x v="88"/>
    <n v="2820"/>
    <s v="profit"/>
  </r>
  <r>
    <x v="61"/>
    <s v="january"/>
    <s v="Pure Spectrum Innovations"/>
    <x v="0"/>
    <x v="2"/>
    <s v="Uttar Pradesh"/>
    <x v="1"/>
    <n v="13"/>
    <n v="528"/>
    <n v="1175"/>
    <n v="6864"/>
    <x v="188"/>
    <n v="8411"/>
    <s v="profit"/>
  </r>
  <r>
    <x v="62"/>
    <s v="january"/>
    <s v="Pinnacle Travel Co."/>
    <x v="0"/>
    <x v="2"/>
    <s v="Kerala"/>
    <x v="1"/>
    <n v="16"/>
    <n v="998"/>
    <n v="835"/>
    <n v="15968"/>
    <x v="111"/>
    <n v="-2608"/>
    <s v="loss"/>
  </r>
  <r>
    <x v="78"/>
    <s v="april"/>
    <s v="Bharat Innovations"/>
    <x v="2"/>
    <x v="3"/>
    <s v="Delhi"/>
    <x v="1"/>
    <n v="29"/>
    <n v="924"/>
    <n v="1101"/>
    <n v="26796"/>
    <x v="189"/>
    <n v="5133"/>
    <s v="profit"/>
  </r>
  <r>
    <x v="79"/>
    <s v="april"/>
    <s v="Green Leaf Enterprises"/>
    <x v="2"/>
    <x v="8"/>
    <s v="Maharashtra"/>
    <x v="1"/>
    <n v="30"/>
    <n v="817"/>
    <n v="1334"/>
    <n v="24510"/>
    <x v="190"/>
    <n v="15510"/>
    <s v="profit"/>
  </r>
  <r>
    <x v="80"/>
    <s v="april"/>
    <s v="Urban Pulse Technologies"/>
    <x v="2"/>
    <x v="8"/>
    <s v="West Bengal"/>
    <x v="1"/>
    <n v="23"/>
    <n v="753"/>
    <n v="987"/>
    <n v="17319"/>
    <x v="191"/>
    <n v="5382"/>
    <s v="profit"/>
  </r>
  <r>
    <x v="81"/>
    <s v="october"/>
    <s v="Apex Creative Solutions"/>
    <x v="1"/>
    <x v="7"/>
    <s v="West Bengal"/>
    <x v="1"/>
    <n v="57"/>
    <n v="927"/>
    <n v="1477"/>
    <n v="52839"/>
    <x v="192"/>
    <n v="31350"/>
    <s v="profit"/>
  </r>
  <r>
    <x v="82"/>
    <s v="april"/>
    <s v="Mystic India Exports"/>
    <x v="2"/>
    <x v="8"/>
    <s v="Tamil Nadu"/>
    <x v="1"/>
    <n v="26"/>
    <n v="809"/>
    <n v="800"/>
    <n v="21034"/>
    <x v="193"/>
    <n v="-234"/>
    <s v="loss"/>
  </r>
  <r>
    <x v="83"/>
    <s v="april"/>
    <s v="Pure Essence Skincare"/>
    <x v="2"/>
    <x v="3"/>
    <s v="Rajasthan"/>
    <x v="0"/>
    <n v="23"/>
    <n v="852"/>
    <n v="1480"/>
    <n v="19596"/>
    <x v="194"/>
    <n v="14444"/>
    <s v="profit"/>
  </r>
  <r>
    <x v="84"/>
    <s v="april"/>
    <s v="Zenith Construction Co."/>
    <x v="2"/>
    <x v="3"/>
    <s v="Gujarat"/>
    <x v="0"/>
    <n v="24"/>
    <n v="903"/>
    <n v="1338"/>
    <n v="21672"/>
    <x v="195"/>
    <n v="10440"/>
    <s v="profit"/>
  </r>
  <r>
    <x v="85"/>
    <s v="april"/>
    <s v="Radiant Health Systems"/>
    <x v="2"/>
    <x v="3"/>
    <s v="Uttar Pradesh"/>
    <x v="0"/>
    <n v="21"/>
    <n v="829"/>
    <n v="950"/>
    <n v="17409"/>
    <x v="196"/>
    <n v="2541"/>
    <s v="profit"/>
  </r>
  <r>
    <x v="86"/>
    <s v="october"/>
    <s v="Radiance Solutions Group"/>
    <x v="0"/>
    <x v="2"/>
    <s v="Bihar"/>
    <x v="0"/>
    <n v="16"/>
    <n v="584"/>
    <n v="1278"/>
    <n v="9344"/>
    <x v="197"/>
    <n v="11104"/>
    <s v="profit"/>
  </r>
  <r>
    <x v="87"/>
    <s v="april"/>
    <s v="Divine Creations"/>
    <x v="2"/>
    <x v="3"/>
    <s v="Uttar Pradesh"/>
    <x v="0"/>
    <n v="20"/>
    <n v="557"/>
    <n v="1002"/>
    <n v="11140"/>
    <x v="198"/>
    <n v="8900"/>
    <s v="profit"/>
  </r>
  <r>
    <x v="88"/>
    <s v="april"/>
    <s v="True Path Logistics"/>
    <x v="2"/>
    <x v="3"/>
    <s v="Madhya Pradesh"/>
    <x v="0"/>
    <n v="20"/>
    <n v="648"/>
    <n v="1106"/>
    <n v="12960"/>
    <x v="199"/>
    <n v="9160"/>
    <s v="profit"/>
  </r>
  <r>
    <x v="89"/>
    <s v="october"/>
    <s v="Modern Edge Solutions"/>
    <x v="0"/>
    <x v="2"/>
    <s v="Uttar Pradesh"/>
    <x v="0"/>
    <n v="19"/>
    <n v="589"/>
    <n v="1100"/>
    <n v="11191"/>
    <x v="200"/>
    <n v="9709"/>
    <s v="profit"/>
  </r>
  <r>
    <x v="90"/>
    <s v="april"/>
    <s v="Prestige Automobiles"/>
    <x v="2"/>
    <x v="4"/>
    <s v="Uttar Pradesh"/>
    <x v="1"/>
    <n v="26"/>
    <n v="942"/>
    <n v="1143"/>
    <n v="24492"/>
    <x v="201"/>
    <n v="5226"/>
    <s v="profit"/>
  </r>
  <r>
    <x v="91"/>
    <s v="october"/>
    <s v="Horizon Health Solutions"/>
    <x v="2"/>
    <x v="3"/>
    <s v="Tamil Nadu"/>
    <x v="0"/>
    <n v="30"/>
    <n v="869"/>
    <n v="1033"/>
    <n v="26070"/>
    <x v="202"/>
    <n v="4920"/>
    <s v="profit"/>
  </r>
  <r>
    <x v="92"/>
    <s v="april"/>
    <s v="Natural Bliss Beverages"/>
    <x v="2"/>
    <x v="4"/>
    <s v="Tamil Nadu"/>
    <x v="1"/>
    <n v="20"/>
    <n v="606"/>
    <n v="806"/>
    <n v="12120"/>
    <x v="203"/>
    <n v="4000"/>
    <s v="profit"/>
  </r>
  <r>
    <x v="93"/>
    <s v="october"/>
    <s v="Apex Marketing Solutions"/>
    <x v="2"/>
    <x v="8"/>
    <s v="Uttar Pradesh"/>
    <x v="1"/>
    <n v="20"/>
    <n v="979"/>
    <n v="1471"/>
    <n v="19580"/>
    <x v="204"/>
    <n v="9840"/>
    <s v="profit"/>
  </r>
  <r>
    <x v="94"/>
    <s v="april"/>
    <s v="Modern Trends Fashion"/>
    <x v="2"/>
    <x v="4"/>
    <s v="Uttar Pradesh"/>
    <x v="0"/>
    <n v="22"/>
    <n v="822"/>
    <n v="1153"/>
    <n v="18084"/>
    <x v="205"/>
    <n v="7282"/>
    <s v="profit"/>
  </r>
  <r>
    <x v="95"/>
    <s v="april"/>
    <s v="Heritage Crafts"/>
    <x v="2"/>
    <x v="4"/>
    <s v="Jharkhand"/>
    <x v="0"/>
    <n v="26"/>
    <n v="505"/>
    <n v="1337"/>
    <n v="13130"/>
    <x v="206"/>
    <n v="21632"/>
    <s v="profit"/>
  </r>
  <r>
    <x v="96"/>
    <s v="april"/>
    <s v="Future Insights Analytics"/>
    <x v="2"/>
    <x v="4"/>
    <s v="Kerala"/>
    <x v="0"/>
    <n v="23"/>
    <n v="649"/>
    <n v="1210"/>
    <n v="14927"/>
    <x v="207"/>
    <n v="12903"/>
    <s v="profit"/>
  </r>
  <r>
    <x v="97"/>
    <s v="april"/>
    <s v="Emerald Estate Developers"/>
    <x v="2"/>
    <x v="4"/>
    <s v="Maharashtra"/>
    <x v="0"/>
    <n v="26"/>
    <n v="647"/>
    <n v="1025"/>
    <n v="16822"/>
    <x v="208"/>
    <n v="9828"/>
    <s v="profit"/>
  </r>
  <r>
    <x v="98"/>
    <s v="april"/>
    <s v="Starlight Media Group"/>
    <x v="2"/>
    <x v="4"/>
    <s v="Himachal Pradesh"/>
    <x v="0"/>
    <n v="30"/>
    <n v="843"/>
    <n v="953"/>
    <n v="25290"/>
    <x v="209"/>
    <n v="3300"/>
    <s v="profit"/>
  </r>
  <r>
    <x v="99"/>
    <s v="may"/>
    <s v="Supreme Electronics"/>
    <x v="2"/>
    <x v="4"/>
    <s v="Uttarakhand"/>
    <x v="0"/>
    <n v="21"/>
    <n v="571"/>
    <n v="900"/>
    <n v="11991"/>
    <x v="210"/>
    <n v="6909"/>
    <s v="profit"/>
  </r>
  <r>
    <x v="100"/>
    <s v="may"/>
    <s v="Optimum Wellness"/>
    <x v="2"/>
    <x v="4"/>
    <s v="Assam"/>
    <x v="1"/>
    <n v="25"/>
    <n v="909"/>
    <n v="970"/>
    <n v="22725"/>
    <x v="211"/>
    <n v="1525"/>
    <s v="profit"/>
  </r>
  <r>
    <x v="101"/>
    <s v="may"/>
    <s v="Zenith Books Publishing"/>
    <x v="2"/>
    <x v="4"/>
    <s v="Punjab"/>
    <x v="1"/>
    <n v="24"/>
    <n v="584"/>
    <n v="1158"/>
    <n v="14016"/>
    <x v="212"/>
    <n v="13776"/>
    <s v="profit"/>
  </r>
  <r>
    <x v="102"/>
    <s v="may"/>
    <s v="Pinnacle Innovations"/>
    <x v="2"/>
    <x v="4"/>
    <s v="Chhattisgarh"/>
    <x v="1"/>
    <n v="28"/>
    <n v="787"/>
    <n v="1452"/>
    <n v="22036"/>
    <x v="213"/>
    <n v="18620"/>
    <s v="profit"/>
  </r>
  <r>
    <x v="103"/>
    <s v="may"/>
    <s v="Apex Travel Services"/>
    <x v="2"/>
    <x v="4"/>
    <s v="West Bengal"/>
    <x v="1"/>
    <n v="23"/>
    <n v="768"/>
    <n v="1102"/>
    <n v="17664"/>
    <x v="214"/>
    <n v="7682"/>
    <s v="profit"/>
  </r>
  <r>
    <x v="104"/>
    <s v="may"/>
    <s v="Golden Era Realty"/>
    <x v="2"/>
    <x v="4"/>
    <s v="West Bengal"/>
    <x v="0"/>
    <n v="23"/>
    <n v="584"/>
    <n v="1168"/>
    <n v="13432"/>
    <x v="215"/>
    <n v="13432"/>
    <s v="profit"/>
  </r>
  <r>
    <x v="105"/>
    <s v="november"/>
    <s v="Radiance Solutions Co."/>
    <x v="1"/>
    <x v="9"/>
    <s v="Jharkhand"/>
    <x v="0"/>
    <n v="57"/>
    <n v="541"/>
    <n v="819"/>
    <n v="30837"/>
    <x v="216"/>
    <n v="15846"/>
    <s v="profit"/>
  </r>
  <r>
    <x v="106"/>
    <s v="may"/>
    <s v="Radiant Jewelry"/>
    <x v="2"/>
    <x v="6"/>
    <s v="Madhya Pradesh"/>
    <x v="0"/>
    <n v="20"/>
    <n v="778"/>
    <n v="1096"/>
    <n v="15560"/>
    <x v="217"/>
    <n v="6360"/>
    <s v="profit"/>
  </r>
  <r>
    <x v="107"/>
    <s v="may"/>
    <s v="Infinity Ventures"/>
    <x v="2"/>
    <x v="6"/>
    <s v="Jharkhand"/>
    <x v="0"/>
    <n v="26"/>
    <n v="595"/>
    <n v="914"/>
    <n v="15470"/>
    <x v="218"/>
    <n v="8294"/>
    <s v="profit"/>
  </r>
  <r>
    <x v="108"/>
    <s v="november"/>
    <s v="Horizon Creative Solutions"/>
    <x v="1"/>
    <x v="9"/>
    <s v="Delhi"/>
    <x v="0"/>
    <n v="70"/>
    <n v="871"/>
    <n v="862"/>
    <n v="60970"/>
    <x v="219"/>
    <n v="-630"/>
    <s v="loss"/>
  </r>
  <r>
    <x v="109"/>
    <s v="may"/>
    <s v="Royal Taste Foods"/>
    <x v="2"/>
    <x v="6"/>
    <s v="West Bengal"/>
    <x v="0"/>
    <n v="27"/>
    <n v="722"/>
    <n v="1497"/>
    <n v="19494"/>
    <x v="220"/>
    <n v="20925"/>
    <s v="profit"/>
  </r>
  <r>
    <x v="110"/>
    <s v="may"/>
    <s v="Harmony Homes"/>
    <x v="2"/>
    <x v="6"/>
    <s v="Karnataka"/>
    <x v="0"/>
    <n v="25"/>
    <n v="982"/>
    <n v="1395"/>
    <n v="24550"/>
    <x v="221"/>
    <n v="10325"/>
    <s v="profit"/>
  </r>
  <r>
    <x v="111"/>
    <s v="may"/>
    <s v="Urban Edge Consulting"/>
    <x v="2"/>
    <x v="6"/>
    <s v="Delhi"/>
    <x v="0"/>
    <n v="25"/>
    <n v="982"/>
    <n v="1389"/>
    <n v="24550"/>
    <x v="222"/>
    <n v="10175"/>
    <s v="profit"/>
  </r>
  <r>
    <x v="112"/>
    <s v="may"/>
    <s v="Prime Tech Innovations"/>
    <x v="2"/>
    <x v="6"/>
    <s v="Maharashtra"/>
    <x v="0"/>
    <n v="25"/>
    <n v="810"/>
    <n v="1086"/>
    <n v="20250"/>
    <x v="223"/>
    <n v="6900"/>
    <s v="profit"/>
  </r>
  <r>
    <x v="113"/>
    <s v="november"/>
    <s v="Urban Spectrum Solutions"/>
    <x v="2"/>
    <x v="4"/>
    <s v="Telangana"/>
    <x v="1"/>
    <n v="20"/>
    <n v="773"/>
    <n v="823"/>
    <n v="15460"/>
    <x v="224"/>
    <n v="1000"/>
    <s v="profit"/>
  </r>
  <r>
    <x v="114"/>
    <s v="may"/>
    <s v="Legacy Designs"/>
    <x v="2"/>
    <x v="6"/>
    <s v="West Bengal"/>
    <x v="0"/>
    <n v="26"/>
    <n v="781"/>
    <n v="1019"/>
    <n v="20306"/>
    <x v="225"/>
    <n v="6188"/>
    <s v="profit"/>
  </r>
  <r>
    <x v="115"/>
    <s v="may"/>
    <s v="Virtue Enterprises"/>
    <x v="2"/>
    <x v="6"/>
    <s v="Tamil Nadu"/>
    <x v="0"/>
    <n v="26"/>
    <n v="630"/>
    <n v="767"/>
    <n v="16380"/>
    <x v="226"/>
    <n v="3562"/>
    <s v="profit"/>
  </r>
  <r>
    <x v="116"/>
    <s v="may"/>
    <s v="Radiant Health Club"/>
    <x v="2"/>
    <x v="6"/>
    <s v="Karnataka"/>
    <x v="0"/>
    <n v="23"/>
    <n v="972"/>
    <n v="782"/>
    <n v="22356"/>
    <x v="227"/>
    <n v="-4370"/>
    <s v="loss"/>
  </r>
  <r>
    <x v="117"/>
    <s v="november"/>
    <s v="Legacy Wellness Solutions"/>
    <x v="2"/>
    <x v="4"/>
    <s v="Gujarat"/>
    <x v="0"/>
    <n v="23"/>
    <n v="906"/>
    <n v="1275"/>
    <n v="20838"/>
    <x v="228"/>
    <n v="8487"/>
    <s v="profit"/>
  </r>
  <r>
    <x v="118"/>
    <s v="may"/>
    <s v="Bright Horizon Ventures"/>
    <x v="2"/>
    <x v="6"/>
    <s v="Telangana"/>
    <x v="1"/>
    <n v="30"/>
    <n v="987"/>
    <n v="1366"/>
    <n v="29610"/>
    <x v="229"/>
    <n v="11370"/>
    <s v="profit"/>
  </r>
  <r>
    <x v="119"/>
    <s v="november"/>
    <s v="Horizon Media Solutions"/>
    <x v="2"/>
    <x v="4"/>
    <s v="Uttar Pradesh"/>
    <x v="0"/>
    <n v="24"/>
    <n v="927"/>
    <n v="1379"/>
    <n v="22248"/>
    <x v="230"/>
    <n v="10848"/>
    <s v="profit"/>
  </r>
  <r>
    <x v="120"/>
    <s v="may"/>
    <s v="Modern Lifestyle Products"/>
    <x v="2"/>
    <x v="6"/>
    <s v="Gujarat"/>
    <x v="1"/>
    <n v="25"/>
    <n v="877"/>
    <n v="797"/>
    <n v="21925"/>
    <x v="231"/>
    <n v="-2000"/>
    <s v="loss"/>
  </r>
  <r>
    <x v="121"/>
    <s v="may"/>
    <s v="Nexus Trading Co."/>
    <x v="2"/>
    <x v="6"/>
    <s v="Maharashtra"/>
    <x v="1"/>
    <n v="26"/>
    <n v="596"/>
    <n v="1136"/>
    <n v="15496"/>
    <x v="232"/>
    <n v="14040"/>
    <s v="profit"/>
  </r>
  <r>
    <x v="122"/>
    <s v="july"/>
    <s v="Radiance Health and Wellness"/>
    <x v="2"/>
    <x v="6"/>
    <s v="Uttar Pradesh"/>
    <x v="1"/>
    <n v="26"/>
    <n v="771"/>
    <n v="1172"/>
    <n v="20046"/>
    <x v="233"/>
    <n v="10426"/>
    <s v="profit"/>
  </r>
  <r>
    <x v="123"/>
    <s v="july"/>
    <s v="Legacy Auto Works"/>
    <x v="2"/>
    <x v="6"/>
    <s v="Tamil Nadu"/>
    <x v="1"/>
    <n v="30"/>
    <n v="859"/>
    <n v="1123"/>
    <n v="25770"/>
    <x v="234"/>
    <n v="7920"/>
    <s v="profit"/>
  </r>
  <r>
    <x v="124"/>
    <s v="july"/>
    <s v="Prime Essence Creations"/>
    <x v="2"/>
    <x v="6"/>
    <s v="Tamil Nadu"/>
    <x v="1"/>
    <n v="30"/>
    <n v="726"/>
    <n v="964"/>
    <n v="21780"/>
    <x v="235"/>
    <n v="7140"/>
    <s v="profit"/>
  </r>
  <r>
    <x v="125"/>
    <s v="july"/>
    <s v="Quantum Ventures"/>
    <x v="2"/>
    <x v="6"/>
    <s v="Rajasthan"/>
    <x v="1"/>
    <n v="29"/>
    <n v="861"/>
    <n v="820"/>
    <n v="24969"/>
    <x v="236"/>
    <n v="-1189"/>
    <s v="loss"/>
  </r>
  <r>
    <x v="126"/>
    <s v="july"/>
    <s v="Urban Legends Apparel"/>
    <x v="2"/>
    <x v="6"/>
    <s v="Jharkhand"/>
    <x v="0"/>
    <n v="24"/>
    <n v="978"/>
    <n v="773"/>
    <n v="23472"/>
    <x v="237"/>
    <n v="-4920"/>
    <s v="loss"/>
  </r>
  <r>
    <x v="127"/>
    <s v="july"/>
    <s v="Pure Bliss Beverages"/>
    <x v="2"/>
    <x v="6"/>
    <s v="Kerala"/>
    <x v="0"/>
    <n v="30"/>
    <n v="514"/>
    <n v="1333"/>
    <n v="15420"/>
    <x v="238"/>
    <n v="24570"/>
    <s v="profit"/>
  </r>
  <r>
    <x v="128"/>
    <s v="july"/>
    <s v="Noble Heights Builders"/>
    <x v="2"/>
    <x v="6"/>
    <s v="Maharashtra"/>
    <x v="0"/>
    <n v="26"/>
    <n v="656"/>
    <n v="908"/>
    <n v="17056"/>
    <x v="239"/>
    <n v="6552"/>
    <s v="profit"/>
  </r>
  <r>
    <x v="129"/>
    <s v="november"/>
    <s v="Urban Vision Solutions"/>
    <x v="2"/>
    <x v="6"/>
    <s v="Uttar Pradesh"/>
    <x v="0"/>
    <n v="28"/>
    <n v="866"/>
    <n v="1102"/>
    <n v="24248"/>
    <x v="240"/>
    <n v="6608"/>
    <s v="profit"/>
  </r>
  <r>
    <x v="130"/>
    <s v="july"/>
    <s v="Radiant Foods"/>
    <x v="2"/>
    <x v="6"/>
    <s v="Himachal Pradesh"/>
    <x v="0"/>
    <n v="28"/>
    <n v="866"/>
    <n v="1080"/>
    <n v="24248"/>
    <x v="241"/>
    <n v="5992"/>
    <s v="profit"/>
  </r>
  <r>
    <x v="131"/>
    <s v="july"/>
    <s v="Zenith Financial Services"/>
    <x v="2"/>
    <x v="6"/>
    <s v="Uttarakhand"/>
    <x v="0"/>
    <n v="23"/>
    <n v="969"/>
    <n v="1075"/>
    <n v="22287"/>
    <x v="242"/>
    <n v="2438"/>
    <s v="profit"/>
  </r>
  <r>
    <x v="132"/>
    <s v="december"/>
    <s v="Pinnacle Travel Solutions"/>
    <x v="2"/>
    <x v="6"/>
    <s v="Rajasthan"/>
    <x v="1"/>
    <n v="29"/>
    <n v="639"/>
    <n v="1257"/>
    <n v="18531"/>
    <x v="243"/>
    <n v="17922"/>
    <s v="profit"/>
  </r>
  <r>
    <x v="133"/>
    <s v="july"/>
    <s v="Apex Travel Ventures"/>
    <x v="2"/>
    <x v="6"/>
    <s v="Assam"/>
    <x v="0"/>
    <n v="21"/>
    <n v="626"/>
    <n v="772"/>
    <n v="13146"/>
    <x v="244"/>
    <n v="3066"/>
    <s v="profit"/>
  </r>
  <r>
    <x v="134"/>
    <s v="august"/>
    <s v="Future Vision Realty"/>
    <x v="2"/>
    <x v="6"/>
    <s v="Maharashtra"/>
    <x v="1"/>
    <n v="26"/>
    <n v="715"/>
    <n v="1113"/>
    <n v="18590"/>
    <x v="245"/>
    <n v="10348"/>
    <s v="profit"/>
  </r>
  <r>
    <x v="135"/>
    <s v="august"/>
    <s v="Urban Pulse Media"/>
    <x v="2"/>
    <x v="6"/>
    <s v="Chandigarh"/>
    <x v="1"/>
    <n v="27"/>
    <n v="611"/>
    <n v="1309"/>
    <n v="16497"/>
    <x v="246"/>
    <n v="18846"/>
    <s v="profit"/>
  </r>
  <r>
    <x v="136"/>
    <s v="august"/>
    <s v="True Essence Health"/>
    <x v="2"/>
    <x v="6"/>
    <s v="Madhya Pradesh"/>
    <x v="0"/>
    <n v="29"/>
    <n v="544"/>
    <n v="1436"/>
    <n v="15776"/>
    <x v="247"/>
    <n v="25868"/>
    <s v="profit"/>
  </r>
  <r>
    <x v="137"/>
    <s v="december"/>
    <s v="Harmony Health Solutions"/>
    <x v="2"/>
    <x v="6"/>
    <s v="Himachal Pradesh"/>
    <x v="1"/>
    <n v="23"/>
    <n v="771"/>
    <n v="1430"/>
    <n v="17733"/>
    <x v="248"/>
    <n v="15157"/>
    <s v="profit"/>
  </r>
  <r>
    <x v="138"/>
    <s v="august"/>
    <s v="Radiant Vision Realty"/>
    <x v="2"/>
    <x v="6"/>
    <s v="Bihar"/>
    <x v="1"/>
    <n v="30"/>
    <n v="652"/>
    <n v="1151"/>
    <n v="19560"/>
    <x v="249"/>
    <n v="14970"/>
    <s v="profit"/>
  </r>
  <r>
    <x v="139"/>
    <s v="august"/>
    <s v="Harmony Consulting Group"/>
    <x v="2"/>
    <x v="6"/>
    <s v="Gujarat"/>
    <x v="1"/>
    <n v="22"/>
    <n v="681"/>
    <n v="1087"/>
    <n v="14982"/>
    <x v="250"/>
    <n v="8932"/>
    <s v="profit"/>
  </r>
  <r>
    <x v="140"/>
    <s v="december"/>
    <s v="Modern Vision Solutions"/>
    <x v="1"/>
    <x v="5"/>
    <s v="Punjab"/>
    <x v="1"/>
    <n v="66"/>
    <n v="888"/>
    <n v="809"/>
    <n v="58608"/>
    <x v="251"/>
    <n v="-5214"/>
    <s v="loss"/>
  </r>
  <r>
    <x v="141"/>
    <s v="august"/>
    <s v="Zenith Tech Ventures"/>
    <x v="2"/>
    <x v="6"/>
    <s v="Uttar Pradesh"/>
    <x v="1"/>
    <n v="28"/>
    <n v="923"/>
    <n v="1395"/>
    <n v="25844"/>
    <x v="252"/>
    <n v="13216"/>
    <s v="profit"/>
  </r>
  <r>
    <x v="142"/>
    <s v="august"/>
    <s v="Stellar Health Services"/>
    <x v="2"/>
    <x v="6"/>
    <s v="Uttar Pradesh"/>
    <x v="0"/>
    <n v="26"/>
    <n v="999"/>
    <n v="1112"/>
    <n v="25974"/>
    <x v="253"/>
    <n v="2938"/>
    <s v="profit"/>
  </r>
  <r>
    <x v="143"/>
    <s v="august"/>
    <s v="Pure Path Foods"/>
    <x v="2"/>
    <x v="6"/>
    <s v="Tamil Nadu"/>
    <x v="0"/>
    <n v="30"/>
    <n v="792"/>
    <n v="1010"/>
    <n v="23760"/>
    <x v="254"/>
    <n v="6540"/>
    <s v="profit"/>
  </r>
  <r>
    <x v="144"/>
    <s v="august"/>
    <s v="Bright Horizon Realty"/>
    <x v="2"/>
    <x v="6"/>
    <s v="Rajasthan"/>
    <x v="0"/>
    <n v="22"/>
    <n v="774"/>
    <n v="1387"/>
    <n v="17028"/>
    <x v="255"/>
    <n v="13486"/>
    <s v="profit"/>
  </r>
  <r>
    <x v="145"/>
    <s v="december"/>
    <s v="Radiant Educational Solutions"/>
    <x v="1"/>
    <x v="5"/>
    <s v="Uttar Pradesh"/>
    <x v="0"/>
    <n v="56"/>
    <n v="516"/>
    <n v="1316"/>
    <n v="28896"/>
    <x v="256"/>
    <n v="44800"/>
    <s v="profit"/>
  </r>
  <r>
    <x v="146"/>
    <s v="october"/>
    <s v="Crystal Clear Consulting"/>
    <x v="2"/>
    <x v="8"/>
    <s v="Rajasthan"/>
    <x v="0"/>
    <n v="20"/>
    <n v="999"/>
    <n v="1191"/>
    <n v="19980"/>
    <x v="257"/>
    <n v="3840"/>
    <s v="profit"/>
  </r>
  <r>
    <x v="147"/>
    <s v="october"/>
    <s v="Zenith Innovations"/>
    <x v="2"/>
    <x v="8"/>
    <s v="Jharkhand"/>
    <x v="1"/>
    <n v="29"/>
    <n v="661"/>
    <n v="1400"/>
    <n v="19169"/>
    <x v="258"/>
    <n v="21431"/>
    <s v="profit"/>
  </r>
  <r>
    <x v="148"/>
    <s v="october"/>
    <s v="True Essence Innovations"/>
    <x v="2"/>
    <x v="3"/>
    <s v="Assam"/>
    <x v="1"/>
    <n v="30"/>
    <n v="539"/>
    <n v="1364"/>
    <n v="16170"/>
    <x v="259"/>
    <n v="24750"/>
    <s v="profit"/>
  </r>
  <r>
    <x v="149"/>
    <s v="december"/>
    <s v="Zenith Creative Solutions"/>
    <x v="1"/>
    <x v="5"/>
    <s v="Uttar Pradesh"/>
    <x v="0"/>
    <n v="60"/>
    <n v="901"/>
    <n v="1148"/>
    <n v="54060"/>
    <x v="260"/>
    <n v="14820"/>
    <s v="profit"/>
  </r>
  <r>
    <x v="150"/>
    <s v="november"/>
    <s v="Pinnacle Media Group"/>
    <x v="2"/>
    <x v="3"/>
    <s v="Punjab"/>
    <x v="1"/>
    <n v="26"/>
    <n v="726"/>
    <n v="1335"/>
    <n v="18876"/>
    <x v="261"/>
    <n v="15834"/>
    <s v="profit"/>
  </r>
  <r>
    <x v="151"/>
    <s v="december"/>
    <s v="Pure Vision Solutions"/>
    <x v="1"/>
    <x v="7"/>
    <s v="Kerala"/>
    <x v="0"/>
    <n v="50"/>
    <n v="749"/>
    <n v="1269"/>
    <n v="37450"/>
    <x v="262"/>
    <n v="26000"/>
    <s v="profit"/>
  </r>
  <r>
    <x v="152"/>
    <s v="november"/>
    <s v="Legacy Design Co."/>
    <x v="2"/>
    <x v="3"/>
    <s v="Chhattisgarh"/>
    <x v="1"/>
    <n v="29"/>
    <n v="510"/>
    <n v="1131"/>
    <n v="14790"/>
    <x v="263"/>
    <n v="18009"/>
    <s v="profit"/>
  </r>
  <r>
    <x v="153"/>
    <s v="november"/>
    <s v="Apex Health Products"/>
    <x v="2"/>
    <x v="3"/>
    <s v="West Bengal"/>
    <x v="0"/>
    <n v="27"/>
    <n v="752"/>
    <n v="1258"/>
    <n v="20304"/>
    <x v="264"/>
    <n v="13662"/>
    <s v="profit"/>
  </r>
  <r>
    <x v="154"/>
    <s v="november"/>
    <s v="Zenith Travel Ventures"/>
    <x v="2"/>
    <x v="3"/>
    <s v="West Bengal"/>
    <x v="0"/>
    <n v="28"/>
    <n v="924"/>
    <n v="847"/>
    <n v="25872"/>
    <x v="265"/>
    <n v="-2156"/>
    <s v="loss"/>
  </r>
  <r>
    <x v="155"/>
    <s v="november"/>
    <s v="Pure Path Consulting"/>
    <x v="2"/>
    <x v="3"/>
    <s v="Madhya Pradesh"/>
    <x v="0"/>
    <n v="26"/>
    <n v="643"/>
    <n v="1341"/>
    <n v="16718"/>
    <x v="266"/>
    <n v="18148"/>
    <s v="profit"/>
  </r>
  <r>
    <x v="156"/>
    <s v="december"/>
    <s v="Harmony Edge Solutions"/>
    <x v="1"/>
    <x v="7"/>
    <s v="Punjab"/>
    <x v="1"/>
    <n v="59"/>
    <n v="774"/>
    <n v="1374"/>
    <n v="45666"/>
    <x v="267"/>
    <n v="35400"/>
    <s v="profit"/>
  </r>
  <r>
    <x v="157"/>
    <s v="november"/>
    <s v="Harmony Educational Group"/>
    <x v="2"/>
    <x v="4"/>
    <s v="Karnataka"/>
    <x v="1"/>
    <n v="23"/>
    <n v="584"/>
    <n v="1140"/>
    <n v="13432"/>
    <x v="268"/>
    <n v="12788"/>
    <s v="profit"/>
  </r>
  <r>
    <x v="158"/>
    <s v="november"/>
    <s v="Radiant Design Studio"/>
    <x v="2"/>
    <x v="4"/>
    <s v="Gujarat"/>
    <x v="1"/>
    <n v="21"/>
    <n v="608"/>
    <n v="983"/>
    <n v="12768"/>
    <x v="269"/>
    <n v="7875"/>
    <s v="profit"/>
  </r>
  <r>
    <x v="159"/>
    <s v="november"/>
    <s v="Zenith Health Innovations"/>
    <x v="2"/>
    <x v="4"/>
    <s v="Maharashtra"/>
    <x v="1"/>
    <n v="30"/>
    <n v="712"/>
    <n v="1311"/>
    <n v="21360"/>
    <x v="270"/>
    <n v="17970"/>
    <s v="profit"/>
  </r>
  <r>
    <x v="160"/>
    <s v="november"/>
    <s v="Apex Realty Ventures"/>
    <x v="2"/>
    <x v="4"/>
    <s v="Rajasthan"/>
    <x v="1"/>
    <n v="24"/>
    <n v="672"/>
    <n v="878"/>
    <n v="16128"/>
    <x v="271"/>
    <n v="4944"/>
    <s v="profit"/>
  </r>
  <r>
    <x v="161"/>
    <s v="november"/>
    <s v="True Value Ventures"/>
    <x v="2"/>
    <x v="4"/>
    <s v="Uttar Pradesh"/>
    <x v="0"/>
    <n v="29"/>
    <n v="520"/>
    <n v="770"/>
    <n v="15080"/>
    <x v="272"/>
    <n v="7250"/>
    <s v="profit"/>
  </r>
  <r>
    <x v="162"/>
    <s v="november"/>
    <s v="Crystal Clear Designs"/>
    <x v="2"/>
    <x v="4"/>
    <s v="Maharashtra"/>
    <x v="1"/>
    <n v="28"/>
    <n v="884"/>
    <n v="1165"/>
    <n v="24752"/>
    <x v="273"/>
    <n v="7868"/>
    <s v="profit"/>
  </r>
  <r>
    <x v="163"/>
    <s v="january"/>
    <s v="Pinnacle Media Solutions"/>
    <x v="0"/>
    <x v="0"/>
    <s v="Karnataka"/>
    <x v="0"/>
    <n v="11"/>
    <n v="562"/>
    <n v="800"/>
    <n v="6182"/>
    <x v="274"/>
    <n v="2618"/>
    <s v="profit"/>
  </r>
  <r>
    <x v="164"/>
    <s v="november"/>
    <s v="Pinnacle Innovations Co."/>
    <x v="2"/>
    <x v="4"/>
    <s v="Madhya Pradesh"/>
    <x v="1"/>
    <n v="25"/>
    <n v="990"/>
    <n v="868"/>
    <n v="24750"/>
    <x v="275"/>
    <n v="-3050"/>
    <s v="loss"/>
  </r>
  <r>
    <x v="165"/>
    <s v="january"/>
    <s v="Radiant Tech Solutions"/>
    <x v="0"/>
    <x v="0"/>
    <s v="Maharashtra"/>
    <x v="0"/>
    <n v="15"/>
    <n v="992"/>
    <n v="1404"/>
    <n v="14880"/>
    <x v="68"/>
    <n v="6180"/>
    <s v="profit"/>
  </r>
  <r>
    <x v="166"/>
    <s v="november"/>
    <s v="Modern Pathways"/>
    <x v="2"/>
    <x v="4"/>
    <s v="Maharashtra"/>
    <x v="1"/>
    <n v="22"/>
    <n v="524"/>
    <n v="1156"/>
    <n v="11528"/>
    <x v="276"/>
    <n v="13904"/>
    <s v="profit"/>
  </r>
  <r>
    <x v="167"/>
    <s v="january"/>
    <s v="Elite Creative Solutions"/>
    <x v="0"/>
    <x v="0"/>
    <s v="Chhattisgarh"/>
    <x v="0"/>
    <n v="11"/>
    <n v="668"/>
    <n v="1096"/>
    <n v="7348"/>
    <x v="277"/>
    <n v="4708"/>
    <s v="profit"/>
  </r>
  <r>
    <x v="168"/>
    <s v="november"/>
    <s v="Stellar Finance Co."/>
    <x v="2"/>
    <x v="4"/>
    <s v="Chandigarh"/>
    <x v="1"/>
    <n v="26"/>
    <n v="997"/>
    <n v="982"/>
    <n v="25922"/>
    <x v="278"/>
    <n v="-390"/>
    <s v="loss"/>
  </r>
  <r>
    <x v="169"/>
    <s v="november"/>
    <s v="Radiant Spectrum Group"/>
    <x v="2"/>
    <x v="4"/>
    <s v="Madhya Pradesh"/>
    <x v="1"/>
    <n v="27"/>
    <n v="922"/>
    <n v="1284"/>
    <n v="24894"/>
    <x v="279"/>
    <n v="9774"/>
    <s v="profit"/>
  </r>
  <r>
    <x v="170"/>
    <s v="november"/>
    <s v="Harmony Design Ventures"/>
    <x v="2"/>
    <x v="4"/>
    <s v="Andhra Pradesh"/>
    <x v="0"/>
    <n v="21"/>
    <n v="978"/>
    <n v="1139"/>
    <n v="20538"/>
    <x v="280"/>
    <n v="3381"/>
    <s v="profit"/>
  </r>
  <r>
    <x v="171"/>
    <s v="november"/>
    <s v="Elite Edge Products"/>
    <x v="2"/>
    <x v="4"/>
    <s v="Bihar"/>
    <x v="0"/>
    <n v="24"/>
    <n v="830"/>
    <n v="1355"/>
    <n v="19920"/>
    <x v="281"/>
    <n v="12600"/>
    <s v="profit"/>
  </r>
  <r>
    <x v="172"/>
    <s v="november"/>
    <s v="Zenith Consulting Co."/>
    <x v="2"/>
    <x v="6"/>
    <s v="Gujarat"/>
    <x v="0"/>
    <n v="21"/>
    <n v="751"/>
    <n v="1498"/>
    <n v="15771"/>
    <x v="282"/>
    <n v="15687"/>
    <s v="profit"/>
  </r>
  <r>
    <x v="173"/>
    <s v="november"/>
    <s v="Apex Wellness Products"/>
    <x v="2"/>
    <x v="6"/>
    <s v="Uttar Pradesh"/>
    <x v="0"/>
    <n v="26"/>
    <n v="520"/>
    <n v="1261"/>
    <n v="13520"/>
    <x v="283"/>
    <n v="19266"/>
    <s v="profit"/>
  </r>
  <r>
    <x v="174"/>
    <s v="january"/>
    <s v="Pinnacle Design Solutions"/>
    <x v="1"/>
    <x v="7"/>
    <s v="Rajasthan"/>
    <x v="1"/>
    <n v="56"/>
    <n v="685"/>
    <n v="771"/>
    <n v="38360"/>
    <x v="284"/>
    <n v="4816"/>
    <s v="profit"/>
  </r>
  <r>
    <x v="175"/>
    <s v="december"/>
    <s v="Pure Harmony Innovations"/>
    <x v="2"/>
    <x v="6"/>
    <s v="Tamil Nadu"/>
    <x v="0"/>
    <n v="21"/>
    <n v="605"/>
    <n v="1264"/>
    <n v="12705"/>
    <x v="285"/>
    <n v="13839"/>
    <s v="profit"/>
  </r>
  <r>
    <x v="176"/>
    <s v="december"/>
    <s v="Legacy Media Group"/>
    <x v="2"/>
    <x v="6"/>
    <s v="Tamil Nadu"/>
    <x v="0"/>
    <n v="20"/>
    <n v="666"/>
    <n v="1087"/>
    <n v="13320"/>
    <x v="286"/>
    <n v="8420"/>
    <s v="profit"/>
  </r>
  <r>
    <x v="177"/>
    <s v="december"/>
    <s v="Horizon Tech Innovations"/>
    <x v="2"/>
    <x v="6"/>
    <s v="Uttar Pradesh"/>
    <x v="1"/>
    <n v="23"/>
    <n v="632"/>
    <n v="762"/>
    <n v="14536"/>
    <x v="287"/>
    <n v="2990"/>
    <s v="profit"/>
  </r>
  <r>
    <x v="178"/>
    <s v="december"/>
    <s v="Crystal Spectrum Consulting"/>
    <x v="2"/>
    <x v="6"/>
    <s v="Jharkhand"/>
    <x v="1"/>
    <n v="21"/>
    <n v="540"/>
    <n v="812"/>
    <n v="11340"/>
    <x v="288"/>
    <n v="5712"/>
    <s v="profit"/>
  </r>
  <r>
    <x v="179"/>
    <s v="december"/>
    <s v="Stellar Creative Co."/>
    <x v="2"/>
    <x v="6"/>
    <s v="Kerala"/>
    <x v="1"/>
    <n v="30"/>
    <n v="557"/>
    <n v="886"/>
    <n v="16710"/>
    <x v="289"/>
    <n v="9870"/>
    <s v="profit"/>
  </r>
  <r>
    <x v="180"/>
    <s v="january"/>
    <s v="Pure Harmony Solutions"/>
    <x v="0"/>
    <x v="2"/>
    <s v="Uttarakhand"/>
    <x v="0"/>
    <n v="20"/>
    <n v="803"/>
    <n v="941"/>
    <n v="16060"/>
    <x v="290"/>
    <n v="2760"/>
    <s v="profit"/>
  </r>
  <r>
    <x v="181"/>
    <s v="december"/>
    <s v="Radiance Media Ventures"/>
    <x v="2"/>
    <x v="6"/>
    <s v="Maharashtra"/>
    <x v="0"/>
    <n v="24"/>
    <n v="651"/>
    <n v="1386"/>
    <n v="15624"/>
    <x v="291"/>
    <n v="17640"/>
    <s v="profit"/>
  </r>
  <r>
    <x v="182"/>
    <s v="december"/>
    <s v="Zenith Edge Services"/>
    <x v="2"/>
    <x v="6"/>
    <s v="Uttarakhand"/>
    <x v="1"/>
    <n v="20"/>
    <n v="565"/>
    <n v="943"/>
    <n v="11300"/>
    <x v="292"/>
    <n v="7560"/>
    <s v="profit"/>
  </r>
  <r>
    <x v="183"/>
    <s v="february"/>
    <s v="Stellar Consulting Services"/>
    <x v="2"/>
    <x v="6"/>
    <s v="Maharashtra"/>
    <x v="0"/>
    <n v="22"/>
    <n v="810"/>
    <n v="1201"/>
    <n v="17820"/>
    <x v="293"/>
    <n v="8602"/>
    <s v="profit"/>
  </r>
  <r>
    <x v="184"/>
    <s v="february"/>
    <s v="Radiant Ventures"/>
    <x v="2"/>
    <x v="6"/>
    <s v="Himachal Pradesh"/>
    <x v="0"/>
    <n v="23"/>
    <n v="827"/>
    <n v="1185"/>
    <n v="19021"/>
    <x v="294"/>
    <n v="8234"/>
    <s v="profit"/>
  </r>
  <r>
    <x v="185"/>
    <s v="february"/>
    <s v="Harmony Tech Co."/>
    <x v="2"/>
    <x v="6"/>
    <s v="Uttarakhand"/>
    <x v="0"/>
    <n v="23"/>
    <n v="570"/>
    <n v="1230"/>
    <n v="13110"/>
    <x v="295"/>
    <n v="15180"/>
    <s v="profit"/>
  </r>
  <r>
    <x v="186"/>
    <s v="january"/>
    <s v="Zenith Path Solutions"/>
    <x v="0"/>
    <x v="2"/>
    <s v="Madhya Pradesh"/>
    <x v="0"/>
    <n v="19"/>
    <n v="911"/>
    <n v="1116"/>
    <n v="17309"/>
    <x v="183"/>
    <n v="3895"/>
    <s v="profit"/>
  </r>
  <r>
    <x v="187"/>
    <s v="february"/>
    <s v="Zenith Creative Ventures"/>
    <x v="2"/>
    <x v="6"/>
    <s v="Assam"/>
    <x v="1"/>
    <n v="21"/>
    <n v="938"/>
    <n v="1275"/>
    <n v="19698"/>
    <x v="296"/>
    <n v="7077"/>
    <s v="profit"/>
  </r>
  <r>
    <x v="188"/>
    <s v="february"/>
    <s v="Apex Health Services"/>
    <x v="2"/>
    <x v="6"/>
    <s v="Punjab"/>
    <x v="1"/>
    <n v="24"/>
    <n v="993"/>
    <n v="987"/>
    <n v="23832"/>
    <x v="297"/>
    <n v="-144"/>
    <s v="loss"/>
  </r>
  <r>
    <x v="189"/>
    <s v="february"/>
    <s v="Pure Vision Media"/>
    <x v="2"/>
    <x v="6"/>
    <s v="Chhattisgarh"/>
    <x v="1"/>
    <n v="20"/>
    <n v="534"/>
    <n v="1233"/>
    <n v="10680"/>
    <x v="298"/>
    <n v="13980"/>
    <s v="profit"/>
  </r>
  <r>
    <x v="190"/>
    <s v="january"/>
    <s v="Legacy Media Solutions"/>
    <x v="0"/>
    <x v="2"/>
    <s v="Jharkhand"/>
    <x v="1"/>
    <n v="10"/>
    <n v="911"/>
    <n v="1097"/>
    <n v="9110"/>
    <x v="299"/>
    <n v="1860"/>
    <s v="profit"/>
  </r>
  <r>
    <x v="191"/>
    <s v="february"/>
    <s v="Legacy Innovations Group"/>
    <x v="2"/>
    <x v="6"/>
    <s v="West Bengal"/>
    <x v="1"/>
    <n v="23"/>
    <n v="761"/>
    <n v="901"/>
    <n v="17503"/>
    <x v="300"/>
    <n v="3220"/>
    <s v="profit"/>
  </r>
  <r>
    <x v="192"/>
    <s v="february"/>
    <s v="Pinnacle Consulting Co."/>
    <x v="2"/>
    <x v="6"/>
    <s v="West Bengal"/>
    <x v="1"/>
    <n v="23"/>
    <n v="701"/>
    <n v="1322"/>
    <n v="16123"/>
    <x v="301"/>
    <n v="14283"/>
    <s v="profit"/>
  </r>
  <r>
    <x v="193"/>
    <s v="february"/>
    <s v="Stellar Finance Group"/>
    <x v="2"/>
    <x v="6"/>
    <s v="Madhya Pradesh"/>
    <x v="0"/>
    <n v="25"/>
    <n v="541"/>
    <n v="1090"/>
    <n v="13525"/>
    <x v="302"/>
    <n v="13725"/>
    <s v="profit"/>
  </r>
  <r>
    <x v="194"/>
    <s v="february"/>
    <s v="Harmony Ventures Group"/>
    <x v="2"/>
    <x v="6"/>
    <s v="Gujarat"/>
    <x v="0"/>
    <n v="28"/>
    <n v="708"/>
    <n v="1358"/>
    <n v="19824"/>
    <x v="303"/>
    <n v="18200"/>
    <s v="profit"/>
  </r>
  <r>
    <x v="78"/>
    <s v="april"/>
    <s v="Bharat Innovations"/>
    <x v="2"/>
    <x v="3"/>
    <s v="Delhi"/>
    <x v="1"/>
    <n v="28"/>
    <n v="826"/>
    <n v="929"/>
    <n v="23128"/>
    <x v="304"/>
    <n v="2884"/>
    <s v="profit"/>
  </r>
  <r>
    <x v="79"/>
    <s v="april"/>
    <s v="Green Leaf Enterprises"/>
    <x v="2"/>
    <x v="8"/>
    <s v="Maharashtra"/>
    <x v="1"/>
    <n v="25"/>
    <n v="952"/>
    <n v="1261"/>
    <n v="23800"/>
    <x v="305"/>
    <n v="7725"/>
    <s v="profit"/>
  </r>
  <r>
    <x v="80"/>
    <s v="april"/>
    <s v="Urban Pulse Technologies"/>
    <x v="2"/>
    <x v="8"/>
    <s v="West Bengal"/>
    <x v="1"/>
    <n v="20"/>
    <n v="940"/>
    <n v="1259"/>
    <n v="18800"/>
    <x v="306"/>
    <n v="6380"/>
    <s v="profit"/>
  </r>
  <r>
    <x v="82"/>
    <s v="april"/>
    <s v="Mystic India Exports"/>
    <x v="2"/>
    <x v="8"/>
    <s v="Tamil Nadu"/>
    <x v="1"/>
    <n v="22"/>
    <n v="785"/>
    <n v="1292"/>
    <n v="17270"/>
    <x v="307"/>
    <n v="11154"/>
    <s v="profit"/>
  </r>
  <r>
    <x v="83"/>
    <s v="april"/>
    <s v="Pure Essence Skincare"/>
    <x v="2"/>
    <x v="3"/>
    <s v="Rajasthan"/>
    <x v="0"/>
    <n v="21"/>
    <n v="879"/>
    <n v="1019"/>
    <n v="18459"/>
    <x v="308"/>
    <n v="2940"/>
    <s v="profit"/>
  </r>
  <r>
    <x v="84"/>
    <s v="april"/>
    <s v="Zenith Construction Co."/>
    <x v="2"/>
    <x v="3"/>
    <s v="Gujarat"/>
    <x v="0"/>
    <n v="28"/>
    <n v="937"/>
    <n v="872"/>
    <n v="26236"/>
    <x v="309"/>
    <n v="-1820"/>
    <s v="loss"/>
  </r>
  <r>
    <x v="195"/>
    <s v="february"/>
    <s v="Radiant Solutions Co."/>
    <x v="2"/>
    <x v="6"/>
    <s v="Jharkhand"/>
    <x v="0"/>
    <n v="26"/>
    <n v="751"/>
    <n v="1292"/>
    <n v="19526"/>
    <x v="310"/>
    <n v="14066"/>
    <s v="profit"/>
  </r>
  <r>
    <x v="85"/>
    <s v="april"/>
    <s v="Radiant Health Systems"/>
    <x v="2"/>
    <x v="3"/>
    <s v="Uttar Pradesh"/>
    <x v="0"/>
    <n v="22"/>
    <n v="832"/>
    <n v="769"/>
    <n v="18304"/>
    <x v="311"/>
    <n v="-1386"/>
    <s v="loss"/>
  </r>
  <r>
    <x v="87"/>
    <s v="april"/>
    <s v="Divine Creations"/>
    <x v="2"/>
    <x v="3"/>
    <s v="Uttar Pradesh"/>
    <x v="0"/>
    <n v="28"/>
    <n v="832"/>
    <n v="1028"/>
    <n v="23296"/>
    <x v="312"/>
    <n v="5488"/>
    <s v="profit"/>
  </r>
  <r>
    <x v="88"/>
    <s v="april"/>
    <s v="True Path Logistics"/>
    <x v="2"/>
    <x v="3"/>
    <s v="Madhya Pradesh"/>
    <x v="0"/>
    <n v="22"/>
    <n v="622"/>
    <n v="822"/>
    <n v="13684"/>
    <x v="313"/>
    <n v="4400"/>
    <s v="profit"/>
  </r>
  <r>
    <x v="196"/>
    <s v="february"/>
    <s v="Modern Travel Solutions"/>
    <x v="1"/>
    <x v="5"/>
    <s v="Tamil Nadu"/>
    <x v="0"/>
    <n v="55"/>
    <n v="856"/>
    <n v="756"/>
    <n v="47080"/>
    <x v="314"/>
    <n v="-5500"/>
    <s v="loss"/>
  </r>
  <r>
    <x v="90"/>
    <s v="april"/>
    <s v="Prestige Automobiles"/>
    <x v="2"/>
    <x v="4"/>
    <s v="Uttar Pradesh"/>
    <x v="1"/>
    <n v="23"/>
    <n v="663"/>
    <n v="1153"/>
    <n v="15249"/>
    <x v="315"/>
    <n v="11270"/>
    <s v="profit"/>
  </r>
  <r>
    <x v="92"/>
    <s v="april"/>
    <s v="Natural Bliss Beverages"/>
    <x v="2"/>
    <x v="4"/>
    <s v="Tamil Nadu"/>
    <x v="1"/>
    <n v="23"/>
    <n v="779"/>
    <n v="1415"/>
    <n v="17917"/>
    <x v="316"/>
    <n v="14628"/>
    <s v="profit"/>
  </r>
  <r>
    <x v="94"/>
    <s v="april"/>
    <s v="Modern Trends Fashion"/>
    <x v="2"/>
    <x v="4"/>
    <s v="Uttar Pradesh"/>
    <x v="0"/>
    <n v="29"/>
    <n v="952"/>
    <n v="1428"/>
    <n v="27608"/>
    <x v="317"/>
    <n v="13804"/>
    <s v="profit"/>
  </r>
  <r>
    <x v="95"/>
    <s v="april"/>
    <s v="Heritage Crafts"/>
    <x v="2"/>
    <x v="4"/>
    <s v="Jharkhand"/>
    <x v="0"/>
    <n v="26"/>
    <n v="983"/>
    <n v="1270"/>
    <n v="25558"/>
    <x v="318"/>
    <n v="7462"/>
    <s v="profit"/>
  </r>
  <r>
    <x v="96"/>
    <s v="april"/>
    <s v="Future Insights Analytics"/>
    <x v="2"/>
    <x v="4"/>
    <s v="Kerala"/>
    <x v="0"/>
    <n v="28"/>
    <n v="814"/>
    <n v="1343"/>
    <n v="22792"/>
    <x v="319"/>
    <n v="14812"/>
    <s v="profit"/>
  </r>
  <r>
    <x v="97"/>
    <s v="april"/>
    <s v="Emerald Estate Developers"/>
    <x v="2"/>
    <x v="4"/>
    <s v="Maharashtra"/>
    <x v="0"/>
    <n v="26"/>
    <n v="835"/>
    <n v="973"/>
    <n v="21710"/>
    <x v="320"/>
    <n v="3588"/>
    <s v="profit"/>
  </r>
  <r>
    <x v="197"/>
    <s v="february"/>
    <s v="Zenith Tech Solutions"/>
    <x v="1"/>
    <x v="5"/>
    <s v="Himachal Pradesh"/>
    <x v="1"/>
    <n v="88"/>
    <n v="635"/>
    <n v="1370"/>
    <n v="55880"/>
    <x v="321"/>
    <n v="64680"/>
    <s v="profit"/>
  </r>
  <r>
    <x v="98"/>
    <s v="april"/>
    <s v="Starlight Media Group"/>
    <x v="2"/>
    <x v="4"/>
    <s v="Himachal Pradesh"/>
    <x v="0"/>
    <n v="24"/>
    <n v="631"/>
    <n v="1304"/>
    <n v="15144"/>
    <x v="322"/>
    <n v="16152"/>
    <s v="profit"/>
  </r>
  <r>
    <x v="99"/>
    <s v="may"/>
    <s v="Supreme Electronics"/>
    <x v="2"/>
    <x v="4"/>
    <s v="Uttarakhand"/>
    <x v="0"/>
    <n v="24"/>
    <n v="833"/>
    <n v="1280"/>
    <n v="19992"/>
    <x v="323"/>
    <n v="10728"/>
    <s v="profit"/>
  </r>
  <r>
    <x v="100"/>
    <s v="may"/>
    <s v="Optimum Wellness"/>
    <x v="2"/>
    <x v="4"/>
    <s v="Assam"/>
    <x v="1"/>
    <n v="21"/>
    <n v="680"/>
    <n v="1049"/>
    <n v="14280"/>
    <x v="324"/>
    <n v="7749"/>
    <s v="profit"/>
  </r>
  <r>
    <x v="101"/>
    <s v="may"/>
    <s v="Zenith Books Publishing"/>
    <x v="2"/>
    <x v="4"/>
    <s v="Punjab"/>
    <x v="1"/>
    <n v="23"/>
    <n v="667"/>
    <n v="962"/>
    <n v="15341"/>
    <x v="325"/>
    <n v="6785"/>
    <s v="profit"/>
  </r>
  <r>
    <x v="102"/>
    <s v="may"/>
    <s v="Pinnacle Innovations"/>
    <x v="2"/>
    <x v="4"/>
    <s v="Chhattisgarh"/>
    <x v="1"/>
    <n v="24"/>
    <n v="504"/>
    <n v="1283"/>
    <n v="12096"/>
    <x v="326"/>
    <n v="18696"/>
    <s v="profit"/>
  </r>
  <r>
    <x v="103"/>
    <s v="may"/>
    <s v="Apex Travel Services"/>
    <x v="2"/>
    <x v="4"/>
    <s v="West Bengal"/>
    <x v="1"/>
    <n v="26"/>
    <n v="985"/>
    <n v="1407"/>
    <n v="25610"/>
    <x v="327"/>
    <n v="10972"/>
    <s v="profit"/>
  </r>
  <r>
    <x v="104"/>
    <s v="may"/>
    <s v="Golden Era Realty"/>
    <x v="2"/>
    <x v="4"/>
    <s v="West Bengal"/>
    <x v="0"/>
    <n v="27"/>
    <n v="890"/>
    <n v="853"/>
    <n v="24030"/>
    <x v="328"/>
    <n v="-999"/>
    <s v="loss"/>
  </r>
  <r>
    <x v="106"/>
    <s v="may"/>
    <s v="Radiant Jewelry"/>
    <x v="2"/>
    <x v="6"/>
    <s v="Madhya Pradesh"/>
    <x v="0"/>
    <n v="21"/>
    <n v="722"/>
    <n v="1247"/>
    <n v="15162"/>
    <x v="329"/>
    <n v="11025"/>
    <s v="profit"/>
  </r>
  <r>
    <x v="107"/>
    <s v="may"/>
    <s v="Infinity Ventures"/>
    <x v="2"/>
    <x v="6"/>
    <s v="Jharkhand"/>
    <x v="0"/>
    <n v="22"/>
    <n v="725"/>
    <n v="765"/>
    <n v="15950"/>
    <x v="330"/>
    <n v="880"/>
    <s v="profit"/>
  </r>
  <r>
    <x v="109"/>
    <s v="may"/>
    <s v="Royal Taste Foods"/>
    <x v="2"/>
    <x v="6"/>
    <s v="West Bengal"/>
    <x v="0"/>
    <n v="26"/>
    <n v="509"/>
    <n v="1120"/>
    <n v="13234"/>
    <x v="331"/>
    <n v="15886"/>
    <s v="profit"/>
  </r>
  <r>
    <x v="6"/>
    <s v="april"/>
    <s v="Apex Solutions"/>
    <x v="1"/>
    <x v="1"/>
    <s v="Gujarat"/>
    <x v="1"/>
    <n v="55"/>
    <n v="906"/>
    <n v="880"/>
    <n v="49830"/>
    <x v="332"/>
    <n v="-1430"/>
    <s v="loss"/>
  </r>
  <r>
    <x v="110"/>
    <s v="may"/>
    <s v="Harmony Homes"/>
    <x v="2"/>
    <x v="6"/>
    <s v="Karnataka"/>
    <x v="0"/>
    <n v="28"/>
    <n v="905"/>
    <n v="958"/>
    <n v="25340"/>
    <x v="333"/>
    <n v="1484"/>
    <s v="profit"/>
  </r>
  <r>
    <x v="111"/>
    <s v="may"/>
    <s v="Urban Edge Consulting"/>
    <x v="2"/>
    <x v="6"/>
    <s v="Delhi"/>
    <x v="0"/>
    <n v="22"/>
    <n v="866"/>
    <n v="1453"/>
    <n v="19052"/>
    <x v="334"/>
    <n v="12914"/>
    <s v="profit"/>
  </r>
  <r>
    <x v="112"/>
    <s v="may"/>
    <s v="Prime Tech Innovations"/>
    <x v="2"/>
    <x v="6"/>
    <s v="Maharashtra"/>
    <x v="0"/>
    <n v="23"/>
    <n v="816"/>
    <n v="1273"/>
    <n v="18768"/>
    <x v="335"/>
    <n v="10511"/>
    <s v="profit"/>
  </r>
  <r>
    <x v="114"/>
    <s v="may"/>
    <s v="Legacy Designs"/>
    <x v="2"/>
    <x v="6"/>
    <s v="West Bengal"/>
    <x v="0"/>
    <n v="30"/>
    <n v="738"/>
    <n v="1216"/>
    <n v="22140"/>
    <x v="336"/>
    <n v="14340"/>
    <s v="profit"/>
  </r>
  <r>
    <x v="115"/>
    <s v="may"/>
    <s v="Virtue Enterprises"/>
    <x v="2"/>
    <x v="6"/>
    <s v="Tamil Nadu"/>
    <x v="0"/>
    <n v="24"/>
    <n v="653"/>
    <n v="1293"/>
    <n v="15672"/>
    <x v="337"/>
    <n v="15360"/>
    <s v="profit"/>
  </r>
  <r>
    <x v="12"/>
    <s v="april"/>
    <s v="Metro Tech Solutions"/>
    <x v="2"/>
    <x v="3"/>
    <s v="Maharashtra"/>
    <x v="0"/>
    <n v="22"/>
    <n v="692"/>
    <n v="906"/>
    <n v="15224"/>
    <x v="338"/>
    <n v="4708"/>
    <s v="profit"/>
  </r>
  <r>
    <x v="116"/>
    <s v="may"/>
    <s v="Radiant Health Club"/>
    <x v="2"/>
    <x v="6"/>
    <s v="Karnataka"/>
    <x v="0"/>
    <n v="30"/>
    <n v="583"/>
    <n v="1500"/>
    <n v="17490"/>
    <x v="339"/>
    <n v="27510"/>
    <s v="profit"/>
  </r>
  <r>
    <x v="118"/>
    <s v="may"/>
    <s v="Bright Horizon Ventures"/>
    <x v="2"/>
    <x v="6"/>
    <s v="Telangana"/>
    <x v="1"/>
    <n v="26"/>
    <n v="1000"/>
    <n v="765"/>
    <n v="26000"/>
    <x v="340"/>
    <n v="-6110"/>
    <s v="loss"/>
  </r>
  <r>
    <x v="120"/>
    <s v="may"/>
    <s v="Modern Lifestyle Products"/>
    <x v="2"/>
    <x v="6"/>
    <s v="Gujarat"/>
    <x v="1"/>
    <n v="27"/>
    <n v="913"/>
    <n v="1197"/>
    <n v="24651"/>
    <x v="341"/>
    <n v="7668"/>
    <s v="profit"/>
  </r>
  <r>
    <x v="121"/>
    <s v="may"/>
    <s v="Nexus Trading Co."/>
    <x v="2"/>
    <x v="6"/>
    <s v="Maharashtra"/>
    <x v="1"/>
    <n v="29"/>
    <n v="735"/>
    <n v="1388"/>
    <n v="21315"/>
    <x v="342"/>
    <n v="18937"/>
    <s v="profit"/>
  </r>
  <r>
    <x v="122"/>
    <s v="july"/>
    <s v="Radiance Health and Wellness"/>
    <x v="2"/>
    <x v="6"/>
    <s v="Uttar Pradesh"/>
    <x v="1"/>
    <n v="29"/>
    <n v="965"/>
    <n v="1195"/>
    <n v="27985"/>
    <x v="343"/>
    <n v="6670"/>
    <s v="profit"/>
  </r>
  <r>
    <x v="123"/>
    <s v="july"/>
    <s v="Legacy Auto Works"/>
    <x v="2"/>
    <x v="6"/>
    <s v="Tamil Nadu"/>
    <x v="1"/>
    <n v="24"/>
    <n v="970"/>
    <n v="1256"/>
    <n v="23280"/>
    <x v="344"/>
    <n v="6864"/>
    <s v="profit"/>
  </r>
  <r>
    <x v="124"/>
    <s v="july"/>
    <s v="Prime Essence Creations"/>
    <x v="2"/>
    <x v="6"/>
    <s v="Tamil Nadu"/>
    <x v="1"/>
    <n v="22"/>
    <n v="974"/>
    <n v="1329"/>
    <n v="21428"/>
    <x v="345"/>
    <n v="7810"/>
    <s v="profit"/>
  </r>
  <r>
    <x v="125"/>
    <s v="july"/>
    <s v="Quantum Ventures"/>
    <x v="2"/>
    <x v="6"/>
    <s v="Rajasthan"/>
    <x v="1"/>
    <n v="21"/>
    <n v="915"/>
    <n v="1442"/>
    <n v="19215"/>
    <x v="346"/>
    <n v="11067"/>
    <s v="profit"/>
  </r>
  <r>
    <x v="126"/>
    <s v="july"/>
    <s v="Urban Legends Apparel"/>
    <x v="2"/>
    <x v="6"/>
    <s v="Jharkhand"/>
    <x v="0"/>
    <n v="27"/>
    <n v="605"/>
    <n v="826"/>
    <n v="16335"/>
    <x v="347"/>
    <n v="5967"/>
    <s v="profit"/>
  </r>
  <r>
    <x v="22"/>
    <s v="april"/>
    <s v="Elite Marketing Solutions"/>
    <x v="2"/>
    <x v="4"/>
    <s v="Tamil Nadu"/>
    <x v="1"/>
    <n v="29"/>
    <n v="893"/>
    <n v="865"/>
    <n v="25897"/>
    <x v="348"/>
    <n v="-812"/>
    <s v="loss"/>
  </r>
  <r>
    <x v="127"/>
    <s v="july"/>
    <s v="Pure Bliss Beverages"/>
    <x v="2"/>
    <x v="6"/>
    <s v="Kerala"/>
    <x v="0"/>
    <n v="29"/>
    <n v="689"/>
    <n v="783"/>
    <n v="19981"/>
    <x v="349"/>
    <n v="2726"/>
    <s v="profit"/>
  </r>
  <r>
    <x v="24"/>
    <s v="april"/>
    <s v="Crystal Clear Solutions"/>
    <x v="2"/>
    <x v="4"/>
    <s v="Rajasthan"/>
    <x v="0"/>
    <n v="24"/>
    <n v="859"/>
    <n v="1473"/>
    <n v="20616"/>
    <x v="350"/>
    <n v="14736"/>
    <s v="profit"/>
  </r>
  <r>
    <x v="128"/>
    <s v="july"/>
    <s v="Noble Heights Builders"/>
    <x v="2"/>
    <x v="6"/>
    <s v="Maharashtra"/>
    <x v="0"/>
    <n v="25"/>
    <n v="861"/>
    <n v="843"/>
    <n v="21525"/>
    <x v="351"/>
    <n v="-450"/>
    <s v="loss"/>
  </r>
  <r>
    <x v="130"/>
    <s v="july"/>
    <s v="Radiant Foods"/>
    <x v="2"/>
    <x v="6"/>
    <s v="Himachal Pradesh"/>
    <x v="0"/>
    <n v="22"/>
    <n v="629"/>
    <n v="1263"/>
    <n v="13838"/>
    <x v="352"/>
    <n v="13948"/>
    <s v="profit"/>
  </r>
  <r>
    <x v="131"/>
    <s v="july"/>
    <s v="Zenith Financial Services"/>
    <x v="2"/>
    <x v="6"/>
    <s v="Uttarakhand"/>
    <x v="0"/>
    <n v="22"/>
    <n v="779"/>
    <n v="1301"/>
    <n v="17138"/>
    <x v="353"/>
    <n v="11484"/>
    <s v="profit"/>
  </r>
  <r>
    <x v="133"/>
    <s v="july"/>
    <s v="Apex Travel Ventures"/>
    <x v="2"/>
    <x v="6"/>
    <s v="Assam"/>
    <x v="0"/>
    <n v="23"/>
    <n v="730"/>
    <n v="1189"/>
    <n v="16790"/>
    <x v="354"/>
    <n v="10557"/>
    <s v="profit"/>
  </r>
  <r>
    <x v="134"/>
    <s v="august"/>
    <s v="Future Vision Realty"/>
    <x v="2"/>
    <x v="6"/>
    <s v="Maharashtra"/>
    <x v="1"/>
    <n v="26"/>
    <n v="847"/>
    <n v="1116"/>
    <n v="22022"/>
    <x v="355"/>
    <n v="6994"/>
    <s v="profit"/>
  </r>
  <r>
    <x v="135"/>
    <s v="august"/>
    <s v="Urban Pulse Media"/>
    <x v="2"/>
    <x v="6"/>
    <s v="Chandigarh"/>
    <x v="1"/>
    <n v="24"/>
    <n v="942"/>
    <n v="1313"/>
    <n v="22608"/>
    <x v="356"/>
    <n v="8904"/>
    <s v="profit"/>
  </r>
  <r>
    <x v="136"/>
    <s v="august"/>
    <s v="True Essence Health"/>
    <x v="2"/>
    <x v="6"/>
    <s v="Madhya Pradesh"/>
    <x v="0"/>
    <n v="20"/>
    <n v="751"/>
    <n v="861"/>
    <n v="15020"/>
    <x v="170"/>
    <n v="2200"/>
    <s v="profit"/>
  </r>
  <r>
    <x v="138"/>
    <s v="august"/>
    <s v="Radiant Vision Realty"/>
    <x v="2"/>
    <x v="6"/>
    <s v="Bihar"/>
    <x v="1"/>
    <n v="28"/>
    <n v="855"/>
    <n v="930"/>
    <n v="23940"/>
    <x v="357"/>
    <n v="2100"/>
    <s v="profit"/>
  </r>
  <r>
    <x v="139"/>
    <s v="august"/>
    <s v="Harmony Consulting Group"/>
    <x v="2"/>
    <x v="6"/>
    <s v="Gujarat"/>
    <x v="1"/>
    <n v="22"/>
    <n v="806"/>
    <n v="1391"/>
    <n v="17732"/>
    <x v="358"/>
    <n v="12870"/>
    <s v="profit"/>
  </r>
  <r>
    <x v="141"/>
    <s v="august"/>
    <s v="Zenith Tech Ventures"/>
    <x v="2"/>
    <x v="6"/>
    <s v="Uttar Pradesh"/>
    <x v="1"/>
    <n v="30"/>
    <n v="624"/>
    <n v="999"/>
    <n v="18720"/>
    <x v="359"/>
    <n v="11250"/>
    <s v="profit"/>
  </r>
  <r>
    <x v="142"/>
    <s v="august"/>
    <s v="Stellar Health Services"/>
    <x v="2"/>
    <x v="6"/>
    <s v="Uttar Pradesh"/>
    <x v="0"/>
    <n v="25"/>
    <n v="533"/>
    <n v="860"/>
    <n v="13325"/>
    <x v="360"/>
    <n v="8175"/>
    <s v="profit"/>
  </r>
  <r>
    <x v="143"/>
    <s v="august"/>
    <s v="Pure Path Foods"/>
    <x v="2"/>
    <x v="6"/>
    <s v="Tamil Nadu"/>
    <x v="0"/>
    <n v="20"/>
    <n v="681"/>
    <n v="823"/>
    <n v="13620"/>
    <x v="224"/>
    <n v="2840"/>
    <s v="profit"/>
  </r>
  <r>
    <x v="144"/>
    <s v="august"/>
    <s v="Bright Horizon Realty"/>
    <x v="2"/>
    <x v="6"/>
    <s v="Rajasthan"/>
    <x v="0"/>
    <n v="23"/>
    <n v="577"/>
    <n v="1125"/>
    <n v="13271"/>
    <x v="361"/>
    <n v="12604"/>
    <s v="profit"/>
  </r>
  <r>
    <x v="146"/>
    <s v="october"/>
    <s v="Crystal Clear Consulting"/>
    <x v="2"/>
    <x v="8"/>
    <s v="Rajasthan"/>
    <x v="0"/>
    <n v="28"/>
    <n v="537"/>
    <n v="828"/>
    <n v="15036"/>
    <x v="362"/>
    <n v="8148"/>
    <s v="profit"/>
  </r>
  <r>
    <x v="147"/>
    <s v="october"/>
    <s v="Zenith Innovations"/>
    <x v="2"/>
    <x v="8"/>
    <s v="Jharkhand"/>
    <x v="1"/>
    <n v="23"/>
    <n v="746"/>
    <n v="1410"/>
    <n v="17158"/>
    <x v="363"/>
    <n v="15272"/>
    <s v="profit"/>
  </r>
  <r>
    <x v="148"/>
    <s v="october"/>
    <s v="True Essence Innovations"/>
    <x v="2"/>
    <x v="3"/>
    <s v="Assam"/>
    <x v="1"/>
    <n v="29"/>
    <n v="895"/>
    <n v="882"/>
    <n v="25955"/>
    <x v="364"/>
    <n v="-377"/>
    <s v="loss"/>
  </r>
  <r>
    <x v="150"/>
    <s v="november"/>
    <s v="Pinnacle Media Group"/>
    <x v="2"/>
    <x v="3"/>
    <s v="Punjab"/>
    <x v="1"/>
    <n v="26"/>
    <n v="728"/>
    <n v="1466"/>
    <n v="18928"/>
    <x v="365"/>
    <n v="19188"/>
    <s v="profit"/>
  </r>
  <r>
    <x v="152"/>
    <s v="november"/>
    <s v="Legacy Design Co."/>
    <x v="2"/>
    <x v="3"/>
    <s v="Chhattisgarh"/>
    <x v="1"/>
    <n v="22"/>
    <n v="586"/>
    <n v="1206"/>
    <n v="12892"/>
    <x v="366"/>
    <n v="13640"/>
    <s v="profit"/>
  </r>
  <r>
    <x v="153"/>
    <s v="november"/>
    <s v="Apex Health Products"/>
    <x v="2"/>
    <x v="3"/>
    <s v="West Bengal"/>
    <x v="0"/>
    <n v="29"/>
    <n v="724"/>
    <n v="858"/>
    <n v="20996"/>
    <x v="367"/>
    <n v="3886"/>
    <s v="profit"/>
  </r>
  <r>
    <x v="154"/>
    <s v="november"/>
    <s v="Zenith Travel Ventures"/>
    <x v="2"/>
    <x v="3"/>
    <s v="West Bengal"/>
    <x v="0"/>
    <n v="20"/>
    <n v="941"/>
    <n v="1181"/>
    <n v="18820"/>
    <x v="368"/>
    <n v="4800"/>
    <s v="profit"/>
  </r>
  <r>
    <x v="155"/>
    <s v="november"/>
    <s v="Pure Path Consulting"/>
    <x v="2"/>
    <x v="3"/>
    <s v="Madhya Pradesh"/>
    <x v="0"/>
    <n v="22"/>
    <n v="618"/>
    <n v="1373"/>
    <n v="13596"/>
    <x v="369"/>
    <n v="16610"/>
    <s v="profit"/>
  </r>
  <r>
    <x v="157"/>
    <s v="november"/>
    <s v="Harmony Educational Group"/>
    <x v="2"/>
    <x v="4"/>
    <s v="Karnataka"/>
    <x v="1"/>
    <n v="28"/>
    <n v="896"/>
    <n v="1363"/>
    <n v="25088"/>
    <x v="370"/>
    <n v="13076"/>
    <s v="profit"/>
  </r>
  <r>
    <x v="158"/>
    <s v="november"/>
    <s v="Radiant Design Studio"/>
    <x v="2"/>
    <x v="4"/>
    <s v="Gujarat"/>
    <x v="1"/>
    <n v="28"/>
    <n v="986"/>
    <n v="866"/>
    <n v="27608"/>
    <x v="371"/>
    <n v="-3360"/>
    <s v="loss"/>
  </r>
  <r>
    <x v="159"/>
    <s v="november"/>
    <s v="Zenith Health Innovations"/>
    <x v="2"/>
    <x v="4"/>
    <s v="Maharashtra"/>
    <x v="1"/>
    <n v="27"/>
    <n v="951"/>
    <n v="1255"/>
    <n v="25677"/>
    <x v="372"/>
    <n v="8208"/>
    <s v="profit"/>
  </r>
  <r>
    <x v="49"/>
    <s v="may"/>
    <s v="Absolute Solutions"/>
    <x v="1"/>
    <x v="5"/>
    <s v="Gujarat"/>
    <x v="1"/>
    <n v="63"/>
    <n v="929"/>
    <n v="1320"/>
    <n v="58527"/>
    <x v="373"/>
    <n v="24633"/>
    <s v="profit"/>
  </r>
  <r>
    <x v="160"/>
    <s v="november"/>
    <s v="Apex Realty Ventures"/>
    <x v="2"/>
    <x v="4"/>
    <s v="Rajasthan"/>
    <x v="1"/>
    <n v="22"/>
    <n v="783"/>
    <n v="886"/>
    <n v="17226"/>
    <x v="374"/>
    <n v="2266"/>
    <s v="profit"/>
  </r>
  <r>
    <x v="161"/>
    <s v="november"/>
    <s v="True Value Ventures"/>
    <x v="2"/>
    <x v="4"/>
    <s v="Uttar Pradesh"/>
    <x v="0"/>
    <n v="21"/>
    <n v="547"/>
    <n v="784"/>
    <n v="11487"/>
    <x v="375"/>
    <n v="4977"/>
    <s v="profit"/>
  </r>
  <r>
    <x v="162"/>
    <s v="november"/>
    <s v="Crystal Clear Designs"/>
    <x v="2"/>
    <x v="4"/>
    <s v="Maharashtra"/>
    <x v="1"/>
    <n v="20"/>
    <n v="737"/>
    <n v="932"/>
    <n v="14740"/>
    <x v="376"/>
    <n v="3900"/>
    <s v="profit"/>
  </r>
  <r>
    <x v="164"/>
    <s v="november"/>
    <s v="Pinnacle Innovations Co."/>
    <x v="2"/>
    <x v="4"/>
    <s v="Madhya Pradesh"/>
    <x v="1"/>
    <n v="25"/>
    <n v="924"/>
    <n v="1062"/>
    <n v="23100"/>
    <x v="377"/>
    <n v="3450"/>
    <s v="profit"/>
  </r>
  <r>
    <x v="166"/>
    <s v="november"/>
    <s v="Modern Pathways"/>
    <x v="2"/>
    <x v="4"/>
    <s v="Maharashtra"/>
    <x v="1"/>
    <n v="28"/>
    <n v="665"/>
    <n v="1467"/>
    <n v="18620"/>
    <x v="378"/>
    <n v="22456"/>
    <s v="profit"/>
  </r>
  <r>
    <x v="168"/>
    <s v="november"/>
    <s v="Stellar Finance Co."/>
    <x v="2"/>
    <x v="4"/>
    <s v="Chandigarh"/>
    <x v="1"/>
    <n v="24"/>
    <n v="839"/>
    <n v="1092"/>
    <n v="20136"/>
    <x v="379"/>
    <n v="6072"/>
    <s v="profit"/>
  </r>
  <r>
    <x v="169"/>
    <s v="november"/>
    <s v="Radiant Spectrum Group"/>
    <x v="2"/>
    <x v="4"/>
    <s v="Madhya Pradesh"/>
    <x v="1"/>
    <n v="30"/>
    <n v="790"/>
    <n v="1245"/>
    <n v="23700"/>
    <x v="380"/>
    <n v="13650"/>
    <s v="profit"/>
  </r>
  <r>
    <x v="170"/>
    <s v="november"/>
    <s v="Harmony Design Ventures"/>
    <x v="2"/>
    <x v="4"/>
    <s v="Andhra Pradesh"/>
    <x v="0"/>
    <n v="30"/>
    <n v="651"/>
    <n v="1277"/>
    <n v="19530"/>
    <x v="381"/>
    <n v="18780"/>
    <s v="profit"/>
  </r>
  <r>
    <x v="58"/>
    <s v="may"/>
    <s v="Synergy Tech Solutions"/>
    <x v="1"/>
    <x v="5"/>
    <s v="Bihar"/>
    <x v="1"/>
    <n v="67"/>
    <n v="796"/>
    <n v="1347"/>
    <n v="53332"/>
    <x v="382"/>
    <n v="36917"/>
    <s v="profit"/>
  </r>
  <r>
    <x v="171"/>
    <s v="november"/>
    <s v="Elite Edge Products"/>
    <x v="2"/>
    <x v="4"/>
    <s v="Bihar"/>
    <x v="0"/>
    <n v="23"/>
    <n v="531"/>
    <n v="1072"/>
    <n v="12213"/>
    <x v="383"/>
    <n v="12443"/>
    <s v="profit"/>
  </r>
  <r>
    <x v="172"/>
    <s v="november"/>
    <s v="Zenith Consulting Co."/>
    <x v="2"/>
    <x v="6"/>
    <s v="Gujarat"/>
    <x v="0"/>
    <n v="30"/>
    <n v="591"/>
    <n v="949"/>
    <n v="17730"/>
    <x v="384"/>
    <n v="10740"/>
    <s v="profit"/>
  </r>
  <r>
    <x v="173"/>
    <s v="november"/>
    <s v="Apex Wellness Products"/>
    <x v="2"/>
    <x v="6"/>
    <s v="Uttar Pradesh"/>
    <x v="0"/>
    <n v="29"/>
    <n v="621"/>
    <n v="1485"/>
    <n v="18009"/>
    <x v="385"/>
    <n v="25056"/>
    <s v="profit"/>
  </r>
  <r>
    <x v="175"/>
    <s v="december"/>
    <s v="Pure Harmony Innovations"/>
    <x v="2"/>
    <x v="6"/>
    <s v="Tamil Nadu"/>
    <x v="0"/>
    <n v="30"/>
    <n v="857"/>
    <n v="1455"/>
    <n v="25710"/>
    <x v="386"/>
    <n v="17940"/>
    <s v="profit"/>
  </r>
  <r>
    <x v="176"/>
    <s v="december"/>
    <s v="Legacy Media Group"/>
    <x v="2"/>
    <x v="6"/>
    <s v="Tamil Nadu"/>
    <x v="0"/>
    <n v="20"/>
    <n v="897"/>
    <n v="1024"/>
    <n v="17940"/>
    <x v="387"/>
    <n v="2540"/>
    <s v="profit"/>
  </r>
  <r>
    <x v="177"/>
    <s v="december"/>
    <s v="Horizon Tech Innovations"/>
    <x v="2"/>
    <x v="6"/>
    <s v="Uttar Pradesh"/>
    <x v="1"/>
    <n v="22"/>
    <n v="781"/>
    <n v="1423"/>
    <n v="17182"/>
    <x v="388"/>
    <n v="14124"/>
    <s v="profit"/>
  </r>
  <r>
    <x v="178"/>
    <s v="december"/>
    <s v="Crystal Spectrum Consulting"/>
    <x v="2"/>
    <x v="6"/>
    <s v="Jharkhand"/>
    <x v="1"/>
    <n v="20"/>
    <n v="854"/>
    <n v="956"/>
    <n v="17080"/>
    <x v="389"/>
    <n v="2040"/>
    <s v="profit"/>
  </r>
  <r>
    <x v="179"/>
    <s v="december"/>
    <s v="Stellar Creative Co."/>
    <x v="2"/>
    <x v="6"/>
    <s v="Kerala"/>
    <x v="1"/>
    <n v="26"/>
    <n v="909"/>
    <n v="1206"/>
    <n v="23634"/>
    <x v="390"/>
    <n v="7722"/>
    <s v="profit"/>
  </r>
  <r>
    <x v="181"/>
    <s v="december"/>
    <s v="Radiance Media Ventures"/>
    <x v="2"/>
    <x v="6"/>
    <s v="Maharashtra"/>
    <x v="0"/>
    <n v="20"/>
    <n v="976"/>
    <n v="905"/>
    <n v="19520"/>
    <x v="391"/>
    <n v="-1420"/>
    <s v="loss"/>
  </r>
  <r>
    <x v="182"/>
    <s v="december"/>
    <s v="Zenith Edge Services"/>
    <x v="2"/>
    <x v="6"/>
    <s v="Uttarakhand"/>
    <x v="1"/>
    <n v="24"/>
    <n v="787"/>
    <n v="1122"/>
    <n v="18888"/>
    <x v="392"/>
    <n v="8040"/>
    <s v="profit"/>
  </r>
  <r>
    <x v="183"/>
    <s v="february"/>
    <s v="Stellar Consulting Services"/>
    <x v="2"/>
    <x v="6"/>
    <s v="Maharashtra"/>
    <x v="0"/>
    <n v="23"/>
    <n v="755"/>
    <n v="806"/>
    <n v="17365"/>
    <x v="393"/>
    <n v="1173"/>
    <s v="profit"/>
  </r>
  <r>
    <x v="184"/>
    <s v="february"/>
    <s v="Radiant Ventures"/>
    <x v="2"/>
    <x v="6"/>
    <s v="Himachal Pradesh"/>
    <x v="0"/>
    <n v="26"/>
    <n v="573"/>
    <n v="1309"/>
    <n v="14898"/>
    <x v="394"/>
    <n v="19136"/>
    <s v="profit"/>
  </r>
  <r>
    <x v="185"/>
    <s v="february"/>
    <s v="Harmony Tech Co."/>
    <x v="2"/>
    <x v="6"/>
    <s v="Uttarakhand"/>
    <x v="0"/>
    <n v="30"/>
    <n v="946"/>
    <n v="1089"/>
    <n v="28380"/>
    <x v="395"/>
    <n v="4290"/>
    <s v="profit"/>
  </r>
  <r>
    <x v="187"/>
    <s v="february"/>
    <s v="Zenith Creative Ventures"/>
    <x v="2"/>
    <x v="6"/>
    <s v="Assam"/>
    <x v="1"/>
    <n v="22"/>
    <n v="679"/>
    <n v="1463"/>
    <n v="14938"/>
    <x v="396"/>
    <n v="17248"/>
    <s v="profit"/>
  </r>
  <r>
    <x v="188"/>
    <s v="february"/>
    <s v="Apex Health Services"/>
    <x v="2"/>
    <x v="6"/>
    <s v="Punjab"/>
    <x v="1"/>
    <n v="25"/>
    <n v="975"/>
    <n v="935"/>
    <n v="24375"/>
    <x v="397"/>
    <n v="-1000"/>
    <s v="loss"/>
  </r>
  <r>
    <x v="189"/>
    <s v="february"/>
    <s v="Pure Vision Media"/>
    <x v="2"/>
    <x v="6"/>
    <s v="Chhattisgarh"/>
    <x v="1"/>
    <n v="24"/>
    <n v="642"/>
    <n v="996"/>
    <n v="15408"/>
    <x v="398"/>
    <n v="8496"/>
    <s v="profit"/>
  </r>
  <r>
    <x v="63"/>
    <s v="june"/>
    <s v="Radiant Enterprise Solutions"/>
    <x v="0"/>
    <x v="0"/>
    <s v="West Bengal"/>
    <x v="0"/>
    <n v="14"/>
    <n v="603"/>
    <n v="1104"/>
    <n v="8442"/>
    <x v="399"/>
    <n v="7014"/>
    <s v="profit"/>
  </r>
  <r>
    <x v="191"/>
    <s v="february"/>
    <s v="Legacy Innovations Group"/>
    <x v="2"/>
    <x v="6"/>
    <s v="West Bengal"/>
    <x v="1"/>
    <n v="29"/>
    <n v="598"/>
    <n v="923"/>
    <n v="17342"/>
    <x v="400"/>
    <n v="9425"/>
    <s v="profit"/>
  </r>
  <r>
    <x v="192"/>
    <s v="february"/>
    <s v="Pinnacle Consulting Co."/>
    <x v="2"/>
    <x v="6"/>
    <s v="West Bengal"/>
    <x v="1"/>
    <n v="22"/>
    <n v="719"/>
    <n v="1079"/>
    <n v="15818"/>
    <x v="401"/>
    <n v="7920"/>
    <s v="profit"/>
  </r>
  <r>
    <x v="193"/>
    <s v="february"/>
    <s v="Stellar Finance Group"/>
    <x v="2"/>
    <x v="6"/>
    <s v="Madhya Pradesh"/>
    <x v="0"/>
    <n v="30"/>
    <n v="716"/>
    <n v="956"/>
    <n v="21480"/>
    <x v="402"/>
    <n v="7200"/>
    <s v="profit"/>
  </r>
  <r>
    <x v="194"/>
    <s v="february"/>
    <s v="Harmony Ventures Group"/>
    <x v="2"/>
    <x v="6"/>
    <s v="Gujarat"/>
    <x v="0"/>
    <n v="29"/>
    <n v="623"/>
    <n v="919"/>
    <n v="18067"/>
    <x v="403"/>
    <n v="8584"/>
    <s v="profit"/>
  </r>
  <r>
    <x v="78"/>
    <s v="april"/>
    <s v="Bharat Innovations"/>
    <x v="2"/>
    <x v="3"/>
    <s v="Delhi"/>
    <x v="1"/>
    <n v="21"/>
    <n v="553"/>
    <n v="1459"/>
    <n v="11613"/>
    <x v="404"/>
    <n v="19026"/>
    <s v="profit"/>
  </r>
  <r>
    <x v="64"/>
    <s v="june"/>
    <s v="Infinite Solutions"/>
    <x v="1"/>
    <x v="5"/>
    <s v="Maharashtra"/>
    <x v="0"/>
    <n v="77"/>
    <n v="923"/>
    <n v="1132"/>
    <n v="71071"/>
    <x v="405"/>
    <n v="16093"/>
    <s v="profit"/>
  </r>
  <r>
    <x v="79"/>
    <s v="april"/>
    <s v="Green Leaf Enterprises"/>
    <x v="2"/>
    <x v="8"/>
    <s v="Maharashtra"/>
    <x v="1"/>
    <n v="30"/>
    <n v="719"/>
    <n v="1162"/>
    <n v="21570"/>
    <x v="406"/>
    <n v="13290"/>
    <s v="profit"/>
  </r>
  <r>
    <x v="80"/>
    <s v="april"/>
    <s v="Urban Pulse Technologies"/>
    <x v="2"/>
    <x v="8"/>
    <s v="West Bengal"/>
    <x v="1"/>
    <n v="25"/>
    <n v="980"/>
    <n v="926"/>
    <n v="24500"/>
    <x v="407"/>
    <n v="-1350"/>
    <s v="loss"/>
  </r>
  <r>
    <x v="82"/>
    <s v="april"/>
    <s v="Mystic India Exports"/>
    <x v="2"/>
    <x v="8"/>
    <s v="Tamil Nadu"/>
    <x v="1"/>
    <n v="22"/>
    <n v="718"/>
    <n v="1335"/>
    <n v="15796"/>
    <x v="408"/>
    <n v="13574"/>
    <s v="profit"/>
  </r>
  <r>
    <x v="83"/>
    <s v="april"/>
    <s v="Pure Essence Skincare"/>
    <x v="2"/>
    <x v="3"/>
    <s v="Rajasthan"/>
    <x v="0"/>
    <n v="30"/>
    <n v="520"/>
    <n v="1251"/>
    <n v="15600"/>
    <x v="409"/>
    <n v="21930"/>
    <s v="profit"/>
  </r>
  <r>
    <x v="84"/>
    <s v="april"/>
    <s v="Zenith Construction Co."/>
    <x v="2"/>
    <x v="3"/>
    <s v="Gujarat"/>
    <x v="0"/>
    <n v="26"/>
    <n v="808"/>
    <n v="1135"/>
    <n v="21008"/>
    <x v="410"/>
    <n v="8502"/>
    <s v="profit"/>
  </r>
  <r>
    <x v="85"/>
    <s v="april"/>
    <s v="Radiant Health Systems"/>
    <x v="2"/>
    <x v="3"/>
    <s v="Uttar Pradesh"/>
    <x v="0"/>
    <n v="23"/>
    <n v="504"/>
    <n v="1328"/>
    <n v="11592"/>
    <x v="411"/>
    <n v="18952"/>
    <s v="profit"/>
  </r>
  <r>
    <x v="87"/>
    <s v="april"/>
    <s v="Divine Creations"/>
    <x v="2"/>
    <x v="3"/>
    <s v="Uttar Pradesh"/>
    <x v="0"/>
    <n v="28"/>
    <n v="918"/>
    <n v="808"/>
    <n v="25704"/>
    <x v="412"/>
    <n v="-3080"/>
    <s v="loss"/>
  </r>
  <r>
    <x v="88"/>
    <s v="april"/>
    <s v="True Path Logistics"/>
    <x v="2"/>
    <x v="3"/>
    <s v="Madhya Pradesh"/>
    <x v="0"/>
    <n v="27"/>
    <n v="966"/>
    <n v="850"/>
    <n v="26082"/>
    <x v="7"/>
    <n v="-3132"/>
    <s v="loss"/>
  </r>
  <r>
    <x v="90"/>
    <s v="april"/>
    <s v="Prestige Automobiles"/>
    <x v="2"/>
    <x v="4"/>
    <s v="Uttar Pradesh"/>
    <x v="1"/>
    <n v="20"/>
    <n v="664"/>
    <n v="924"/>
    <n v="13280"/>
    <x v="26"/>
    <n v="5200"/>
    <s v="profit"/>
  </r>
  <r>
    <x v="92"/>
    <s v="april"/>
    <s v="Natural Bliss Beverages"/>
    <x v="2"/>
    <x v="4"/>
    <s v="Tamil Nadu"/>
    <x v="1"/>
    <n v="26"/>
    <n v="608"/>
    <n v="1125"/>
    <n v="15808"/>
    <x v="413"/>
    <n v="13442"/>
    <s v="profit"/>
  </r>
  <r>
    <x v="65"/>
    <s v="july"/>
    <s v="Synergy Solutions Group"/>
    <x v="0"/>
    <x v="2"/>
    <s v="Maharashtra"/>
    <x v="0"/>
    <n v="19"/>
    <n v="860"/>
    <n v="1234"/>
    <n v="16340"/>
    <x v="414"/>
    <n v="7106"/>
    <s v="profit"/>
  </r>
  <r>
    <x v="94"/>
    <s v="april"/>
    <s v="Modern Trends Fashion"/>
    <x v="2"/>
    <x v="4"/>
    <s v="Uttar Pradesh"/>
    <x v="0"/>
    <n v="24"/>
    <n v="826"/>
    <n v="975"/>
    <n v="19824"/>
    <x v="138"/>
    <n v="3576"/>
    <s v="profit"/>
  </r>
  <r>
    <x v="95"/>
    <s v="april"/>
    <s v="Heritage Crafts"/>
    <x v="2"/>
    <x v="4"/>
    <s v="Jharkhand"/>
    <x v="0"/>
    <n v="24"/>
    <n v="877"/>
    <n v="762"/>
    <n v="21048"/>
    <x v="415"/>
    <n v="-2760"/>
    <s v="loss"/>
  </r>
  <r>
    <x v="96"/>
    <s v="april"/>
    <s v="Future Insights Analytics"/>
    <x v="2"/>
    <x v="4"/>
    <s v="Kerala"/>
    <x v="0"/>
    <n v="23"/>
    <n v="736"/>
    <n v="872"/>
    <n v="16928"/>
    <x v="416"/>
    <n v="3128"/>
    <s v="profit"/>
  </r>
  <r>
    <x v="97"/>
    <s v="april"/>
    <s v="Emerald Estate Developers"/>
    <x v="2"/>
    <x v="4"/>
    <s v="Maharashtra"/>
    <x v="0"/>
    <n v="27"/>
    <n v="828"/>
    <n v="1008"/>
    <n v="22356"/>
    <x v="417"/>
    <n v="4860"/>
    <s v="profit"/>
  </r>
  <r>
    <x v="98"/>
    <s v="april"/>
    <s v="Starlight Media Group"/>
    <x v="2"/>
    <x v="4"/>
    <s v="Himachal Pradesh"/>
    <x v="0"/>
    <n v="28"/>
    <n v="901"/>
    <n v="1260"/>
    <n v="25228"/>
    <x v="418"/>
    <n v="10052"/>
    <s v="profit"/>
  </r>
  <r>
    <x v="99"/>
    <s v="may"/>
    <s v="Supreme Electronics"/>
    <x v="2"/>
    <x v="4"/>
    <s v="Uttarakhand"/>
    <x v="0"/>
    <n v="28"/>
    <n v="796"/>
    <n v="1407"/>
    <n v="22288"/>
    <x v="419"/>
    <n v="17108"/>
    <s v="profit"/>
  </r>
  <r>
    <x v="100"/>
    <s v="may"/>
    <s v="Optimum Wellness"/>
    <x v="2"/>
    <x v="4"/>
    <s v="Assam"/>
    <x v="1"/>
    <n v="27"/>
    <n v="794"/>
    <n v="905"/>
    <n v="21438"/>
    <x v="420"/>
    <n v="2997"/>
    <s v="profit"/>
  </r>
  <r>
    <x v="101"/>
    <s v="may"/>
    <s v="Zenith Books Publishing"/>
    <x v="2"/>
    <x v="4"/>
    <s v="Punjab"/>
    <x v="1"/>
    <n v="20"/>
    <n v="812"/>
    <n v="1248"/>
    <n v="16240"/>
    <x v="421"/>
    <n v="8720"/>
    <s v="profit"/>
  </r>
  <r>
    <x v="102"/>
    <s v="may"/>
    <s v="Pinnacle Innovations"/>
    <x v="2"/>
    <x v="4"/>
    <s v="Chhattisgarh"/>
    <x v="1"/>
    <n v="20"/>
    <n v="908"/>
    <n v="1130"/>
    <n v="18160"/>
    <x v="422"/>
    <n v="4440"/>
    <s v="profit"/>
  </r>
  <r>
    <x v="103"/>
    <s v="may"/>
    <s v="Apex Travel Services"/>
    <x v="2"/>
    <x v="4"/>
    <s v="West Bengal"/>
    <x v="1"/>
    <n v="23"/>
    <n v="846"/>
    <n v="1143"/>
    <n v="19458"/>
    <x v="423"/>
    <n v="6831"/>
    <s v="profit"/>
  </r>
  <r>
    <x v="104"/>
    <s v="may"/>
    <s v="Golden Era Realty"/>
    <x v="2"/>
    <x v="4"/>
    <s v="West Bengal"/>
    <x v="0"/>
    <n v="25"/>
    <n v="627"/>
    <n v="1071"/>
    <n v="15675"/>
    <x v="296"/>
    <n v="11100"/>
    <s v="profit"/>
  </r>
  <r>
    <x v="106"/>
    <s v="may"/>
    <s v="Radiant Jewelry"/>
    <x v="2"/>
    <x v="6"/>
    <s v="Madhya Pradesh"/>
    <x v="0"/>
    <n v="27"/>
    <n v="817"/>
    <n v="977"/>
    <n v="22059"/>
    <x v="424"/>
    <n v="4320"/>
    <s v="profit"/>
  </r>
  <r>
    <x v="66"/>
    <s v="july"/>
    <s v="Horizon Tech Solutions"/>
    <x v="2"/>
    <x v="6"/>
    <s v="Uttar Pradesh"/>
    <x v="0"/>
    <n v="29"/>
    <n v="929"/>
    <n v="1429"/>
    <n v="26941"/>
    <x v="425"/>
    <n v="14500"/>
    <s v="profit"/>
  </r>
  <r>
    <x v="107"/>
    <s v="may"/>
    <s v="Infinity Ventures"/>
    <x v="2"/>
    <x v="6"/>
    <s v="Jharkhand"/>
    <x v="0"/>
    <n v="27"/>
    <n v="675"/>
    <n v="1138"/>
    <n v="18225"/>
    <x v="426"/>
    <n v="12501"/>
    <s v="profit"/>
  </r>
  <r>
    <x v="109"/>
    <s v="may"/>
    <s v="Royal Taste Foods"/>
    <x v="2"/>
    <x v="6"/>
    <s v="West Bengal"/>
    <x v="0"/>
    <n v="22"/>
    <n v="695"/>
    <n v="830"/>
    <n v="15290"/>
    <x v="427"/>
    <n v="2970"/>
    <s v="profit"/>
  </r>
  <r>
    <x v="110"/>
    <s v="may"/>
    <s v="Harmony Homes"/>
    <x v="2"/>
    <x v="6"/>
    <s v="Karnataka"/>
    <x v="0"/>
    <n v="21"/>
    <n v="781"/>
    <n v="816"/>
    <n v="16401"/>
    <x v="89"/>
    <n v="735"/>
    <s v="profit"/>
  </r>
  <r>
    <x v="111"/>
    <s v="may"/>
    <s v="Urban Edge Consulting"/>
    <x v="2"/>
    <x v="6"/>
    <s v="Delhi"/>
    <x v="0"/>
    <n v="25"/>
    <n v="517"/>
    <n v="939"/>
    <n v="12925"/>
    <x v="428"/>
    <n v="10550"/>
    <s v="profit"/>
  </r>
  <r>
    <x v="112"/>
    <s v="may"/>
    <s v="Prime Tech Innovations"/>
    <x v="2"/>
    <x v="6"/>
    <s v="Maharashtra"/>
    <x v="0"/>
    <n v="24"/>
    <n v="730"/>
    <n v="886"/>
    <n v="17520"/>
    <x v="429"/>
    <n v="3744"/>
    <s v="profit"/>
  </r>
  <r>
    <x v="114"/>
    <s v="may"/>
    <s v="Legacy Designs"/>
    <x v="2"/>
    <x v="6"/>
    <s v="West Bengal"/>
    <x v="0"/>
    <n v="23"/>
    <n v="811"/>
    <n v="1142"/>
    <n v="18653"/>
    <x v="430"/>
    <n v="7613"/>
    <s v="profit"/>
  </r>
  <r>
    <x v="115"/>
    <s v="may"/>
    <s v="Virtue Enterprises"/>
    <x v="2"/>
    <x v="6"/>
    <s v="Tamil Nadu"/>
    <x v="0"/>
    <n v="21"/>
    <n v="967"/>
    <n v="888"/>
    <n v="20307"/>
    <x v="431"/>
    <n v="-1659"/>
    <s v="loss"/>
  </r>
  <r>
    <x v="116"/>
    <s v="may"/>
    <s v="Radiant Health Club"/>
    <x v="2"/>
    <x v="6"/>
    <s v="Karnataka"/>
    <x v="0"/>
    <n v="29"/>
    <n v="655"/>
    <n v="950"/>
    <n v="18995"/>
    <x v="432"/>
    <n v="8555"/>
    <s v="profit"/>
  </r>
  <r>
    <x v="118"/>
    <s v="may"/>
    <s v="Bright Horizon Ventures"/>
    <x v="2"/>
    <x v="6"/>
    <s v="Telangana"/>
    <x v="1"/>
    <n v="30"/>
    <n v="616"/>
    <n v="804"/>
    <n v="18480"/>
    <x v="433"/>
    <n v="5640"/>
    <s v="profit"/>
  </r>
  <r>
    <x v="120"/>
    <s v="may"/>
    <s v="Modern Lifestyle Products"/>
    <x v="2"/>
    <x v="6"/>
    <s v="Gujarat"/>
    <x v="1"/>
    <n v="30"/>
    <n v="709"/>
    <n v="1209"/>
    <n v="21270"/>
    <x v="434"/>
    <n v="15000"/>
    <s v="profit"/>
  </r>
  <r>
    <x v="121"/>
    <s v="may"/>
    <s v="Nexus Trading Co."/>
    <x v="2"/>
    <x v="6"/>
    <s v="Maharashtra"/>
    <x v="1"/>
    <n v="23"/>
    <n v="875"/>
    <n v="843"/>
    <n v="20125"/>
    <x v="435"/>
    <n v="-736"/>
    <s v="loss"/>
  </r>
  <r>
    <x v="122"/>
    <s v="july"/>
    <s v="Radiance Health and Wellness"/>
    <x v="2"/>
    <x v="6"/>
    <s v="Uttar Pradesh"/>
    <x v="1"/>
    <n v="26"/>
    <n v="766"/>
    <n v="836"/>
    <n v="19916"/>
    <x v="436"/>
    <n v="1820"/>
    <s v="profit"/>
  </r>
  <r>
    <x v="123"/>
    <s v="july"/>
    <s v="Legacy Auto Works"/>
    <x v="2"/>
    <x v="6"/>
    <s v="Tamil Nadu"/>
    <x v="1"/>
    <n v="23"/>
    <n v="589"/>
    <n v="982"/>
    <n v="13547"/>
    <x v="437"/>
    <n v="9039"/>
    <s v="profit"/>
  </r>
  <r>
    <x v="124"/>
    <s v="july"/>
    <s v="Prime Essence Creations"/>
    <x v="2"/>
    <x v="6"/>
    <s v="Tamil Nadu"/>
    <x v="1"/>
    <n v="24"/>
    <n v="718"/>
    <n v="1218"/>
    <n v="17232"/>
    <x v="438"/>
    <n v="12000"/>
    <s v="profit"/>
  </r>
  <r>
    <x v="125"/>
    <s v="july"/>
    <s v="Quantum Ventures"/>
    <x v="2"/>
    <x v="6"/>
    <s v="Rajasthan"/>
    <x v="1"/>
    <n v="22"/>
    <n v="877"/>
    <n v="1120"/>
    <n v="19294"/>
    <x v="439"/>
    <n v="5346"/>
    <s v="profit"/>
  </r>
  <r>
    <x v="126"/>
    <s v="july"/>
    <s v="Urban Legends Apparel"/>
    <x v="2"/>
    <x v="6"/>
    <s v="Jharkhand"/>
    <x v="0"/>
    <n v="23"/>
    <n v="641"/>
    <n v="1445"/>
    <n v="14743"/>
    <x v="440"/>
    <n v="18492"/>
    <s v="profit"/>
  </r>
  <r>
    <x v="127"/>
    <s v="july"/>
    <s v="Pure Bliss Beverages"/>
    <x v="2"/>
    <x v="6"/>
    <s v="Kerala"/>
    <x v="0"/>
    <n v="30"/>
    <n v="916"/>
    <n v="1497"/>
    <n v="27480"/>
    <x v="441"/>
    <n v="17430"/>
    <s v="profit"/>
  </r>
  <r>
    <x v="128"/>
    <s v="july"/>
    <s v="Noble Heights Builders"/>
    <x v="2"/>
    <x v="6"/>
    <s v="Maharashtra"/>
    <x v="0"/>
    <n v="28"/>
    <n v="588"/>
    <n v="784"/>
    <n v="16464"/>
    <x v="442"/>
    <n v="5488"/>
    <s v="profit"/>
  </r>
  <r>
    <x v="67"/>
    <s v="august"/>
    <s v="Apex Wellness Solutions"/>
    <x v="1"/>
    <x v="7"/>
    <s v="Karnataka"/>
    <x v="1"/>
    <n v="60"/>
    <n v="642"/>
    <n v="1497"/>
    <n v="38520"/>
    <x v="443"/>
    <n v="51300"/>
    <s v="profit"/>
  </r>
  <r>
    <x v="130"/>
    <s v="july"/>
    <s v="Radiant Foods"/>
    <x v="2"/>
    <x v="6"/>
    <s v="Himachal Pradesh"/>
    <x v="0"/>
    <n v="26"/>
    <n v="969"/>
    <n v="1087"/>
    <n v="25194"/>
    <x v="444"/>
    <n v="3068"/>
    <s v="profit"/>
  </r>
  <r>
    <x v="131"/>
    <s v="july"/>
    <s v="Zenith Financial Services"/>
    <x v="2"/>
    <x v="6"/>
    <s v="Uttarakhand"/>
    <x v="0"/>
    <n v="25"/>
    <n v="839"/>
    <n v="1233"/>
    <n v="20975"/>
    <x v="445"/>
    <n v="9850"/>
    <s v="profit"/>
  </r>
  <r>
    <x v="133"/>
    <s v="july"/>
    <s v="Apex Travel Ventures"/>
    <x v="2"/>
    <x v="6"/>
    <s v="Assam"/>
    <x v="0"/>
    <n v="25"/>
    <n v="536"/>
    <n v="1407"/>
    <n v="13400"/>
    <x v="446"/>
    <n v="21775"/>
    <s v="profit"/>
  </r>
  <r>
    <x v="134"/>
    <s v="august"/>
    <s v="Future Vision Realty"/>
    <x v="2"/>
    <x v="6"/>
    <s v="Maharashtra"/>
    <x v="1"/>
    <n v="27"/>
    <n v="966"/>
    <n v="1255"/>
    <n v="26082"/>
    <x v="372"/>
    <n v="7803"/>
    <s v="profit"/>
  </r>
  <r>
    <x v="68"/>
    <s v="august"/>
    <s v="Radiance Tech Solutions"/>
    <x v="0"/>
    <x v="2"/>
    <s v="Gujarat"/>
    <x v="0"/>
    <n v="20"/>
    <n v="525"/>
    <n v="1122"/>
    <n v="10500"/>
    <x v="447"/>
    <n v="11940"/>
    <s v="profit"/>
  </r>
  <r>
    <x v="135"/>
    <s v="august"/>
    <s v="Urban Pulse Media"/>
    <x v="2"/>
    <x v="6"/>
    <s v="Chandigarh"/>
    <x v="1"/>
    <n v="23"/>
    <n v="694"/>
    <n v="1309"/>
    <n v="15962"/>
    <x v="448"/>
    <n v="14145"/>
    <s v="profit"/>
  </r>
  <r>
    <x v="136"/>
    <s v="august"/>
    <s v="True Essence Health"/>
    <x v="2"/>
    <x v="6"/>
    <s v="Madhya Pradesh"/>
    <x v="0"/>
    <n v="22"/>
    <n v="749"/>
    <n v="850"/>
    <n v="16478"/>
    <x v="449"/>
    <n v="2222"/>
    <s v="profit"/>
  </r>
  <r>
    <x v="138"/>
    <s v="august"/>
    <s v="Radiant Vision Realty"/>
    <x v="2"/>
    <x v="6"/>
    <s v="Bihar"/>
    <x v="1"/>
    <n v="24"/>
    <n v="845"/>
    <n v="1429"/>
    <n v="20280"/>
    <x v="450"/>
    <n v="14016"/>
    <s v="profit"/>
  </r>
  <r>
    <x v="139"/>
    <s v="august"/>
    <s v="Harmony Consulting Group"/>
    <x v="2"/>
    <x v="6"/>
    <s v="Gujarat"/>
    <x v="1"/>
    <n v="29"/>
    <n v="872"/>
    <n v="1351"/>
    <n v="25288"/>
    <x v="451"/>
    <n v="13891"/>
    <s v="profit"/>
  </r>
  <r>
    <x v="141"/>
    <s v="august"/>
    <s v="Zenith Tech Ventures"/>
    <x v="2"/>
    <x v="6"/>
    <s v="Uttar Pradesh"/>
    <x v="1"/>
    <n v="27"/>
    <n v="674"/>
    <n v="1119"/>
    <n v="18198"/>
    <x v="452"/>
    <n v="12015"/>
    <s v="profit"/>
  </r>
  <r>
    <x v="142"/>
    <s v="august"/>
    <s v="Stellar Health Services"/>
    <x v="2"/>
    <x v="6"/>
    <s v="Uttar Pradesh"/>
    <x v="0"/>
    <n v="27"/>
    <n v="583"/>
    <n v="1379"/>
    <n v="15741"/>
    <x v="453"/>
    <n v="21492"/>
    <s v="profit"/>
  </r>
  <r>
    <x v="143"/>
    <s v="august"/>
    <s v="Pure Path Foods"/>
    <x v="2"/>
    <x v="6"/>
    <s v="Tamil Nadu"/>
    <x v="0"/>
    <n v="21"/>
    <n v="929"/>
    <n v="910"/>
    <n v="19509"/>
    <x v="454"/>
    <n v="-399"/>
    <s v="loss"/>
  </r>
  <r>
    <x v="69"/>
    <s v="august"/>
    <s v="Apex Enterprise Solutions"/>
    <x v="2"/>
    <x v="6"/>
    <s v="Andhra Pradesh"/>
    <x v="1"/>
    <n v="23"/>
    <n v="884"/>
    <n v="1392"/>
    <n v="20332"/>
    <x v="455"/>
    <n v="11684"/>
    <s v="profit"/>
  </r>
  <r>
    <x v="144"/>
    <s v="august"/>
    <s v="Bright Horizon Realty"/>
    <x v="2"/>
    <x v="6"/>
    <s v="Rajasthan"/>
    <x v="0"/>
    <n v="28"/>
    <n v="873"/>
    <n v="809"/>
    <n v="24444"/>
    <x v="456"/>
    <n v="-1792"/>
    <s v="loss"/>
  </r>
  <r>
    <x v="146"/>
    <s v="october"/>
    <s v="Crystal Clear Consulting"/>
    <x v="2"/>
    <x v="8"/>
    <s v="Rajasthan"/>
    <x v="0"/>
    <n v="21"/>
    <n v="541"/>
    <n v="1339"/>
    <n v="11361"/>
    <x v="457"/>
    <n v="16758"/>
    <s v="profit"/>
  </r>
  <r>
    <x v="147"/>
    <s v="october"/>
    <s v="Zenith Innovations"/>
    <x v="2"/>
    <x v="8"/>
    <s v="Jharkhand"/>
    <x v="1"/>
    <n v="22"/>
    <n v="725"/>
    <n v="1268"/>
    <n v="15950"/>
    <x v="458"/>
    <n v="11946"/>
    <s v="profit"/>
  </r>
  <r>
    <x v="148"/>
    <s v="october"/>
    <s v="True Essence Innovations"/>
    <x v="2"/>
    <x v="3"/>
    <s v="Assam"/>
    <x v="1"/>
    <n v="21"/>
    <n v="596"/>
    <n v="838"/>
    <n v="12516"/>
    <x v="459"/>
    <n v="5082"/>
    <s v="profit"/>
  </r>
  <r>
    <x v="150"/>
    <s v="november"/>
    <s v="Pinnacle Media Group"/>
    <x v="2"/>
    <x v="3"/>
    <s v="Punjab"/>
    <x v="1"/>
    <n v="30"/>
    <n v="910"/>
    <n v="1290"/>
    <n v="27300"/>
    <x v="460"/>
    <n v="11400"/>
    <s v="profit"/>
  </r>
  <r>
    <x v="70"/>
    <s v="august"/>
    <s v="Prestige Solutions"/>
    <x v="2"/>
    <x v="6"/>
    <s v="Tamil Nadu"/>
    <x v="0"/>
    <n v="20"/>
    <n v="997"/>
    <n v="784"/>
    <n v="19940"/>
    <x v="43"/>
    <n v="-4260"/>
    <s v="loss"/>
  </r>
  <r>
    <x v="152"/>
    <s v="november"/>
    <s v="Legacy Design Co."/>
    <x v="2"/>
    <x v="3"/>
    <s v="Chhattisgarh"/>
    <x v="1"/>
    <n v="25"/>
    <n v="532"/>
    <n v="1358"/>
    <n v="13300"/>
    <x v="461"/>
    <n v="20650"/>
    <s v="profit"/>
  </r>
  <r>
    <x v="153"/>
    <s v="november"/>
    <s v="Apex Health Products"/>
    <x v="2"/>
    <x v="3"/>
    <s v="West Bengal"/>
    <x v="0"/>
    <n v="29"/>
    <n v="813"/>
    <n v="1241"/>
    <n v="23577"/>
    <x v="462"/>
    <n v="12412"/>
    <s v="profit"/>
  </r>
  <r>
    <x v="154"/>
    <s v="november"/>
    <s v="Zenith Travel Ventures"/>
    <x v="2"/>
    <x v="3"/>
    <s v="West Bengal"/>
    <x v="0"/>
    <n v="28"/>
    <n v="858"/>
    <n v="1127"/>
    <n v="24024"/>
    <x v="463"/>
    <n v="7532"/>
    <s v="profit"/>
  </r>
  <r>
    <x v="155"/>
    <s v="november"/>
    <s v="Pure Path Consulting"/>
    <x v="2"/>
    <x v="3"/>
    <s v="Madhya Pradesh"/>
    <x v="0"/>
    <n v="24"/>
    <n v="641"/>
    <n v="1337"/>
    <n v="15384"/>
    <x v="464"/>
    <n v="16704"/>
    <s v="profit"/>
  </r>
  <r>
    <x v="157"/>
    <s v="november"/>
    <s v="Harmony Educational Group"/>
    <x v="2"/>
    <x v="4"/>
    <s v="Karnataka"/>
    <x v="1"/>
    <n v="25"/>
    <n v="709"/>
    <n v="1386"/>
    <n v="17725"/>
    <x v="465"/>
    <n v="16925"/>
    <s v="profit"/>
  </r>
  <r>
    <x v="158"/>
    <s v="november"/>
    <s v="Radiant Design Studio"/>
    <x v="2"/>
    <x v="4"/>
    <s v="Gujarat"/>
    <x v="1"/>
    <n v="25"/>
    <n v="802"/>
    <n v="1126"/>
    <n v="20050"/>
    <x v="466"/>
    <n v="8100"/>
    <s v="profit"/>
  </r>
  <r>
    <x v="159"/>
    <s v="november"/>
    <s v="Zenith Health Innovations"/>
    <x v="2"/>
    <x v="4"/>
    <s v="Maharashtra"/>
    <x v="1"/>
    <n v="23"/>
    <n v="893"/>
    <n v="761"/>
    <n v="20539"/>
    <x v="467"/>
    <n v="-3036"/>
    <s v="loss"/>
  </r>
  <r>
    <x v="160"/>
    <s v="november"/>
    <s v="Apex Realty Ventures"/>
    <x v="2"/>
    <x v="4"/>
    <s v="Rajasthan"/>
    <x v="1"/>
    <n v="29"/>
    <n v="852"/>
    <n v="1452"/>
    <n v="24708"/>
    <x v="468"/>
    <n v="17400"/>
    <s v="profit"/>
  </r>
  <r>
    <x v="71"/>
    <s v="august"/>
    <s v="Urban Wave Solutions"/>
    <x v="1"/>
    <x v="5"/>
    <s v="Punjab"/>
    <x v="1"/>
    <n v="64"/>
    <n v="580"/>
    <n v="1164"/>
    <n v="37120"/>
    <x v="469"/>
    <n v="37376"/>
    <s v="profit"/>
  </r>
  <r>
    <x v="161"/>
    <s v="november"/>
    <s v="True Value Ventures"/>
    <x v="2"/>
    <x v="4"/>
    <s v="Uttar Pradesh"/>
    <x v="0"/>
    <n v="23"/>
    <n v="747"/>
    <n v="1340"/>
    <n v="17181"/>
    <x v="470"/>
    <n v="13639"/>
    <s v="profit"/>
  </r>
  <r>
    <x v="162"/>
    <s v="november"/>
    <s v="Crystal Clear Designs"/>
    <x v="2"/>
    <x v="4"/>
    <s v="Maharashtra"/>
    <x v="1"/>
    <n v="26"/>
    <n v="625"/>
    <n v="1298"/>
    <n v="16250"/>
    <x v="471"/>
    <n v="17498"/>
    <s v="profit"/>
  </r>
  <r>
    <x v="164"/>
    <s v="november"/>
    <s v="Pinnacle Innovations Co."/>
    <x v="2"/>
    <x v="4"/>
    <s v="Madhya Pradesh"/>
    <x v="1"/>
    <n v="23"/>
    <n v="706"/>
    <n v="988"/>
    <n v="16238"/>
    <x v="472"/>
    <n v="6486"/>
    <s v="profit"/>
  </r>
  <r>
    <x v="166"/>
    <s v="november"/>
    <s v="Modern Pathways"/>
    <x v="2"/>
    <x v="4"/>
    <s v="Maharashtra"/>
    <x v="1"/>
    <n v="28"/>
    <n v="858"/>
    <n v="1113"/>
    <n v="24024"/>
    <x v="473"/>
    <n v="7140"/>
    <s v="profit"/>
  </r>
  <r>
    <x v="72"/>
    <s v="september"/>
    <s v="Visionary Realty Solutions"/>
    <x v="1"/>
    <x v="7"/>
    <s v="Jharkhand"/>
    <x v="0"/>
    <n v="52"/>
    <n v="893"/>
    <n v="1055"/>
    <n v="46436"/>
    <x v="474"/>
    <n v="8424"/>
    <s v="profit"/>
  </r>
  <r>
    <x v="168"/>
    <s v="november"/>
    <s v="Stellar Finance Co."/>
    <x v="2"/>
    <x v="4"/>
    <s v="Chandigarh"/>
    <x v="1"/>
    <n v="24"/>
    <n v="736"/>
    <n v="1406"/>
    <n v="17664"/>
    <x v="475"/>
    <n v="16080"/>
    <s v="profit"/>
  </r>
  <r>
    <x v="169"/>
    <s v="november"/>
    <s v="Radiant Spectrum Group"/>
    <x v="2"/>
    <x v="4"/>
    <s v="Madhya Pradesh"/>
    <x v="1"/>
    <n v="20"/>
    <n v="599"/>
    <n v="1023"/>
    <n v="11980"/>
    <x v="476"/>
    <n v="8480"/>
    <s v="profit"/>
  </r>
  <r>
    <x v="170"/>
    <s v="november"/>
    <s v="Harmony Design Ventures"/>
    <x v="2"/>
    <x v="4"/>
    <s v="Andhra Pradesh"/>
    <x v="0"/>
    <n v="22"/>
    <n v="524"/>
    <n v="1147"/>
    <n v="11528"/>
    <x v="477"/>
    <n v="13706"/>
    <s v="profit"/>
  </r>
  <r>
    <x v="171"/>
    <s v="november"/>
    <s v="Elite Edge Products"/>
    <x v="2"/>
    <x v="4"/>
    <s v="Bihar"/>
    <x v="0"/>
    <n v="27"/>
    <n v="744"/>
    <n v="1253"/>
    <n v="20088"/>
    <x v="478"/>
    <n v="13743"/>
    <s v="profit"/>
  </r>
  <r>
    <x v="172"/>
    <s v="november"/>
    <s v="Zenith Consulting Co."/>
    <x v="2"/>
    <x v="6"/>
    <s v="Gujarat"/>
    <x v="0"/>
    <n v="27"/>
    <n v="826"/>
    <n v="917"/>
    <n v="22302"/>
    <x v="479"/>
    <n v="2457"/>
    <s v="profit"/>
  </r>
  <r>
    <x v="173"/>
    <s v="november"/>
    <s v="Apex Wellness Products"/>
    <x v="2"/>
    <x v="6"/>
    <s v="Uttar Pradesh"/>
    <x v="0"/>
    <n v="27"/>
    <n v="573"/>
    <n v="1266"/>
    <n v="15471"/>
    <x v="480"/>
    <n v="18711"/>
    <s v="profit"/>
  </r>
  <r>
    <x v="175"/>
    <s v="december"/>
    <s v="Pure Harmony Innovations"/>
    <x v="2"/>
    <x v="6"/>
    <s v="Tamil Nadu"/>
    <x v="0"/>
    <n v="28"/>
    <n v="798"/>
    <n v="1131"/>
    <n v="22344"/>
    <x v="481"/>
    <n v="9324"/>
    <s v="profit"/>
  </r>
  <r>
    <x v="176"/>
    <s v="december"/>
    <s v="Legacy Media Group"/>
    <x v="2"/>
    <x v="6"/>
    <s v="Tamil Nadu"/>
    <x v="0"/>
    <n v="25"/>
    <n v="982"/>
    <n v="1479"/>
    <n v="24550"/>
    <x v="482"/>
    <n v="12425"/>
    <s v="profit"/>
  </r>
  <r>
    <x v="73"/>
    <s v="september"/>
    <s v="Pure Essence Solutions"/>
    <x v="0"/>
    <x v="2"/>
    <s v="Gujarat"/>
    <x v="0"/>
    <n v="19"/>
    <n v="938"/>
    <n v="1348"/>
    <n v="17822"/>
    <x v="483"/>
    <n v="7790"/>
    <s v="profit"/>
  </r>
  <r>
    <x v="177"/>
    <s v="december"/>
    <s v="Horizon Tech Innovations"/>
    <x v="2"/>
    <x v="6"/>
    <s v="Uttar Pradesh"/>
    <x v="1"/>
    <n v="29"/>
    <n v="841"/>
    <n v="854"/>
    <n v="24389"/>
    <x v="484"/>
    <n v="377"/>
    <s v="profit"/>
  </r>
  <r>
    <x v="178"/>
    <s v="december"/>
    <s v="Crystal Spectrum Consulting"/>
    <x v="2"/>
    <x v="6"/>
    <s v="Jharkhand"/>
    <x v="1"/>
    <n v="21"/>
    <n v="691"/>
    <n v="1142"/>
    <n v="14511"/>
    <x v="485"/>
    <n v="9471"/>
    <s v="profit"/>
  </r>
  <r>
    <x v="179"/>
    <s v="december"/>
    <s v="Stellar Creative Co."/>
    <x v="2"/>
    <x v="6"/>
    <s v="Kerala"/>
    <x v="1"/>
    <n v="24"/>
    <n v="526"/>
    <n v="808"/>
    <n v="12624"/>
    <x v="486"/>
    <n v="6768"/>
    <s v="profit"/>
  </r>
  <r>
    <x v="181"/>
    <s v="december"/>
    <s v="Radiance Media Ventures"/>
    <x v="2"/>
    <x v="6"/>
    <s v="Maharashtra"/>
    <x v="0"/>
    <n v="29"/>
    <n v="932"/>
    <n v="1316"/>
    <n v="27028"/>
    <x v="370"/>
    <n v="11136"/>
    <s v="profit"/>
  </r>
  <r>
    <x v="74"/>
    <s v="september"/>
    <s v="Crystal Health Solutions"/>
    <x v="0"/>
    <x v="2"/>
    <s v="Uttar Pradesh"/>
    <x v="1"/>
    <n v="17"/>
    <n v="614"/>
    <n v="1273"/>
    <n v="10438"/>
    <x v="487"/>
    <n v="11203"/>
    <s v="profit"/>
  </r>
  <r>
    <x v="182"/>
    <s v="december"/>
    <s v="Zenith Edge Services"/>
    <x v="2"/>
    <x v="6"/>
    <s v="Uttarakhand"/>
    <x v="1"/>
    <n v="22"/>
    <n v="603"/>
    <n v="794"/>
    <n v="13266"/>
    <x v="488"/>
    <n v="4202"/>
    <s v="profit"/>
  </r>
  <r>
    <x v="183"/>
    <s v="february"/>
    <s v="Stellar Consulting Services"/>
    <x v="2"/>
    <x v="6"/>
    <s v="Maharashtra"/>
    <x v="0"/>
    <n v="30"/>
    <n v="946"/>
    <n v="1109"/>
    <n v="28380"/>
    <x v="489"/>
    <n v="4890"/>
    <s v="profit"/>
  </r>
  <r>
    <x v="184"/>
    <s v="february"/>
    <s v="Radiant Ventures"/>
    <x v="2"/>
    <x v="6"/>
    <s v="Himachal Pradesh"/>
    <x v="0"/>
    <n v="24"/>
    <n v="580"/>
    <n v="809"/>
    <n v="13920"/>
    <x v="490"/>
    <n v="5496"/>
    <s v="profit"/>
  </r>
  <r>
    <x v="185"/>
    <s v="february"/>
    <s v="Harmony Tech Co."/>
    <x v="2"/>
    <x v="6"/>
    <s v="Uttarakhand"/>
    <x v="0"/>
    <n v="30"/>
    <n v="732"/>
    <n v="944"/>
    <n v="21960"/>
    <x v="491"/>
    <n v="6360"/>
    <s v="profit"/>
  </r>
  <r>
    <x v="187"/>
    <s v="february"/>
    <s v="Zenith Creative Ventures"/>
    <x v="2"/>
    <x v="6"/>
    <s v="Assam"/>
    <x v="1"/>
    <n v="20"/>
    <n v="552"/>
    <n v="1261"/>
    <n v="11040"/>
    <x v="492"/>
    <n v="14180"/>
    <s v="profit"/>
  </r>
  <r>
    <x v="188"/>
    <s v="february"/>
    <s v="Apex Health Services"/>
    <x v="2"/>
    <x v="6"/>
    <s v="Punjab"/>
    <x v="1"/>
    <n v="21"/>
    <n v="876"/>
    <n v="1452"/>
    <n v="18396"/>
    <x v="493"/>
    <n v="12096"/>
    <s v="profit"/>
  </r>
  <r>
    <x v="189"/>
    <s v="february"/>
    <s v="Pure Vision Media"/>
    <x v="2"/>
    <x v="6"/>
    <s v="Chhattisgarh"/>
    <x v="1"/>
    <n v="27"/>
    <n v="636"/>
    <n v="1284"/>
    <n v="17172"/>
    <x v="279"/>
    <n v="17496"/>
    <s v="profit"/>
  </r>
  <r>
    <x v="191"/>
    <s v="february"/>
    <s v="Legacy Innovations Group"/>
    <x v="2"/>
    <x v="6"/>
    <s v="West Bengal"/>
    <x v="1"/>
    <n v="21"/>
    <n v="974"/>
    <n v="1363"/>
    <n v="20454"/>
    <x v="494"/>
    <n v="8169"/>
    <s v="profit"/>
  </r>
  <r>
    <x v="75"/>
    <s v="september"/>
    <s v="Stellar Travel Solutions"/>
    <x v="0"/>
    <x v="0"/>
    <s v="Uttar Pradesh"/>
    <x v="0"/>
    <n v="10"/>
    <n v="572"/>
    <n v="801"/>
    <n v="5720"/>
    <x v="495"/>
    <n v="2290"/>
    <s v="profit"/>
  </r>
  <r>
    <x v="192"/>
    <s v="february"/>
    <s v="Pinnacle Consulting Co."/>
    <x v="2"/>
    <x v="6"/>
    <s v="West Bengal"/>
    <x v="1"/>
    <n v="30"/>
    <n v="518"/>
    <n v="858"/>
    <n v="15540"/>
    <x v="496"/>
    <n v="10200"/>
    <s v="profit"/>
  </r>
  <r>
    <x v="76"/>
    <s v="september"/>
    <s v="Pure Harmony Solutions"/>
    <x v="0"/>
    <x v="0"/>
    <s v="Tamil Nadu"/>
    <x v="0"/>
    <n v="12"/>
    <n v="674"/>
    <n v="1265"/>
    <n v="8088"/>
    <x v="497"/>
    <n v="7092"/>
    <s v="profit"/>
  </r>
  <r>
    <x v="193"/>
    <s v="february"/>
    <s v="Stellar Finance Group"/>
    <x v="2"/>
    <x v="6"/>
    <s v="Madhya Pradesh"/>
    <x v="0"/>
    <n v="21"/>
    <n v="531"/>
    <n v="955"/>
    <n v="11151"/>
    <x v="498"/>
    <n v="8904"/>
    <s v="profit"/>
  </r>
  <r>
    <x v="194"/>
    <s v="february"/>
    <s v="Harmony Ventures Group"/>
    <x v="2"/>
    <x v="6"/>
    <s v="Gujarat"/>
    <x v="0"/>
    <n v="26"/>
    <n v="842"/>
    <n v="1074"/>
    <n v="21892"/>
    <x v="499"/>
    <n v="6032"/>
    <s v="profit"/>
  </r>
  <r>
    <x v="198"/>
    <s v="april"/>
    <s v="Golden Horizon Ventures"/>
    <x v="1"/>
    <x v="1"/>
    <s v="Karnataka"/>
    <x v="1"/>
    <n v="95"/>
    <n v="936"/>
    <n v="1350"/>
    <n v="88920"/>
    <x v="500"/>
    <n v="39330"/>
    <s v="profit"/>
  </r>
  <r>
    <x v="199"/>
    <s v="april"/>
    <s v="Eternal Traditions"/>
    <x v="1"/>
    <x v="1"/>
    <s v="Telangana"/>
    <x v="1"/>
    <n v="84"/>
    <n v="784"/>
    <n v="965"/>
    <n v="65856"/>
    <x v="501"/>
    <n v="15204"/>
    <s v="profit"/>
  </r>
  <r>
    <x v="200"/>
    <s v="april"/>
    <s v="Harmony Foods"/>
    <x v="1"/>
    <x v="1"/>
    <s v="Maharashtra"/>
    <x v="1"/>
    <n v="51"/>
    <n v="847"/>
    <n v="972"/>
    <n v="43197"/>
    <x v="502"/>
    <n v="6375"/>
    <s v="profit"/>
  </r>
  <r>
    <x v="77"/>
    <s v="october"/>
    <s v="Modern Spectrum Solutions"/>
    <x v="1"/>
    <x v="5"/>
    <s v="Maharashtra"/>
    <x v="0"/>
    <n v="52"/>
    <n v="546"/>
    <n v="1482"/>
    <n v="28392"/>
    <x v="503"/>
    <n v="48672"/>
    <s v="profit"/>
  </r>
  <r>
    <x v="201"/>
    <s v="april"/>
    <s v="Sacred Roots Apparel"/>
    <x v="1"/>
    <x v="9"/>
    <s v="Maharashtra"/>
    <x v="0"/>
    <n v="68"/>
    <n v="534"/>
    <n v="1085"/>
    <n v="36312"/>
    <x v="504"/>
    <n v="37468"/>
    <s v="profit"/>
  </r>
  <r>
    <x v="202"/>
    <s v="april"/>
    <s v="Quantum Finance Services"/>
    <x v="1"/>
    <x v="9"/>
    <s v="Chandigarh"/>
    <x v="0"/>
    <n v="68"/>
    <n v="575"/>
    <n v="1242"/>
    <n v="39100"/>
    <x v="505"/>
    <n v="45356"/>
    <s v="profit"/>
  </r>
  <r>
    <x v="203"/>
    <s v="april"/>
    <s v="Brilliant Minds Academy"/>
    <x v="1"/>
    <x v="9"/>
    <s v="Madhya Pradesh"/>
    <x v="0"/>
    <n v="79"/>
    <n v="537"/>
    <n v="850"/>
    <n v="42423"/>
    <x v="506"/>
    <n v="24727"/>
    <s v="profit"/>
  </r>
  <r>
    <x v="204"/>
    <s v="april"/>
    <s v="Visionary Holdings"/>
    <x v="1"/>
    <x v="9"/>
    <s v="Andhra Pradesh"/>
    <x v="0"/>
    <n v="65"/>
    <n v="935"/>
    <n v="752"/>
    <n v="60775"/>
    <x v="507"/>
    <n v="-11895"/>
    <s v="loss"/>
  </r>
  <r>
    <x v="205"/>
    <s v="april"/>
    <s v="Stellar Design Studio"/>
    <x v="1"/>
    <x v="9"/>
    <s v="Bihar"/>
    <x v="0"/>
    <n v="66"/>
    <n v="709"/>
    <n v="1021"/>
    <n v="46794"/>
    <x v="508"/>
    <n v="20592"/>
    <s v="profit"/>
  </r>
  <r>
    <x v="206"/>
    <s v="april"/>
    <s v="Classic Cuisines"/>
    <x v="1"/>
    <x v="9"/>
    <s v="Gujarat"/>
    <x v="1"/>
    <n v="70"/>
    <n v="751"/>
    <n v="1485"/>
    <n v="52570"/>
    <x v="509"/>
    <n v="51380"/>
    <s v="profit"/>
  </r>
  <r>
    <x v="81"/>
    <s v="october"/>
    <s v="Apex Creative Solutions"/>
    <x v="1"/>
    <x v="7"/>
    <s v="West Bengal"/>
    <x v="1"/>
    <n v="86"/>
    <n v="717"/>
    <n v="1445"/>
    <n v="61662"/>
    <x v="510"/>
    <n v="62608"/>
    <s v="profit"/>
  </r>
  <r>
    <x v="207"/>
    <s v="april"/>
    <s v="Bold Ventures"/>
    <x v="1"/>
    <x v="9"/>
    <s v="Uttar Pradesh"/>
    <x v="1"/>
    <n v="75"/>
    <n v="686"/>
    <n v="1254"/>
    <n v="51450"/>
    <x v="511"/>
    <n v="42600"/>
    <s v="profit"/>
  </r>
  <r>
    <x v="208"/>
    <s v="may"/>
    <s v="Radiance Spa"/>
    <x v="1"/>
    <x v="5"/>
    <s v="Rajasthan"/>
    <x v="1"/>
    <n v="91"/>
    <n v="518"/>
    <n v="1465"/>
    <n v="47138"/>
    <x v="512"/>
    <n v="86177"/>
    <s v="profit"/>
  </r>
  <r>
    <x v="209"/>
    <s v="may"/>
    <s v="Verve Fitness Studio"/>
    <x v="1"/>
    <x v="5"/>
    <s v="Uttar Pradesh"/>
    <x v="0"/>
    <n v="96"/>
    <n v="791"/>
    <n v="931"/>
    <n v="75936"/>
    <x v="513"/>
    <n v="13440"/>
    <s v="profit"/>
  </r>
  <r>
    <x v="210"/>
    <s v="may"/>
    <s v="Sparkle Cleaners"/>
    <x v="1"/>
    <x v="5"/>
    <s v="Uttar Pradesh"/>
    <x v="0"/>
    <n v="69"/>
    <n v="864"/>
    <n v="935"/>
    <n v="59616"/>
    <x v="514"/>
    <n v="4899"/>
    <s v="profit"/>
  </r>
  <r>
    <x v="86"/>
    <s v="october"/>
    <s v="Radiance Solutions Group"/>
    <x v="0"/>
    <x v="2"/>
    <s v="Bihar"/>
    <x v="0"/>
    <n v="20"/>
    <n v="784"/>
    <n v="1320"/>
    <n v="15680"/>
    <x v="515"/>
    <n v="10720"/>
    <s v="profit"/>
  </r>
  <r>
    <x v="211"/>
    <s v="may"/>
    <s v="Global Reach Logistics"/>
    <x v="1"/>
    <x v="5"/>
    <s v="Maharashtra"/>
    <x v="0"/>
    <n v="55"/>
    <n v="782"/>
    <n v="1335"/>
    <n v="43010"/>
    <x v="516"/>
    <n v="30415"/>
    <s v="profit"/>
  </r>
  <r>
    <x v="212"/>
    <s v="may"/>
    <s v="Noble Path Finance"/>
    <x v="1"/>
    <x v="5"/>
    <s v="Madhya Pradesh"/>
    <x v="0"/>
    <n v="71"/>
    <n v="653"/>
    <n v="963"/>
    <n v="46363"/>
    <x v="517"/>
    <n v="22010"/>
    <s v="profit"/>
  </r>
  <r>
    <x v="89"/>
    <s v="october"/>
    <s v="Modern Edge Solutions"/>
    <x v="0"/>
    <x v="2"/>
    <s v="Uttar Pradesh"/>
    <x v="0"/>
    <n v="19"/>
    <n v="664"/>
    <n v="1091"/>
    <n v="12616"/>
    <x v="518"/>
    <n v="8113"/>
    <s v="profit"/>
  </r>
  <r>
    <x v="213"/>
    <s v="may"/>
    <s v="Dynamic Events Management"/>
    <x v="1"/>
    <x v="5"/>
    <s v="Maharashtra"/>
    <x v="0"/>
    <n v="88"/>
    <n v="959"/>
    <n v="985"/>
    <n v="84392"/>
    <x v="519"/>
    <n v="2288"/>
    <s v="profit"/>
  </r>
  <r>
    <x v="91"/>
    <s v="october"/>
    <s v="Horizon Health Solutions"/>
    <x v="2"/>
    <x v="3"/>
    <s v="Tamil Nadu"/>
    <x v="0"/>
    <n v="26"/>
    <n v="674"/>
    <n v="857"/>
    <n v="17524"/>
    <x v="520"/>
    <n v="4758"/>
    <s v="profit"/>
  </r>
  <r>
    <x v="214"/>
    <s v="may"/>
    <s v="Crystal Waters Resort"/>
    <x v="1"/>
    <x v="5"/>
    <s v="Chandigarh"/>
    <x v="0"/>
    <n v="72"/>
    <n v="805"/>
    <n v="826"/>
    <n v="57960"/>
    <x v="521"/>
    <n v="1512"/>
    <s v="profit"/>
  </r>
  <r>
    <x v="93"/>
    <s v="october"/>
    <s v="Apex Marketing Solutions"/>
    <x v="2"/>
    <x v="8"/>
    <s v="Uttar Pradesh"/>
    <x v="1"/>
    <n v="29"/>
    <n v="774"/>
    <n v="793"/>
    <n v="22446"/>
    <x v="522"/>
    <n v="551"/>
    <s v="profit"/>
  </r>
  <r>
    <x v="215"/>
    <s v="may"/>
    <s v="Excellence Tutors"/>
    <x v="1"/>
    <x v="5"/>
    <s v="Madhya Pradesh"/>
    <x v="0"/>
    <n v="53"/>
    <n v="665"/>
    <n v="1206"/>
    <n v="35245"/>
    <x v="523"/>
    <n v="28673"/>
    <s v="profit"/>
  </r>
  <r>
    <x v="216"/>
    <s v="may"/>
    <s v="Horizon Builders"/>
    <x v="1"/>
    <x v="5"/>
    <s v="Andhra Pradesh"/>
    <x v="1"/>
    <n v="88"/>
    <n v="607"/>
    <n v="1268"/>
    <n v="53416"/>
    <x v="524"/>
    <n v="58168"/>
    <s v="profit"/>
  </r>
  <r>
    <x v="217"/>
    <s v="may"/>
    <s v="Classic Heritage Crafts"/>
    <x v="1"/>
    <x v="5"/>
    <s v="Gujarat"/>
    <x v="1"/>
    <n v="99"/>
    <n v="657"/>
    <n v="1033"/>
    <n v="65043"/>
    <x v="525"/>
    <n v="37224"/>
    <s v="profit"/>
  </r>
  <r>
    <x v="218"/>
    <s v="may"/>
    <s v="Prime Focus Media"/>
    <x v="1"/>
    <x v="7"/>
    <s v="Uttar Pradesh"/>
    <x v="1"/>
    <n v="88"/>
    <n v="977"/>
    <n v="1402"/>
    <n v="85976"/>
    <x v="526"/>
    <n v="37400"/>
    <s v="profit"/>
  </r>
  <r>
    <x v="219"/>
    <s v="june"/>
    <s v="Noble Nutraceuticals"/>
    <x v="1"/>
    <x v="7"/>
    <s v="Uttar Pradesh"/>
    <x v="0"/>
    <n v="81"/>
    <n v="528"/>
    <n v="872"/>
    <n v="42768"/>
    <x v="527"/>
    <n v="27864"/>
    <s v="profit"/>
  </r>
  <r>
    <x v="220"/>
    <s v="june"/>
    <s v="Supreme Travel Agency"/>
    <x v="1"/>
    <x v="7"/>
    <s v="Tamil Nadu"/>
    <x v="1"/>
    <n v="74"/>
    <n v="870"/>
    <n v="1490"/>
    <n v="64380"/>
    <x v="528"/>
    <n v="45880"/>
    <s v="profit"/>
  </r>
  <r>
    <x v="221"/>
    <s v="june"/>
    <s v="Future Vision Tech"/>
    <x v="1"/>
    <x v="7"/>
    <s v="Tamil Nadu"/>
    <x v="1"/>
    <n v="83"/>
    <n v="655"/>
    <n v="1422"/>
    <n v="54365"/>
    <x v="529"/>
    <n v="63661"/>
    <s v="profit"/>
  </r>
  <r>
    <x v="222"/>
    <s v="june"/>
    <s v="Urban Groove Apparel"/>
    <x v="1"/>
    <x v="7"/>
    <s v="Rajasthan"/>
    <x v="1"/>
    <n v="99"/>
    <n v="649"/>
    <n v="1415"/>
    <n v="64251"/>
    <x v="530"/>
    <n v="75834"/>
    <s v="profit"/>
  </r>
  <r>
    <x v="223"/>
    <s v="june"/>
    <s v="Echo Real Estate"/>
    <x v="1"/>
    <x v="7"/>
    <s v="Uttar Pradesh"/>
    <x v="1"/>
    <n v="97"/>
    <n v="917"/>
    <n v="844"/>
    <n v="88949"/>
    <x v="531"/>
    <n v="-7081"/>
    <s v="loss"/>
  </r>
  <r>
    <x v="224"/>
    <s v="june"/>
    <s v="Pinnacle Health Products"/>
    <x v="1"/>
    <x v="7"/>
    <s v="Jharkhand"/>
    <x v="0"/>
    <n v="57"/>
    <n v="793"/>
    <n v="761"/>
    <n v="45201"/>
    <x v="532"/>
    <n v="-1824"/>
    <s v="loss"/>
  </r>
  <r>
    <x v="225"/>
    <s v="june"/>
    <s v="Apex Auto Care"/>
    <x v="1"/>
    <x v="7"/>
    <s v="Kerala"/>
    <x v="0"/>
    <n v="84"/>
    <n v="931"/>
    <n v="1475"/>
    <n v="78204"/>
    <x v="533"/>
    <n v="45696"/>
    <s v="profit"/>
  </r>
  <r>
    <x v="105"/>
    <s v="november"/>
    <s v="Radiance Solutions Co."/>
    <x v="1"/>
    <x v="9"/>
    <s v="Jharkhand"/>
    <x v="0"/>
    <n v="74"/>
    <n v="714"/>
    <n v="1148"/>
    <n v="52836"/>
    <x v="534"/>
    <n v="32116"/>
    <s v="profit"/>
  </r>
  <r>
    <x v="226"/>
    <s v="june"/>
    <s v="Royal Glow Cosmetics"/>
    <x v="1"/>
    <x v="7"/>
    <s v="Maharashtra"/>
    <x v="0"/>
    <n v="76"/>
    <n v="901"/>
    <n v="1471"/>
    <n v="68476"/>
    <x v="535"/>
    <n v="43320"/>
    <s v="profit"/>
  </r>
  <r>
    <x v="227"/>
    <s v="june"/>
    <s v="Zenith Culinary Arts"/>
    <x v="1"/>
    <x v="7"/>
    <s v="Himachal Pradesh"/>
    <x v="0"/>
    <n v="93"/>
    <n v="658"/>
    <n v="1303"/>
    <n v="61194"/>
    <x v="536"/>
    <n v="59985"/>
    <s v="profit"/>
  </r>
  <r>
    <x v="108"/>
    <s v="november"/>
    <s v="Horizon Creative Solutions"/>
    <x v="1"/>
    <x v="9"/>
    <s v="Delhi"/>
    <x v="0"/>
    <n v="73"/>
    <n v="957"/>
    <n v="814"/>
    <n v="69861"/>
    <x v="537"/>
    <n v="-10439"/>
    <s v="loss"/>
  </r>
  <r>
    <x v="228"/>
    <s v="june"/>
    <s v="Visionary Tours"/>
    <x v="1"/>
    <x v="7"/>
    <s v="Uttarakhand"/>
    <x v="0"/>
    <n v="68"/>
    <n v="651"/>
    <n v="1061"/>
    <n v="44268"/>
    <x v="538"/>
    <n v="27880"/>
    <s v="profit"/>
  </r>
  <r>
    <x v="229"/>
    <s v="june"/>
    <s v="Elite Essence Products"/>
    <x v="1"/>
    <x v="5"/>
    <s v="West Bengal"/>
    <x v="1"/>
    <n v="98"/>
    <n v="596"/>
    <n v="1155"/>
    <n v="58408"/>
    <x v="539"/>
    <n v="54782"/>
    <s v="profit"/>
  </r>
  <r>
    <x v="230"/>
    <s v="june"/>
    <s v="Dynamic Creations"/>
    <x v="1"/>
    <x v="5"/>
    <s v="Karnataka"/>
    <x v="1"/>
    <n v="84"/>
    <n v="911"/>
    <n v="1370"/>
    <n v="76524"/>
    <x v="540"/>
    <n v="38556"/>
    <s v="profit"/>
  </r>
  <r>
    <x v="231"/>
    <s v="june"/>
    <s v="Quantum Design Studio"/>
    <x v="1"/>
    <x v="5"/>
    <s v="Delhi"/>
    <x v="1"/>
    <n v="81"/>
    <n v="702"/>
    <n v="1494"/>
    <n v="56862"/>
    <x v="541"/>
    <n v="64152"/>
    <s v="profit"/>
  </r>
  <r>
    <x v="113"/>
    <s v="november"/>
    <s v="Urban Spectrum Solutions"/>
    <x v="2"/>
    <x v="4"/>
    <s v="Telangana"/>
    <x v="1"/>
    <n v="24"/>
    <n v="553"/>
    <n v="964"/>
    <n v="13272"/>
    <x v="542"/>
    <n v="9864"/>
    <s v="profit"/>
  </r>
  <r>
    <x v="232"/>
    <s v="june"/>
    <s v="Apex Construction"/>
    <x v="1"/>
    <x v="5"/>
    <s v="West Bengal"/>
    <x v="0"/>
    <n v="58"/>
    <n v="510"/>
    <n v="1456"/>
    <n v="29580"/>
    <x v="543"/>
    <n v="54868"/>
    <s v="profit"/>
  </r>
  <r>
    <x v="233"/>
    <s v="june"/>
    <s v="Legacy Innovations"/>
    <x v="1"/>
    <x v="7"/>
    <s v="Tamil Nadu"/>
    <x v="0"/>
    <n v="59"/>
    <n v="506"/>
    <n v="1498"/>
    <n v="29854"/>
    <x v="544"/>
    <n v="58528"/>
    <s v="profit"/>
  </r>
  <r>
    <x v="234"/>
    <s v="june"/>
    <s v="Pure Harmony Foods"/>
    <x v="1"/>
    <x v="7"/>
    <s v="Karnataka"/>
    <x v="1"/>
    <n v="51"/>
    <n v="868"/>
    <n v="938"/>
    <n v="44268"/>
    <x v="545"/>
    <n v="3570"/>
    <s v="profit"/>
  </r>
  <r>
    <x v="117"/>
    <s v="november"/>
    <s v="Legacy Wellness Solutions"/>
    <x v="2"/>
    <x v="4"/>
    <s v="Gujarat"/>
    <x v="0"/>
    <n v="22"/>
    <n v="688"/>
    <n v="985"/>
    <n v="15136"/>
    <x v="546"/>
    <n v="6534"/>
    <s v="profit"/>
  </r>
  <r>
    <x v="235"/>
    <s v="june"/>
    <s v="Zenith Security Systems"/>
    <x v="1"/>
    <x v="7"/>
    <s v="Telangana"/>
    <x v="1"/>
    <n v="76"/>
    <n v="602"/>
    <n v="1356"/>
    <n v="45752"/>
    <x v="547"/>
    <n v="57304"/>
    <s v="profit"/>
  </r>
  <r>
    <x v="119"/>
    <s v="november"/>
    <s v="Horizon Media Solutions"/>
    <x v="2"/>
    <x v="4"/>
    <s v="Uttar Pradesh"/>
    <x v="0"/>
    <n v="27"/>
    <n v="933"/>
    <n v="983"/>
    <n v="25191"/>
    <x v="548"/>
    <n v="1350"/>
    <s v="profit"/>
  </r>
  <r>
    <x v="236"/>
    <s v="june"/>
    <s v="Crystal Clear Beverages"/>
    <x v="1"/>
    <x v="7"/>
    <s v="Gujarat"/>
    <x v="1"/>
    <n v="55"/>
    <n v="928"/>
    <n v="1264"/>
    <n v="51040"/>
    <x v="549"/>
    <n v="18480"/>
    <s v="profit"/>
  </r>
  <r>
    <x v="237"/>
    <s v="june"/>
    <s v="Metro Line Tech"/>
    <x v="1"/>
    <x v="7"/>
    <s v="Maharashtra"/>
    <x v="1"/>
    <n v="74"/>
    <n v="758"/>
    <n v="765"/>
    <n v="56092"/>
    <x v="550"/>
    <n v="518"/>
    <s v="profit"/>
  </r>
  <r>
    <x v="238"/>
    <s v="june"/>
    <s v="Urban Pulse Consulting"/>
    <x v="1"/>
    <x v="7"/>
    <s v="Rajasthan"/>
    <x v="1"/>
    <n v="88"/>
    <n v="566"/>
    <n v="1093"/>
    <n v="49808"/>
    <x v="551"/>
    <n v="46376"/>
    <s v="profit"/>
  </r>
  <r>
    <x v="239"/>
    <s v="july"/>
    <s v="Legacy Design Group"/>
    <x v="1"/>
    <x v="5"/>
    <s v="Punjab"/>
    <x v="0"/>
    <n v="58"/>
    <n v="898"/>
    <n v="1068"/>
    <n v="52084"/>
    <x v="552"/>
    <n v="9860"/>
    <s v="profit"/>
  </r>
  <r>
    <x v="240"/>
    <s v="july"/>
    <s v="Supreme Wellness"/>
    <x v="1"/>
    <x v="5"/>
    <s v="Chhattisgarh"/>
    <x v="0"/>
    <n v="83"/>
    <n v="943"/>
    <n v="867"/>
    <n v="78269"/>
    <x v="553"/>
    <n v="-6308"/>
    <s v="loss"/>
  </r>
  <r>
    <x v="241"/>
    <s v="july"/>
    <s v="Harmony Tech Innovations"/>
    <x v="1"/>
    <x v="5"/>
    <s v="West Bengal"/>
    <x v="0"/>
    <n v="85"/>
    <n v="641"/>
    <n v="892"/>
    <n v="54485"/>
    <x v="554"/>
    <n v="21335"/>
    <s v="profit"/>
  </r>
  <r>
    <x v="242"/>
    <s v="july"/>
    <s v="Stellar Education Services"/>
    <x v="1"/>
    <x v="5"/>
    <s v="West Bengal"/>
    <x v="0"/>
    <n v="57"/>
    <n v="784"/>
    <n v="859"/>
    <n v="44688"/>
    <x v="555"/>
    <n v="4275"/>
    <s v="profit"/>
  </r>
  <r>
    <x v="243"/>
    <s v="july"/>
    <s v="Visionary Health Products"/>
    <x v="1"/>
    <x v="5"/>
    <s v="Madhya Pradesh"/>
    <x v="0"/>
    <n v="98"/>
    <n v="579"/>
    <n v="1046"/>
    <n v="56742"/>
    <x v="556"/>
    <n v="45766"/>
    <s v="profit"/>
  </r>
  <r>
    <x v="244"/>
    <s v="july"/>
    <s v="Crystal Innovations"/>
    <x v="1"/>
    <x v="5"/>
    <s v="Jharkhand"/>
    <x v="0"/>
    <n v="98"/>
    <n v="605"/>
    <n v="1155"/>
    <n v="59290"/>
    <x v="539"/>
    <n v="53900"/>
    <s v="profit"/>
  </r>
  <r>
    <x v="129"/>
    <s v="november"/>
    <s v="Urban Vision Solutions"/>
    <x v="2"/>
    <x v="6"/>
    <s v="Uttar Pradesh"/>
    <x v="0"/>
    <n v="20"/>
    <n v="989"/>
    <n v="1298"/>
    <n v="19780"/>
    <x v="557"/>
    <n v="6180"/>
    <s v="profit"/>
  </r>
  <r>
    <x v="245"/>
    <s v="july"/>
    <s v="Future Trends Retail"/>
    <x v="1"/>
    <x v="5"/>
    <s v="West Bengal"/>
    <x v="0"/>
    <n v="63"/>
    <n v="952"/>
    <n v="824"/>
    <n v="59976"/>
    <x v="558"/>
    <n v="-8064"/>
    <s v="loss"/>
  </r>
  <r>
    <x v="246"/>
    <s v="july"/>
    <s v="Radiant Horizon Ventures"/>
    <x v="1"/>
    <x v="5"/>
    <s v="Karnataka"/>
    <x v="0"/>
    <n v="91"/>
    <n v="938"/>
    <n v="1156"/>
    <n v="85358"/>
    <x v="559"/>
    <n v="19838"/>
    <s v="profit"/>
  </r>
  <r>
    <x v="132"/>
    <s v="december"/>
    <s v="Pinnacle Travel Solutions"/>
    <x v="2"/>
    <x v="6"/>
    <s v="Rajasthan"/>
    <x v="1"/>
    <n v="26"/>
    <n v="870"/>
    <n v="1123"/>
    <n v="22620"/>
    <x v="560"/>
    <n v="6578"/>
    <s v="profit"/>
  </r>
  <r>
    <x v="247"/>
    <s v="july"/>
    <s v="Urban Edge Realty"/>
    <x v="1"/>
    <x v="5"/>
    <s v="Delhi"/>
    <x v="1"/>
    <n v="66"/>
    <n v="512"/>
    <n v="1208"/>
    <n v="33792"/>
    <x v="561"/>
    <n v="45936"/>
    <s v="profit"/>
  </r>
  <r>
    <x v="248"/>
    <s v="july"/>
    <s v="Prime Focus Innovations"/>
    <x v="1"/>
    <x v="5"/>
    <s v="Maharashtra"/>
    <x v="1"/>
    <n v="88"/>
    <n v="691"/>
    <n v="1394"/>
    <n v="60808"/>
    <x v="562"/>
    <n v="61864"/>
    <s v="profit"/>
  </r>
  <r>
    <x v="249"/>
    <s v="august"/>
    <s v="Elite Spectrum Consulting"/>
    <x v="1"/>
    <x v="5"/>
    <s v="West Bengal"/>
    <x v="1"/>
    <n v="54"/>
    <n v="518"/>
    <n v="1106"/>
    <n v="27972"/>
    <x v="563"/>
    <n v="31752"/>
    <s v="profit"/>
  </r>
  <r>
    <x v="250"/>
    <s v="august"/>
    <s v="Dynamic Design Studio"/>
    <x v="1"/>
    <x v="5"/>
    <s v="Tamil Nadu"/>
    <x v="1"/>
    <n v="67"/>
    <n v="780"/>
    <n v="864"/>
    <n v="52260"/>
    <x v="564"/>
    <n v="5628"/>
    <s v="profit"/>
  </r>
  <r>
    <x v="137"/>
    <s v="december"/>
    <s v="Harmony Health Solutions"/>
    <x v="2"/>
    <x v="6"/>
    <s v="Himachal Pradesh"/>
    <x v="1"/>
    <n v="23"/>
    <n v="945"/>
    <n v="1268"/>
    <n v="21735"/>
    <x v="565"/>
    <n v="7429"/>
    <s v="profit"/>
  </r>
  <r>
    <x v="251"/>
    <s v="august"/>
    <s v="Royal Crest Foods"/>
    <x v="1"/>
    <x v="7"/>
    <s v="Telangana"/>
    <x v="0"/>
    <n v="85"/>
    <n v="853"/>
    <n v="1453"/>
    <n v="72505"/>
    <x v="566"/>
    <n v="51000"/>
    <s v="profit"/>
  </r>
  <r>
    <x v="252"/>
    <s v="august"/>
    <s v="Zenith Travels"/>
    <x v="1"/>
    <x v="7"/>
    <s v="Gujarat"/>
    <x v="0"/>
    <n v="69"/>
    <n v="745"/>
    <n v="1075"/>
    <n v="51405"/>
    <x v="567"/>
    <n v="22770"/>
    <s v="profit"/>
  </r>
  <r>
    <x v="140"/>
    <s v="december"/>
    <s v="Modern Vision Solutions"/>
    <x v="1"/>
    <x v="5"/>
    <s v="Punjab"/>
    <x v="1"/>
    <n v="78"/>
    <n v="522"/>
    <n v="1064"/>
    <n v="40716"/>
    <x v="568"/>
    <n v="42276"/>
    <s v="profit"/>
  </r>
  <r>
    <x v="253"/>
    <s v="august"/>
    <s v="Quantum Media Group"/>
    <x v="1"/>
    <x v="5"/>
    <s v="Uttar Pradesh"/>
    <x v="0"/>
    <n v="63"/>
    <n v="525"/>
    <n v="1182"/>
    <n v="33075"/>
    <x v="569"/>
    <n v="41391"/>
    <s v="profit"/>
  </r>
  <r>
    <x v="254"/>
    <s v="august"/>
    <s v="Legacy Builders"/>
    <x v="1"/>
    <x v="5"/>
    <s v="Jharkhand"/>
    <x v="0"/>
    <n v="73"/>
    <n v="709"/>
    <n v="1344"/>
    <n v="51757"/>
    <x v="570"/>
    <n v="46355"/>
    <s v="profit"/>
  </r>
  <r>
    <x v="255"/>
    <s v="august"/>
    <s v="Apex Spa &amp; Wellness"/>
    <x v="1"/>
    <x v="5"/>
    <s v="Kerala"/>
    <x v="0"/>
    <n v="74"/>
    <n v="914"/>
    <n v="1031"/>
    <n v="67636"/>
    <x v="571"/>
    <n v="8658"/>
    <s v="profit"/>
  </r>
  <r>
    <x v="256"/>
    <s v="august"/>
    <s v="Radiant Travel Services"/>
    <x v="1"/>
    <x v="5"/>
    <s v="Maharashtra"/>
    <x v="0"/>
    <n v="84"/>
    <n v="558"/>
    <n v="1477"/>
    <n v="46872"/>
    <x v="572"/>
    <n v="77196"/>
    <s v="profit"/>
  </r>
  <r>
    <x v="145"/>
    <s v="december"/>
    <s v="Radiant Educational Solutions"/>
    <x v="1"/>
    <x v="5"/>
    <s v="Uttar Pradesh"/>
    <x v="0"/>
    <n v="60"/>
    <n v="642"/>
    <n v="1110"/>
    <n v="38520"/>
    <x v="573"/>
    <n v="28080"/>
    <s v="profit"/>
  </r>
  <r>
    <x v="257"/>
    <s v="august"/>
    <s v="Modern Trends Consulting"/>
    <x v="1"/>
    <x v="5"/>
    <s v="Himachal Pradesh"/>
    <x v="0"/>
    <n v="99"/>
    <n v="934"/>
    <n v="1318"/>
    <n v="92466"/>
    <x v="574"/>
    <n v="38016"/>
    <s v="profit"/>
  </r>
  <r>
    <x v="258"/>
    <s v="august"/>
    <s v="Global Horizon Ventures"/>
    <x v="1"/>
    <x v="5"/>
    <s v="Uttarakhand"/>
    <x v="0"/>
    <n v="52"/>
    <n v="576"/>
    <n v="1419"/>
    <n v="29952"/>
    <x v="575"/>
    <n v="43836"/>
    <s v="profit"/>
  </r>
  <r>
    <x v="259"/>
    <s v="august"/>
    <s v="Elite Enterprises"/>
    <x v="1"/>
    <x v="5"/>
    <s v="Assam"/>
    <x v="1"/>
    <n v="98"/>
    <n v="769"/>
    <n v="1277"/>
    <n v="75362"/>
    <x v="576"/>
    <n v="49784"/>
    <s v="profit"/>
  </r>
  <r>
    <x v="149"/>
    <s v="december"/>
    <s v="Zenith Creative Solutions"/>
    <x v="1"/>
    <x v="5"/>
    <s v="Uttar Pradesh"/>
    <x v="0"/>
    <n v="86"/>
    <n v="668"/>
    <n v="1278"/>
    <n v="57448"/>
    <x v="577"/>
    <n v="52460"/>
    <s v="profit"/>
  </r>
  <r>
    <x v="260"/>
    <s v="september"/>
    <s v="Pinnacle Health Innovations"/>
    <x v="1"/>
    <x v="5"/>
    <s v="Chhattisgarh"/>
    <x v="1"/>
    <n v="73"/>
    <n v="627"/>
    <n v="769"/>
    <n v="45771"/>
    <x v="578"/>
    <n v="10366"/>
    <s v="profit"/>
  </r>
  <r>
    <x v="151"/>
    <s v="december"/>
    <s v="Pure Vision Solutions"/>
    <x v="1"/>
    <x v="7"/>
    <s v="Kerala"/>
    <x v="0"/>
    <n v="57"/>
    <n v="995"/>
    <n v="912"/>
    <n v="56715"/>
    <x v="579"/>
    <n v="-4731"/>
    <s v="loss"/>
  </r>
  <r>
    <x v="261"/>
    <s v="september"/>
    <s v="Horizon Fashion"/>
    <x v="1"/>
    <x v="7"/>
    <s v="West Bengal"/>
    <x v="1"/>
    <n v="93"/>
    <n v="847"/>
    <n v="1258"/>
    <n v="78771"/>
    <x v="580"/>
    <n v="38223"/>
    <s v="profit"/>
  </r>
  <r>
    <x v="262"/>
    <s v="september"/>
    <s v="Crystal Essence Beverages"/>
    <x v="1"/>
    <x v="7"/>
    <s v="West Bengal"/>
    <x v="1"/>
    <n v="84"/>
    <n v="522"/>
    <n v="929"/>
    <n v="43848"/>
    <x v="581"/>
    <n v="34188"/>
    <s v="profit"/>
  </r>
  <r>
    <x v="263"/>
    <s v="september"/>
    <s v="Dynamic Pathways"/>
    <x v="1"/>
    <x v="7"/>
    <s v="Madhya Pradesh"/>
    <x v="0"/>
    <n v="85"/>
    <n v="564"/>
    <n v="1049"/>
    <n v="47940"/>
    <x v="582"/>
    <n v="41225"/>
    <s v="profit"/>
  </r>
  <r>
    <x v="264"/>
    <s v="september"/>
    <s v="Radiance Apparel"/>
    <x v="1"/>
    <x v="7"/>
    <s v="West Bengal"/>
    <x v="0"/>
    <n v="93"/>
    <n v="579"/>
    <n v="1402"/>
    <n v="53847"/>
    <x v="583"/>
    <n v="76539"/>
    <s v="profit"/>
  </r>
  <r>
    <x v="156"/>
    <s v="december"/>
    <s v="Harmony Edge Solutions"/>
    <x v="1"/>
    <x v="7"/>
    <s v="Punjab"/>
    <x v="1"/>
    <n v="93"/>
    <n v="886"/>
    <n v="1199"/>
    <n v="82398"/>
    <x v="584"/>
    <n v="29109"/>
    <s v="profit"/>
  </r>
  <r>
    <x v="265"/>
    <s v="september"/>
    <s v="Zenith Design Group"/>
    <x v="1"/>
    <x v="7"/>
    <s v="Karnataka"/>
    <x v="1"/>
    <n v="56"/>
    <n v="724"/>
    <n v="1391"/>
    <n v="40544"/>
    <x v="585"/>
    <n v="37352"/>
    <s v="profit"/>
  </r>
  <r>
    <x v="266"/>
    <s v="september"/>
    <s v="Modern Horizons Consulting"/>
    <x v="1"/>
    <x v="7"/>
    <s v="Maharashtra"/>
    <x v="1"/>
    <n v="60"/>
    <n v="783"/>
    <n v="881"/>
    <n v="46980"/>
    <x v="586"/>
    <n v="5880"/>
    <s v="profit"/>
  </r>
  <r>
    <x v="267"/>
    <s v="september"/>
    <s v="Apex Realty Services"/>
    <x v="1"/>
    <x v="7"/>
    <s v="Madhya Pradesh"/>
    <x v="1"/>
    <n v="81"/>
    <n v="948"/>
    <n v="904"/>
    <n v="76788"/>
    <x v="587"/>
    <n v="-3564"/>
    <s v="loss"/>
  </r>
  <r>
    <x v="268"/>
    <s v="september"/>
    <s v="Zenith Educational Group"/>
    <x v="1"/>
    <x v="7"/>
    <s v="Maharashtra"/>
    <x v="1"/>
    <n v="80"/>
    <n v="771"/>
    <n v="1090"/>
    <n v="61680"/>
    <x v="588"/>
    <n v="25520"/>
    <s v="profit"/>
  </r>
  <r>
    <x v="269"/>
    <s v="september"/>
    <s v="True Path Ventures"/>
    <x v="1"/>
    <x v="7"/>
    <s v="Chandigarh"/>
    <x v="0"/>
    <n v="88"/>
    <n v="943"/>
    <n v="1082"/>
    <n v="82984"/>
    <x v="589"/>
    <n v="12232"/>
    <s v="profit"/>
  </r>
  <r>
    <x v="270"/>
    <s v="september"/>
    <s v="Radiance Media"/>
    <x v="1"/>
    <x v="7"/>
    <s v="Madhya Pradesh"/>
    <x v="1"/>
    <n v="68"/>
    <n v="909"/>
    <n v="1329"/>
    <n v="61812"/>
    <x v="590"/>
    <n v="28560"/>
    <s v="profit"/>
  </r>
  <r>
    <x v="163"/>
    <s v="january"/>
    <s v="Pinnacle Media Solutions"/>
    <x v="0"/>
    <x v="0"/>
    <s v="Karnataka"/>
    <x v="0"/>
    <n v="11"/>
    <n v="676"/>
    <n v="1050"/>
    <n v="7436"/>
    <x v="591"/>
    <n v="4114"/>
    <s v="profit"/>
  </r>
  <r>
    <x v="271"/>
    <s v="september"/>
    <s v="Legacy Health Systems"/>
    <x v="1"/>
    <x v="7"/>
    <s v="Andhra Pradesh"/>
    <x v="1"/>
    <n v="65"/>
    <n v="568"/>
    <n v="1482"/>
    <n v="36920"/>
    <x v="592"/>
    <n v="59410"/>
    <s v="profit"/>
  </r>
  <r>
    <x v="165"/>
    <s v="january"/>
    <s v="Radiant Tech Solutions"/>
    <x v="0"/>
    <x v="0"/>
    <s v="Maharashtra"/>
    <x v="0"/>
    <n v="13"/>
    <n v="521"/>
    <n v="1433"/>
    <n v="6773"/>
    <x v="593"/>
    <n v="11856"/>
    <s v="profit"/>
  </r>
  <r>
    <x v="272"/>
    <s v="september"/>
    <s v="Urban Focus Products"/>
    <x v="1"/>
    <x v="7"/>
    <s v="Bihar"/>
    <x v="1"/>
    <n v="58"/>
    <n v="758"/>
    <n v="1241"/>
    <n v="43964"/>
    <x v="594"/>
    <n v="28014"/>
    <s v="profit"/>
  </r>
  <r>
    <x v="167"/>
    <s v="january"/>
    <s v="Elite Creative Solutions"/>
    <x v="0"/>
    <x v="0"/>
    <s v="Chhattisgarh"/>
    <x v="0"/>
    <n v="16"/>
    <n v="887"/>
    <n v="1059"/>
    <n v="14192"/>
    <x v="595"/>
    <n v="2752"/>
    <s v="profit"/>
  </r>
  <r>
    <x v="273"/>
    <s v="october"/>
    <s v="Visionary Innovations"/>
    <x v="1"/>
    <x v="5"/>
    <s v="Jharkhand"/>
    <x v="0"/>
    <n v="61"/>
    <n v="604"/>
    <n v="1251"/>
    <n v="36844"/>
    <x v="596"/>
    <n v="39467"/>
    <s v="profit"/>
  </r>
  <r>
    <x v="274"/>
    <s v="october"/>
    <s v="Horizon Design Studio"/>
    <x v="1"/>
    <x v="5"/>
    <s v="Kerala"/>
    <x v="0"/>
    <n v="62"/>
    <n v="641"/>
    <n v="869"/>
    <n v="39742"/>
    <x v="597"/>
    <n v="14136"/>
    <s v="profit"/>
  </r>
  <r>
    <x v="275"/>
    <s v="october"/>
    <s v="Legacy Tech Products"/>
    <x v="1"/>
    <x v="5"/>
    <s v="Himachal Pradesh"/>
    <x v="0"/>
    <n v="53"/>
    <n v="913"/>
    <n v="1369"/>
    <n v="48389"/>
    <x v="598"/>
    <n v="24168"/>
    <s v="profit"/>
  </r>
  <r>
    <x v="276"/>
    <s v="october"/>
    <s v="Pinnacle Wellness Services"/>
    <x v="1"/>
    <x v="5"/>
    <s v="Uttarakhand"/>
    <x v="0"/>
    <n v="56"/>
    <n v="840"/>
    <n v="1353"/>
    <n v="47040"/>
    <x v="599"/>
    <n v="28728"/>
    <s v="profit"/>
  </r>
  <r>
    <x v="277"/>
    <s v="october"/>
    <s v="Urban Insight Consulting"/>
    <x v="1"/>
    <x v="7"/>
    <s v="Assam"/>
    <x v="0"/>
    <n v="85"/>
    <n v="541"/>
    <n v="1331"/>
    <n v="45985"/>
    <x v="600"/>
    <n v="67150"/>
    <s v="profit"/>
  </r>
  <r>
    <x v="278"/>
    <s v="october"/>
    <s v="Crystal Horizons"/>
    <x v="1"/>
    <x v="7"/>
    <s v="Punjab"/>
    <x v="0"/>
    <n v="56"/>
    <n v="611"/>
    <n v="1240"/>
    <n v="34216"/>
    <x v="601"/>
    <n v="35224"/>
    <s v="profit"/>
  </r>
  <r>
    <x v="174"/>
    <s v="january"/>
    <s v="Pinnacle Design Solutions"/>
    <x v="1"/>
    <x v="7"/>
    <s v="Rajasthan"/>
    <x v="1"/>
    <n v="90"/>
    <n v="554"/>
    <n v="940"/>
    <n v="49860"/>
    <x v="602"/>
    <n v="34740"/>
    <s v="profit"/>
  </r>
  <r>
    <x v="279"/>
    <s v="october"/>
    <s v="Radiant Apparel"/>
    <x v="1"/>
    <x v="7"/>
    <s v="Chhattisgarh"/>
    <x v="0"/>
    <n v="91"/>
    <n v="867"/>
    <n v="957"/>
    <n v="78897"/>
    <x v="603"/>
    <n v="8190"/>
    <s v="profit"/>
  </r>
  <r>
    <x v="280"/>
    <s v="october"/>
    <s v="True Value Products"/>
    <x v="1"/>
    <x v="7"/>
    <s v="West Bengal"/>
    <x v="0"/>
    <n v="95"/>
    <n v="508"/>
    <n v="783"/>
    <n v="48260"/>
    <x v="604"/>
    <n v="26125"/>
    <s v="profit"/>
  </r>
  <r>
    <x v="281"/>
    <s v="october"/>
    <s v="Zenith Health Products"/>
    <x v="1"/>
    <x v="7"/>
    <s v="Madhya Pradesh"/>
    <x v="1"/>
    <n v="75"/>
    <n v="549"/>
    <n v="1108"/>
    <n v="41175"/>
    <x v="605"/>
    <n v="41925"/>
    <s v="profit"/>
  </r>
  <r>
    <x v="282"/>
    <s v="october"/>
    <s v="Stellar Wellness Products"/>
    <x v="1"/>
    <x v="1"/>
    <s v="Kerala"/>
    <x v="1"/>
    <n v="95"/>
    <n v="845"/>
    <n v="1102"/>
    <n v="80275"/>
    <x v="606"/>
    <n v="24415"/>
    <s v="profit"/>
  </r>
  <r>
    <x v="283"/>
    <s v="october"/>
    <s v="Radiant Consulting Group"/>
    <x v="1"/>
    <x v="1"/>
    <s v="Maharashtra"/>
    <x v="1"/>
    <n v="86"/>
    <n v="949"/>
    <n v="924"/>
    <n v="81614"/>
    <x v="607"/>
    <n v="-2150"/>
    <s v="loss"/>
  </r>
  <r>
    <x v="180"/>
    <s v="january"/>
    <s v="Pure Harmony Solutions"/>
    <x v="0"/>
    <x v="2"/>
    <s v="Uttarakhand"/>
    <x v="0"/>
    <n v="11"/>
    <n v="587"/>
    <n v="1386"/>
    <n v="6457"/>
    <x v="82"/>
    <n v="8789"/>
    <s v="profit"/>
  </r>
  <r>
    <x v="284"/>
    <s v="october"/>
    <s v="Harmony Ventures Co."/>
    <x v="1"/>
    <x v="1"/>
    <s v="Himachal Pradesh"/>
    <x v="0"/>
    <n v="73"/>
    <n v="801"/>
    <n v="1092"/>
    <n v="58473"/>
    <x v="608"/>
    <n v="21243"/>
    <s v="profit"/>
  </r>
  <r>
    <x v="285"/>
    <s v="october"/>
    <s v="Urban Path Technologies"/>
    <x v="1"/>
    <x v="1"/>
    <s v="Uttarakhand"/>
    <x v="1"/>
    <n v="70"/>
    <n v="699"/>
    <n v="1090"/>
    <n v="48930"/>
    <x v="609"/>
    <n v="27370"/>
    <s v="profit"/>
  </r>
  <r>
    <x v="286"/>
    <s v="november"/>
    <s v="Modern Vision Ventures"/>
    <x v="1"/>
    <x v="9"/>
    <s v="West Bengal"/>
    <x v="0"/>
    <n v="67"/>
    <n v="674"/>
    <n v="1413"/>
    <n v="45158"/>
    <x v="610"/>
    <n v="49513"/>
    <s v="profit"/>
  </r>
  <r>
    <x v="287"/>
    <s v="november"/>
    <s v="Elite Travel Services"/>
    <x v="1"/>
    <x v="9"/>
    <s v="Karnataka"/>
    <x v="0"/>
    <n v="55"/>
    <n v="599"/>
    <n v="1482"/>
    <n v="32945"/>
    <x v="611"/>
    <n v="48565"/>
    <s v="profit"/>
  </r>
  <r>
    <x v="288"/>
    <s v="november"/>
    <s v="Crystal Innovations Group"/>
    <x v="1"/>
    <x v="9"/>
    <s v="Maharashtra"/>
    <x v="0"/>
    <n v="90"/>
    <n v="962"/>
    <n v="1495"/>
    <n v="86580"/>
    <x v="612"/>
    <n v="47970"/>
    <s v="profit"/>
  </r>
  <r>
    <x v="186"/>
    <s v="january"/>
    <s v="Zenith Path Solutions"/>
    <x v="0"/>
    <x v="2"/>
    <s v="Madhya Pradesh"/>
    <x v="0"/>
    <n v="18"/>
    <n v="910"/>
    <n v="1065"/>
    <n v="16380"/>
    <x v="613"/>
    <n v="2790"/>
    <s v="profit"/>
  </r>
  <r>
    <x v="289"/>
    <s v="november"/>
    <s v="Pinnacle Fitness Studio"/>
    <x v="1"/>
    <x v="9"/>
    <s v="West Bengal"/>
    <x v="0"/>
    <n v="71"/>
    <n v="739"/>
    <n v="1353"/>
    <n v="52469"/>
    <x v="614"/>
    <n v="43594"/>
    <s v="profit"/>
  </r>
  <r>
    <x v="290"/>
    <s v="november"/>
    <s v="Stellar Travel Agency"/>
    <x v="1"/>
    <x v="9"/>
    <s v="Tamil Nadu"/>
    <x v="0"/>
    <n v="63"/>
    <n v="691"/>
    <n v="1058"/>
    <n v="43533"/>
    <x v="615"/>
    <n v="23121"/>
    <s v="profit"/>
  </r>
  <r>
    <x v="291"/>
    <s v="december"/>
    <s v="Apex Travel Ventures"/>
    <x v="1"/>
    <x v="5"/>
    <s v="Assam"/>
    <x v="1"/>
    <n v="99"/>
    <n v="705"/>
    <n v="1356"/>
    <n v="69795"/>
    <x v="616"/>
    <n v="64449"/>
    <s v="profit"/>
  </r>
  <r>
    <x v="190"/>
    <s v="january"/>
    <s v="Legacy Media Solutions"/>
    <x v="0"/>
    <x v="2"/>
    <s v="Jharkhand"/>
    <x v="1"/>
    <n v="11"/>
    <n v="543"/>
    <n v="1153"/>
    <n v="5973"/>
    <x v="617"/>
    <n v="6710"/>
    <s v="profit"/>
  </r>
  <r>
    <x v="292"/>
    <s v="december"/>
    <s v="True Path Consulting"/>
    <x v="1"/>
    <x v="5"/>
    <s v="Chhattisgarh"/>
    <x v="0"/>
    <n v="74"/>
    <n v="922"/>
    <n v="970"/>
    <n v="68228"/>
    <x v="618"/>
    <n v="3552"/>
    <s v="profit"/>
  </r>
  <r>
    <x v="293"/>
    <s v="december"/>
    <s v="Legacy Finance Group"/>
    <x v="1"/>
    <x v="5"/>
    <s v="West Bengal"/>
    <x v="0"/>
    <n v="72"/>
    <n v="560"/>
    <n v="918"/>
    <n v="40320"/>
    <x v="619"/>
    <n v="25776"/>
    <s v="profit"/>
  </r>
  <r>
    <x v="294"/>
    <s v="december"/>
    <s v="Pinnacle Design Ventures"/>
    <x v="1"/>
    <x v="5"/>
    <s v="Gujarat"/>
    <x v="0"/>
    <n v="59"/>
    <n v="834"/>
    <n v="951"/>
    <n v="49206"/>
    <x v="620"/>
    <n v="6903"/>
    <s v="profit"/>
  </r>
  <r>
    <x v="295"/>
    <s v="december"/>
    <s v="Stellar Innovations Co."/>
    <x v="1"/>
    <x v="5"/>
    <s v="Uttar Pradesh"/>
    <x v="0"/>
    <n v="83"/>
    <n v="840"/>
    <n v="828"/>
    <n v="69720"/>
    <x v="621"/>
    <n v="-996"/>
    <s v="loss"/>
  </r>
  <r>
    <x v="296"/>
    <s v="december"/>
    <s v="Harmony Marketing Co."/>
    <x v="1"/>
    <x v="5"/>
    <s v="Tamil Nadu"/>
    <x v="0"/>
    <n v="64"/>
    <n v="965"/>
    <n v="1357"/>
    <n v="61760"/>
    <x v="622"/>
    <n v="25088"/>
    <s v="profit"/>
  </r>
  <r>
    <x v="297"/>
    <s v="december"/>
    <s v="Urban Tech Innovations"/>
    <x v="1"/>
    <x v="5"/>
    <s v="Tamil Nadu"/>
    <x v="0"/>
    <n v="59"/>
    <n v="671"/>
    <n v="1410"/>
    <n v="39589"/>
    <x v="623"/>
    <n v="43601"/>
    <s v="profit"/>
  </r>
  <r>
    <x v="298"/>
    <s v="december"/>
    <s v="Crystal Wellness Group"/>
    <x v="1"/>
    <x v="5"/>
    <s v="Rajasthan"/>
    <x v="0"/>
    <n v="85"/>
    <n v="761"/>
    <n v="926"/>
    <n v="64685"/>
    <x v="624"/>
    <n v="14025"/>
    <s v="profit"/>
  </r>
  <r>
    <x v="299"/>
    <s v="december"/>
    <s v="Apex Media Co."/>
    <x v="1"/>
    <x v="5"/>
    <s v="Jharkhand"/>
    <x v="0"/>
    <n v="81"/>
    <n v="522"/>
    <n v="1238"/>
    <n v="42282"/>
    <x v="625"/>
    <n v="57996"/>
    <s v="profit"/>
  </r>
  <r>
    <x v="300"/>
    <s v="december"/>
    <s v="Legacy Health Ventures"/>
    <x v="1"/>
    <x v="7"/>
    <s v="Maharashtra"/>
    <x v="0"/>
    <n v="72"/>
    <n v="943"/>
    <n v="1233"/>
    <n v="67896"/>
    <x v="626"/>
    <n v="20880"/>
    <s v="profit"/>
  </r>
  <r>
    <x v="301"/>
    <s v="december"/>
    <s v="Pinnacle Spectrum Co."/>
    <x v="1"/>
    <x v="7"/>
    <s v="Himachal Pradesh"/>
    <x v="0"/>
    <n v="67"/>
    <n v="801"/>
    <n v="1220"/>
    <n v="53667"/>
    <x v="627"/>
    <n v="28073"/>
    <s v="profit"/>
  </r>
  <r>
    <x v="195"/>
    <s v="february"/>
    <s v="Radiant Solutions Co."/>
    <x v="2"/>
    <x v="6"/>
    <s v="Jharkhand"/>
    <x v="0"/>
    <n v="29"/>
    <n v="725"/>
    <n v="792"/>
    <n v="21025"/>
    <x v="628"/>
    <n v="1943"/>
    <s v="profit"/>
  </r>
  <r>
    <x v="302"/>
    <s v="december"/>
    <s v="Stellar Travel Products"/>
    <x v="1"/>
    <x v="7"/>
    <s v="Uttarakhand"/>
    <x v="0"/>
    <n v="57"/>
    <n v="647"/>
    <n v="905"/>
    <n v="36879"/>
    <x v="629"/>
    <n v="14706"/>
    <s v="profit"/>
  </r>
  <r>
    <x v="303"/>
    <s v="december"/>
    <s v="Radiance Finance Services"/>
    <x v="1"/>
    <x v="7"/>
    <s v="Assam"/>
    <x v="0"/>
    <n v="91"/>
    <n v="906"/>
    <n v="925"/>
    <n v="82446"/>
    <x v="630"/>
    <n v="1729"/>
    <s v="profit"/>
  </r>
  <r>
    <x v="304"/>
    <s v="december"/>
    <s v="Modern Travel Agency"/>
    <x v="1"/>
    <x v="7"/>
    <s v="Chhattisgarh"/>
    <x v="1"/>
    <n v="82"/>
    <n v="955"/>
    <n v="1218"/>
    <n v="78310"/>
    <x v="631"/>
    <n v="21566"/>
    <s v="profit"/>
  </r>
  <r>
    <x v="196"/>
    <s v="february"/>
    <s v="Modern Travel Solutions"/>
    <x v="1"/>
    <x v="5"/>
    <s v="Tamil Nadu"/>
    <x v="0"/>
    <n v="59"/>
    <n v="725"/>
    <n v="1113"/>
    <n v="42775"/>
    <x v="632"/>
    <n v="22892"/>
    <s v="profit"/>
  </r>
  <r>
    <x v="305"/>
    <s v="december"/>
    <s v="Crystal Path Consulting"/>
    <x v="1"/>
    <x v="7"/>
    <s v="West Bengal"/>
    <x v="1"/>
    <n v="72"/>
    <n v="829"/>
    <n v="1165"/>
    <n v="59688"/>
    <x v="633"/>
    <n v="24192"/>
    <s v="profit"/>
  </r>
  <r>
    <x v="306"/>
    <s v="december"/>
    <s v="Zenith Educational Services"/>
    <x v="1"/>
    <x v="7"/>
    <s v="West Bengal"/>
    <x v="1"/>
    <n v="62"/>
    <n v="680"/>
    <n v="912"/>
    <n v="42160"/>
    <x v="634"/>
    <n v="14384"/>
    <s v="profit"/>
  </r>
  <r>
    <x v="307"/>
    <s v="december"/>
    <s v="Apex Innovations Co."/>
    <x v="1"/>
    <x v="7"/>
    <s v="Madhya Pradesh"/>
    <x v="1"/>
    <n v="67"/>
    <n v="600"/>
    <n v="1328"/>
    <n v="40200"/>
    <x v="635"/>
    <n v="48776"/>
    <s v="profit"/>
  </r>
  <r>
    <x v="308"/>
    <s v="january"/>
    <s v="Pure Harmony Health"/>
    <x v="1"/>
    <x v="7"/>
    <s v="Jharkhand"/>
    <x v="0"/>
    <n v="97"/>
    <n v="946"/>
    <n v="1297"/>
    <n v="91762"/>
    <x v="636"/>
    <n v="34047"/>
    <s v="profit"/>
  </r>
  <r>
    <x v="309"/>
    <s v="january"/>
    <s v="Apex Travel Innovations"/>
    <x v="1"/>
    <x v="5"/>
    <s v="Gujarat"/>
    <x v="1"/>
    <n v="62"/>
    <n v="800"/>
    <n v="882"/>
    <n v="49600"/>
    <x v="637"/>
    <n v="5084"/>
    <s v="profit"/>
  </r>
  <r>
    <x v="310"/>
    <s v="january"/>
    <s v="Modern Health Products"/>
    <x v="1"/>
    <x v="5"/>
    <s v="Uttar Pradesh"/>
    <x v="1"/>
    <n v="65"/>
    <n v="875"/>
    <n v="1361"/>
    <n v="56875"/>
    <x v="638"/>
    <n v="31590"/>
    <s v="profit"/>
  </r>
  <r>
    <x v="197"/>
    <s v="february"/>
    <s v="Zenith Tech Solutions"/>
    <x v="1"/>
    <x v="5"/>
    <s v="Himachal Pradesh"/>
    <x v="1"/>
    <n v="100"/>
    <n v="831"/>
    <n v="1466"/>
    <n v="83100"/>
    <x v="639"/>
    <n v="63500"/>
    <s v="profit"/>
  </r>
  <r>
    <x v="311"/>
    <s v="january"/>
    <s v="Harmony Finance Group"/>
    <x v="1"/>
    <x v="5"/>
    <s v="Uttar Pradesh"/>
    <x v="1"/>
    <n v="88"/>
    <n v="823"/>
    <n v="1026"/>
    <n v="72424"/>
    <x v="640"/>
    <n v="17864"/>
    <s v="profit"/>
  </r>
  <r>
    <x v="312"/>
    <s v="january"/>
    <s v="Pure Vision Consulting"/>
    <x v="1"/>
    <x v="5"/>
    <s v="Tamil Nadu"/>
    <x v="0"/>
    <n v="54"/>
    <n v="664"/>
    <n v="761"/>
    <n v="35856"/>
    <x v="641"/>
    <n v="5238"/>
    <s v="profit"/>
  </r>
  <r>
    <x v="313"/>
    <s v="january"/>
    <s v="Legacy Spectrum Co."/>
    <x v="1"/>
    <x v="5"/>
    <s v="Tamil Nadu"/>
    <x v="1"/>
    <n v="52"/>
    <n v="538"/>
    <n v="1257"/>
    <n v="27976"/>
    <x v="642"/>
    <n v="37388"/>
    <s v="profit"/>
  </r>
  <r>
    <x v="314"/>
    <s v="january"/>
    <s v="Stellar Media Services"/>
    <x v="1"/>
    <x v="7"/>
    <s v="Uttar Pradesh"/>
    <x v="1"/>
    <n v="81"/>
    <n v="556"/>
    <n v="1345"/>
    <n v="45036"/>
    <x v="643"/>
    <n v="63909"/>
    <s v="profit"/>
  </r>
  <r>
    <x v="315"/>
    <s v="january"/>
    <s v="Radiant Innovations Group"/>
    <x v="1"/>
    <x v="7"/>
    <s v="Jharkhand"/>
    <x v="1"/>
    <n v="72"/>
    <n v="608"/>
    <n v="1209"/>
    <n v="43776"/>
    <x v="644"/>
    <n v="43272"/>
    <s v="profit"/>
  </r>
  <r>
    <x v="316"/>
    <s v="january"/>
    <s v="Horizon Path Ventures"/>
    <x v="1"/>
    <x v="7"/>
    <s v="Kerala"/>
    <x v="0"/>
    <n v="61"/>
    <n v="994"/>
    <n v="886"/>
    <n v="60634"/>
    <x v="645"/>
    <n v="-6588"/>
    <s v="loss"/>
  </r>
  <r>
    <x v="317"/>
    <s v="january"/>
    <s v="Zenith Tech Co."/>
    <x v="1"/>
    <x v="7"/>
    <s v="Maharashtra"/>
    <x v="0"/>
    <n v="57"/>
    <n v="566"/>
    <n v="830"/>
    <n v="32262"/>
    <x v="646"/>
    <n v="15048"/>
    <s v="profit"/>
  </r>
  <r>
    <x v="318"/>
    <s v="january"/>
    <s v="Apex Finance Ventures"/>
    <x v="1"/>
    <x v="7"/>
    <s v="Himachal Pradesh"/>
    <x v="0"/>
    <n v="50"/>
    <n v="714"/>
    <n v="1071"/>
    <n v="35700"/>
    <x v="647"/>
    <n v="17850"/>
    <s v="profit"/>
  </r>
  <r>
    <x v="319"/>
    <s v="february"/>
    <s v="Zenith Wellness Co."/>
    <x v="1"/>
    <x v="5"/>
    <s v="Uttar Pradesh"/>
    <x v="0"/>
    <n v="80"/>
    <n v="636"/>
    <n v="1259"/>
    <n v="50880"/>
    <x v="648"/>
    <n v="49840"/>
    <s v="profit"/>
  </r>
  <r>
    <x v="320"/>
    <s v="february"/>
    <s v="Apex Design Services"/>
    <x v="1"/>
    <x v="5"/>
    <s v="Uttar Pradesh"/>
    <x v="0"/>
    <n v="50"/>
    <n v="581"/>
    <n v="1380"/>
    <n v="29050"/>
    <x v="649"/>
    <n v="39950"/>
    <s v="profit"/>
  </r>
  <r>
    <x v="6"/>
    <s v="april"/>
    <s v="Apex Solutions"/>
    <x v="1"/>
    <x v="1"/>
    <s v="Gujarat"/>
    <x v="1"/>
    <n v="78"/>
    <n v="655"/>
    <n v="790"/>
    <n v="51090"/>
    <x v="650"/>
    <n v="10530"/>
    <s v="profit"/>
  </r>
  <r>
    <x v="321"/>
    <s v="february"/>
    <s v="Pure Health Ventures"/>
    <x v="1"/>
    <x v="5"/>
    <s v="Tamil Nadu"/>
    <x v="0"/>
    <n v="78"/>
    <n v="964"/>
    <n v="1264"/>
    <n v="75192"/>
    <x v="651"/>
    <n v="23400"/>
    <s v="profit"/>
  </r>
  <r>
    <x v="322"/>
    <s v="february"/>
    <s v="Legacy Spectrum Group"/>
    <x v="1"/>
    <x v="5"/>
    <s v="Rajasthan"/>
    <x v="1"/>
    <n v="97"/>
    <n v="982"/>
    <n v="1243"/>
    <n v="95254"/>
    <x v="652"/>
    <n v="25317"/>
    <s v="profit"/>
  </r>
  <r>
    <x v="323"/>
    <s v="february"/>
    <s v="Pinnacle Media Ventures"/>
    <x v="1"/>
    <x v="5"/>
    <s v="Uttar Pradesh"/>
    <x v="1"/>
    <n v="93"/>
    <n v="736"/>
    <n v="864"/>
    <n v="68448"/>
    <x v="653"/>
    <n v="11904"/>
    <s v="profit"/>
  </r>
  <r>
    <x v="324"/>
    <s v="february"/>
    <s v="Stellar Innovations Group"/>
    <x v="1"/>
    <x v="5"/>
    <s v="Jharkhand"/>
    <x v="1"/>
    <n v="51"/>
    <n v="608"/>
    <n v="1179"/>
    <n v="31008"/>
    <x v="654"/>
    <n v="29121"/>
    <s v="profit"/>
  </r>
  <r>
    <x v="325"/>
    <s v="february"/>
    <s v="Radiant Educational Co."/>
    <x v="1"/>
    <x v="5"/>
    <s v="Kerala"/>
    <x v="1"/>
    <n v="95"/>
    <n v="642"/>
    <n v="796"/>
    <n v="60990"/>
    <x v="655"/>
    <n v="14630"/>
    <s v="profit"/>
  </r>
  <r>
    <x v="12"/>
    <s v="april"/>
    <s v="Metro Tech Solutions"/>
    <x v="2"/>
    <x v="3"/>
    <s v="Maharashtra"/>
    <x v="0"/>
    <n v="22"/>
    <n v="755"/>
    <n v="996"/>
    <n v="16610"/>
    <x v="656"/>
    <n v="5302"/>
    <s v="profit"/>
  </r>
  <r>
    <x v="326"/>
    <s v="february"/>
    <s v="Harmony Edge Ventures"/>
    <x v="1"/>
    <x v="5"/>
    <s v="Maharashtra"/>
    <x v="0"/>
    <n v="90"/>
    <n v="713"/>
    <n v="1148"/>
    <n v="64170"/>
    <x v="657"/>
    <n v="39150"/>
    <s v="profit"/>
  </r>
  <r>
    <x v="327"/>
    <s v="february"/>
    <s v="Apex Finance Group"/>
    <x v="1"/>
    <x v="5"/>
    <s v="Uttarakhand"/>
    <x v="1"/>
    <n v="81"/>
    <n v="813"/>
    <n v="1428"/>
    <n v="65853"/>
    <x v="658"/>
    <n v="49815"/>
    <s v="profit"/>
  </r>
  <r>
    <x v="328"/>
    <s v="february"/>
    <s v="Pure Harmony Media"/>
    <x v="1"/>
    <x v="5"/>
    <s v="Assam"/>
    <x v="1"/>
    <n v="57"/>
    <n v="912"/>
    <n v="1246"/>
    <n v="51984"/>
    <x v="659"/>
    <n v="19038"/>
    <s v="profit"/>
  </r>
  <r>
    <x v="329"/>
    <s v="february"/>
    <s v="Legacy Health Co."/>
    <x v="1"/>
    <x v="7"/>
    <s v="Punjab"/>
    <x v="1"/>
    <n v="61"/>
    <n v="565"/>
    <n v="1212"/>
    <n v="34465"/>
    <x v="660"/>
    <n v="39467"/>
    <s v="profit"/>
  </r>
  <r>
    <x v="330"/>
    <s v="february"/>
    <s v="ACCOUNTS EXPERT"/>
    <x v="1"/>
    <x v="10"/>
    <s v="Punjab"/>
    <x v="1"/>
    <n v="62"/>
    <n v="805"/>
    <n v="1163"/>
    <n v="49910"/>
    <x v="661"/>
    <n v="22196"/>
    <s v="profit"/>
  </r>
  <r>
    <x v="198"/>
    <s v="april"/>
    <s v="Golden Horizon Ventures"/>
    <x v="1"/>
    <x v="1"/>
    <s v="Karnataka"/>
    <x v="1"/>
    <n v="74"/>
    <n v="743"/>
    <n v="1265"/>
    <n v="54982"/>
    <x v="662"/>
    <n v="38628"/>
    <s v="profit"/>
  </r>
  <r>
    <x v="199"/>
    <s v="april"/>
    <s v="Eternal Traditions"/>
    <x v="1"/>
    <x v="1"/>
    <s v="Telangana"/>
    <x v="1"/>
    <n v="83"/>
    <n v="594"/>
    <n v="852"/>
    <n v="49302"/>
    <x v="663"/>
    <n v="21414"/>
    <s v="profit"/>
  </r>
  <r>
    <x v="200"/>
    <s v="april"/>
    <s v="Harmony Foods"/>
    <x v="1"/>
    <x v="1"/>
    <s v="Maharashtra"/>
    <x v="1"/>
    <n v="70"/>
    <n v="878"/>
    <n v="844"/>
    <n v="61460"/>
    <x v="664"/>
    <n v="-2380"/>
    <s v="loss"/>
  </r>
  <r>
    <x v="201"/>
    <s v="april"/>
    <s v="Sacred Roots Apparel"/>
    <x v="1"/>
    <x v="9"/>
    <s v="Maharashtra"/>
    <x v="0"/>
    <n v="57"/>
    <n v="724"/>
    <n v="839"/>
    <n v="41268"/>
    <x v="665"/>
    <n v="6555"/>
    <s v="profit"/>
  </r>
  <r>
    <x v="22"/>
    <s v="april"/>
    <s v="Elite Marketing Solutions"/>
    <x v="2"/>
    <x v="4"/>
    <s v="Tamil Nadu"/>
    <x v="1"/>
    <n v="23"/>
    <n v="627"/>
    <n v="855"/>
    <n v="14421"/>
    <x v="666"/>
    <n v="5244"/>
    <s v="profit"/>
  </r>
  <r>
    <x v="202"/>
    <s v="april"/>
    <s v="Quantum Finance Services"/>
    <x v="1"/>
    <x v="9"/>
    <s v="Chandigarh"/>
    <x v="0"/>
    <n v="50"/>
    <n v="537"/>
    <n v="1172"/>
    <n v="26850"/>
    <x v="667"/>
    <n v="31750"/>
    <s v="profit"/>
  </r>
  <r>
    <x v="24"/>
    <s v="april"/>
    <s v="Crystal Clear Solutions"/>
    <x v="2"/>
    <x v="4"/>
    <s v="Rajasthan"/>
    <x v="0"/>
    <n v="23"/>
    <n v="938"/>
    <n v="1336"/>
    <n v="21574"/>
    <x v="668"/>
    <n v="9154"/>
    <s v="profit"/>
  </r>
  <r>
    <x v="203"/>
    <s v="april"/>
    <s v="Brilliant Minds Academy"/>
    <x v="1"/>
    <x v="9"/>
    <s v="Madhya Pradesh"/>
    <x v="0"/>
    <n v="67"/>
    <n v="989"/>
    <n v="956"/>
    <n v="66263"/>
    <x v="669"/>
    <n v="-2211"/>
    <s v="loss"/>
  </r>
  <r>
    <x v="204"/>
    <s v="april"/>
    <s v="Visionary Holdings"/>
    <x v="1"/>
    <x v="9"/>
    <s v="Andhra Pradesh"/>
    <x v="0"/>
    <n v="83"/>
    <n v="917"/>
    <n v="989"/>
    <n v="76111"/>
    <x v="670"/>
    <n v="5976"/>
    <s v="profit"/>
  </r>
  <r>
    <x v="205"/>
    <s v="april"/>
    <s v="Stellar Design Studio"/>
    <x v="1"/>
    <x v="9"/>
    <s v="Bihar"/>
    <x v="0"/>
    <n v="74"/>
    <n v="645"/>
    <n v="879"/>
    <n v="47730"/>
    <x v="671"/>
    <n v="17316"/>
    <s v="profit"/>
  </r>
  <r>
    <x v="206"/>
    <s v="april"/>
    <s v="Classic Cuisines"/>
    <x v="1"/>
    <x v="9"/>
    <s v="Gujarat"/>
    <x v="1"/>
    <n v="76"/>
    <n v="943"/>
    <n v="1394"/>
    <n v="71668"/>
    <x v="672"/>
    <n v="34276"/>
    <s v="profit"/>
  </r>
  <r>
    <x v="207"/>
    <s v="april"/>
    <s v="Bold Ventures"/>
    <x v="1"/>
    <x v="9"/>
    <s v="Uttar Pradesh"/>
    <x v="1"/>
    <n v="85"/>
    <n v="505"/>
    <n v="1435"/>
    <n v="42925"/>
    <x v="673"/>
    <n v="79050"/>
    <s v="profit"/>
  </r>
  <r>
    <x v="208"/>
    <s v="may"/>
    <s v="Radiance Spa"/>
    <x v="1"/>
    <x v="5"/>
    <s v="Rajasthan"/>
    <x v="1"/>
    <n v="82"/>
    <n v="928"/>
    <n v="1428"/>
    <n v="76096"/>
    <x v="674"/>
    <n v="41000"/>
    <s v="profit"/>
  </r>
  <r>
    <x v="209"/>
    <s v="may"/>
    <s v="Verve Fitness Studio"/>
    <x v="1"/>
    <x v="5"/>
    <s v="Uttar Pradesh"/>
    <x v="0"/>
    <n v="72"/>
    <n v="605"/>
    <n v="1081"/>
    <n v="43560"/>
    <x v="675"/>
    <n v="34272"/>
    <s v="profit"/>
  </r>
  <r>
    <x v="210"/>
    <s v="may"/>
    <s v="Sparkle Cleaners"/>
    <x v="1"/>
    <x v="5"/>
    <s v="Uttar Pradesh"/>
    <x v="0"/>
    <n v="82"/>
    <n v="993"/>
    <n v="823"/>
    <n v="81426"/>
    <x v="676"/>
    <n v="-13940"/>
    <s v="loss"/>
  </r>
  <r>
    <x v="211"/>
    <s v="may"/>
    <s v="Global Reach Logistics"/>
    <x v="1"/>
    <x v="5"/>
    <s v="Maharashtra"/>
    <x v="0"/>
    <n v="53"/>
    <n v="803"/>
    <n v="1335"/>
    <n v="42559"/>
    <x v="677"/>
    <n v="28196"/>
    <s v="profit"/>
  </r>
  <r>
    <x v="212"/>
    <s v="may"/>
    <s v="Noble Path Finance"/>
    <x v="1"/>
    <x v="5"/>
    <s v="Madhya Pradesh"/>
    <x v="0"/>
    <n v="87"/>
    <n v="742"/>
    <n v="856"/>
    <n v="64554"/>
    <x v="678"/>
    <n v="9918"/>
    <s v="profit"/>
  </r>
  <r>
    <x v="213"/>
    <s v="may"/>
    <s v="Dynamic Events Management"/>
    <x v="1"/>
    <x v="5"/>
    <s v="Maharashtra"/>
    <x v="0"/>
    <n v="70"/>
    <n v="605"/>
    <n v="1489"/>
    <n v="42350"/>
    <x v="679"/>
    <n v="61880"/>
    <s v="profit"/>
  </r>
  <r>
    <x v="214"/>
    <s v="may"/>
    <s v="Crystal Waters Resort"/>
    <x v="1"/>
    <x v="5"/>
    <s v="Chandigarh"/>
    <x v="0"/>
    <n v="94"/>
    <n v="754"/>
    <n v="1354"/>
    <n v="70876"/>
    <x v="680"/>
    <n v="56400"/>
    <s v="profit"/>
  </r>
  <r>
    <x v="215"/>
    <s v="may"/>
    <s v="Excellence Tutors"/>
    <x v="1"/>
    <x v="5"/>
    <s v="Madhya Pradesh"/>
    <x v="0"/>
    <n v="80"/>
    <n v="622"/>
    <n v="1168"/>
    <n v="49760"/>
    <x v="681"/>
    <n v="43680"/>
    <s v="profit"/>
  </r>
  <r>
    <x v="216"/>
    <s v="may"/>
    <s v="Horizon Builders"/>
    <x v="1"/>
    <x v="5"/>
    <s v="Andhra Pradesh"/>
    <x v="1"/>
    <n v="88"/>
    <n v="625"/>
    <n v="1324"/>
    <n v="55000"/>
    <x v="682"/>
    <n v="61512"/>
    <s v="profit"/>
  </r>
  <r>
    <x v="217"/>
    <s v="may"/>
    <s v="Classic Heritage Crafts"/>
    <x v="1"/>
    <x v="5"/>
    <s v="Gujarat"/>
    <x v="1"/>
    <n v="67"/>
    <n v="760"/>
    <n v="1006"/>
    <n v="50920"/>
    <x v="683"/>
    <n v="16482"/>
    <s v="profit"/>
  </r>
  <r>
    <x v="218"/>
    <s v="may"/>
    <s v="Prime Focus Media"/>
    <x v="1"/>
    <x v="7"/>
    <s v="Uttar Pradesh"/>
    <x v="1"/>
    <n v="75"/>
    <n v="966"/>
    <n v="1355"/>
    <n v="72450"/>
    <x v="684"/>
    <n v="29175"/>
    <s v="profit"/>
  </r>
  <r>
    <x v="219"/>
    <s v="june"/>
    <s v="Noble Nutraceuticals"/>
    <x v="1"/>
    <x v="7"/>
    <s v="Uttar Pradesh"/>
    <x v="0"/>
    <n v="51"/>
    <n v="749"/>
    <n v="1060"/>
    <n v="38199"/>
    <x v="685"/>
    <n v="15861"/>
    <s v="profit"/>
  </r>
  <r>
    <x v="220"/>
    <s v="june"/>
    <s v="Supreme Travel Agency"/>
    <x v="1"/>
    <x v="7"/>
    <s v="Tamil Nadu"/>
    <x v="1"/>
    <n v="94"/>
    <n v="721"/>
    <n v="996"/>
    <n v="67774"/>
    <x v="686"/>
    <n v="25850"/>
    <s v="profit"/>
  </r>
  <r>
    <x v="221"/>
    <s v="june"/>
    <s v="Future Vision Tech"/>
    <x v="1"/>
    <x v="7"/>
    <s v="Tamil Nadu"/>
    <x v="1"/>
    <n v="71"/>
    <n v="869"/>
    <n v="753"/>
    <n v="61699"/>
    <x v="687"/>
    <n v="-8236"/>
    <s v="loss"/>
  </r>
  <r>
    <x v="222"/>
    <s v="june"/>
    <s v="Urban Groove Apparel"/>
    <x v="1"/>
    <x v="7"/>
    <s v="Rajasthan"/>
    <x v="1"/>
    <n v="52"/>
    <n v="550"/>
    <n v="869"/>
    <n v="28600"/>
    <x v="688"/>
    <n v="16588"/>
    <s v="profit"/>
  </r>
  <r>
    <x v="223"/>
    <s v="june"/>
    <s v="Echo Real Estate"/>
    <x v="1"/>
    <x v="7"/>
    <s v="Uttar Pradesh"/>
    <x v="1"/>
    <n v="77"/>
    <n v="513"/>
    <n v="871"/>
    <n v="39501"/>
    <x v="689"/>
    <n v="27566"/>
    <s v="profit"/>
  </r>
  <r>
    <x v="224"/>
    <s v="june"/>
    <s v="Pinnacle Health Products"/>
    <x v="1"/>
    <x v="7"/>
    <s v="Jharkhand"/>
    <x v="0"/>
    <n v="84"/>
    <n v="739"/>
    <n v="1161"/>
    <n v="62076"/>
    <x v="690"/>
    <n v="35448"/>
    <s v="profit"/>
  </r>
  <r>
    <x v="225"/>
    <s v="june"/>
    <s v="Apex Auto Care"/>
    <x v="1"/>
    <x v="7"/>
    <s v="Kerala"/>
    <x v="0"/>
    <n v="71"/>
    <n v="923"/>
    <n v="996"/>
    <n v="65533"/>
    <x v="663"/>
    <n v="5183"/>
    <s v="profit"/>
  </r>
  <r>
    <x v="226"/>
    <s v="june"/>
    <s v="Royal Glow Cosmetics"/>
    <x v="1"/>
    <x v="7"/>
    <s v="Maharashtra"/>
    <x v="0"/>
    <n v="59"/>
    <n v="862"/>
    <n v="1233"/>
    <n v="50858"/>
    <x v="691"/>
    <n v="21889"/>
    <s v="profit"/>
  </r>
  <r>
    <x v="49"/>
    <s v="may"/>
    <s v="Absolute Solutions"/>
    <x v="1"/>
    <x v="5"/>
    <s v="Gujarat"/>
    <x v="1"/>
    <n v="90"/>
    <n v="718"/>
    <n v="1353"/>
    <n v="64620"/>
    <x v="692"/>
    <n v="57150"/>
    <s v="profit"/>
  </r>
  <r>
    <x v="227"/>
    <s v="june"/>
    <s v="Zenith Culinary Arts"/>
    <x v="1"/>
    <x v="7"/>
    <s v="Himachal Pradesh"/>
    <x v="0"/>
    <n v="77"/>
    <n v="882"/>
    <n v="914"/>
    <n v="67914"/>
    <x v="693"/>
    <n v="2464"/>
    <s v="profit"/>
  </r>
  <r>
    <x v="228"/>
    <s v="june"/>
    <s v="Visionary Tours"/>
    <x v="1"/>
    <x v="7"/>
    <s v="Uttarakhand"/>
    <x v="0"/>
    <n v="90"/>
    <n v="862"/>
    <n v="902"/>
    <n v="77580"/>
    <x v="694"/>
    <n v="3600"/>
    <s v="profit"/>
  </r>
  <r>
    <x v="229"/>
    <s v="june"/>
    <s v="Elite Essence Products"/>
    <x v="1"/>
    <x v="5"/>
    <s v="West Bengal"/>
    <x v="1"/>
    <n v="73"/>
    <n v="541"/>
    <n v="1114"/>
    <n v="39493"/>
    <x v="695"/>
    <n v="41829"/>
    <s v="profit"/>
  </r>
  <r>
    <x v="230"/>
    <s v="june"/>
    <s v="Dynamic Creations"/>
    <x v="1"/>
    <x v="5"/>
    <s v="Karnataka"/>
    <x v="1"/>
    <n v="94"/>
    <n v="772"/>
    <n v="1390"/>
    <n v="72568"/>
    <x v="696"/>
    <n v="58092"/>
    <s v="profit"/>
  </r>
  <r>
    <x v="231"/>
    <s v="june"/>
    <s v="Quantum Design Studio"/>
    <x v="1"/>
    <x v="5"/>
    <s v="Delhi"/>
    <x v="1"/>
    <n v="66"/>
    <n v="771"/>
    <n v="1419"/>
    <n v="50886"/>
    <x v="697"/>
    <n v="42768"/>
    <s v="profit"/>
  </r>
  <r>
    <x v="232"/>
    <s v="june"/>
    <s v="Apex Construction"/>
    <x v="1"/>
    <x v="5"/>
    <s v="West Bengal"/>
    <x v="0"/>
    <n v="65"/>
    <n v="762"/>
    <n v="1394"/>
    <n v="49530"/>
    <x v="698"/>
    <n v="41080"/>
    <s v="profit"/>
  </r>
  <r>
    <x v="233"/>
    <s v="june"/>
    <s v="Legacy Innovations"/>
    <x v="1"/>
    <x v="7"/>
    <s v="Tamil Nadu"/>
    <x v="0"/>
    <n v="78"/>
    <n v="918"/>
    <n v="1469"/>
    <n v="71604"/>
    <x v="699"/>
    <n v="42978"/>
    <s v="profit"/>
  </r>
  <r>
    <x v="234"/>
    <s v="june"/>
    <s v="Pure Harmony Foods"/>
    <x v="1"/>
    <x v="7"/>
    <s v="Karnataka"/>
    <x v="1"/>
    <n v="76"/>
    <n v="624"/>
    <n v="899"/>
    <n v="47424"/>
    <x v="700"/>
    <n v="20900"/>
    <s v="profit"/>
  </r>
  <r>
    <x v="58"/>
    <s v="may"/>
    <s v="Synergy Tech Solutions"/>
    <x v="1"/>
    <x v="5"/>
    <s v="Bihar"/>
    <x v="1"/>
    <n v="59"/>
    <n v="716"/>
    <n v="1257"/>
    <n v="42244"/>
    <x v="701"/>
    <n v="31919"/>
    <s v="profit"/>
  </r>
  <r>
    <x v="235"/>
    <s v="june"/>
    <s v="Zenith Security Systems"/>
    <x v="1"/>
    <x v="7"/>
    <s v="Telangana"/>
    <x v="1"/>
    <n v="99"/>
    <n v="598"/>
    <n v="1404"/>
    <n v="59202"/>
    <x v="702"/>
    <n v="79794"/>
    <s v="profit"/>
  </r>
  <r>
    <x v="236"/>
    <s v="june"/>
    <s v="Crystal Clear Beverages"/>
    <x v="1"/>
    <x v="7"/>
    <s v="Gujarat"/>
    <x v="1"/>
    <n v="78"/>
    <n v="761"/>
    <n v="1174"/>
    <n v="59358"/>
    <x v="703"/>
    <n v="32214"/>
    <s v="profit"/>
  </r>
  <r>
    <x v="237"/>
    <s v="june"/>
    <s v="Metro Line Tech"/>
    <x v="1"/>
    <x v="7"/>
    <s v="Maharashtra"/>
    <x v="1"/>
    <n v="96"/>
    <n v="512"/>
    <n v="970"/>
    <n v="49152"/>
    <x v="704"/>
    <n v="43968"/>
    <s v="profit"/>
  </r>
  <r>
    <x v="238"/>
    <s v="june"/>
    <s v="Urban Pulse Consulting"/>
    <x v="1"/>
    <x v="7"/>
    <s v="Rajasthan"/>
    <x v="1"/>
    <n v="85"/>
    <n v="765"/>
    <n v="1024"/>
    <n v="65025"/>
    <x v="705"/>
    <n v="22015"/>
    <s v="profit"/>
  </r>
  <r>
    <x v="239"/>
    <s v="july"/>
    <s v="Legacy Design Group"/>
    <x v="1"/>
    <x v="5"/>
    <s v="Punjab"/>
    <x v="0"/>
    <n v="59"/>
    <n v="663"/>
    <n v="872"/>
    <n v="39117"/>
    <x v="706"/>
    <n v="12331"/>
    <s v="profit"/>
  </r>
  <r>
    <x v="240"/>
    <s v="july"/>
    <s v="Supreme Wellness"/>
    <x v="1"/>
    <x v="5"/>
    <s v="Chhattisgarh"/>
    <x v="0"/>
    <n v="75"/>
    <n v="871"/>
    <n v="1274"/>
    <n v="65325"/>
    <x v="707"/>
    <n v="30225"/>
    <s v="profit"/>
  </r>
  <r>
    <x v="241"/>
    <s v="july"/>
    <s v="Harmony Tech Innovations"/>
    <x v="1"/>
    <x v="5"/>
    <s v="West Bengal"/>
    <x v="0"/>
    <n v="87"/>
    <n v="869"/>
    <n v="1247"/>
    <n v="75603"/>
    <x v="708"/>
    <n v="32886"/>
    <s v="profit"/>
  </r>
  <r>
    <x v="242"/>
    <s v="july"/>
    <s v="Stellar Education Services"/>
    <x v="1"/>
    <x v="5"/>
    <s v="West Bengal"/>
    <x v="0"/>
    <n v="100"/>
    <n v="605"/>
    <n v="1249"/>
    <n v="60500"/>
    <x v="709"/>
    <n v="64400"/>
    <s v="profit"/>
  </r>
  <r>
    <x v="243"/>
    <s v="july"/>
    <s v="Visionary Health Products"/>
    <x v="1"/>
    <x v="5"/>
    <s v="Madhya Pradesh"/>
    <x v="0"/>
    <n v="51"/>
    <n v="798"/>
    <n v="910"/>
    <n v="40698"/>
    <x v="710"/>
    <n v="5712"/>
    <s v="profit"/>
  </r>
  <r>
    <x v="244"/>
    <s v="july"/>
    <s v="Crystal Innovations"/>
    <x v="1"/>
    <x v="5"/>
    <s v="Jharkhand"/>
    <x v="0"/>
    <n v="52"/>
    <n v="984"/>
    <n v="992"/>
    <n v="51168"/>
    <x v="711"/>
    <n v="416"/>
    <s v="profit"/>
  </r>
  <r>
    <x v="245"/>
    <s v="july"/>
    <s v="Future Trends Retail"/>
    <x v="1"/>
    <x v="5"/>
    <s v="West Bengal"/>
    <x v="0"/>
    <n v="97"/>
    <n v="565"/>
    <n v="995"/>
    <n v="54805"/>
    <x v="712"/>
    <n v="41710"/>
    <s v="profit"/>
  </r>
  <r>
    <x v="246"/>
    <s v="july"/>
    <s v="Radiant Horizon Ventures"/>
    <x v="1"/>
    <x v="5"/>
    <s v="Karnataka"/>
    <x v="0"/>
    <n v="58"/>
    <n v="799"/>
    <n v="1273"/>
    <n v="46342"/>
    <x v="713"/>
    <n v="27492"/>
    <s v="profit"/>
  </r>
  <r>
    <x v="247"/>
    <s v="july"/>
    <s v="Urban Edge Realty"/>
    <x v="1"/>
    <x v="5"/>
    <s v="Delhi"/>
    <x v="1"/>
    <n v="69"/>
    <n v="524"/>
    <n v="893"/>
    <n v="36156"/>
    <x v="714"/>
    <n v="25461"/>
    <s v="profit"/>
  </r>
  <r>
    <x v="248"/>
    <s v="july"/>
    <s v="Prime Focus Innovations"/>
    <x v="1"/>
    <x v="5"/>
    <s v="Maharashtra"/>
    <x v="1"/>
    <n v="81"/>
    <n v="903"/>
    <n v="1306"/>
    <n v="73143"/>
    <x v="715"/>
    <n v="32643"/>
    <s v="profit"/>
  </r>
  <r>
    <x v="249"/>
    <s v="august"/>
    <s v="Elite Spectrum Consulting"/>
    <x v="1"/>
    <x v="5"/>
    <s v="West Bengal"/>
    <x v="1"/>
    <n v="89"/>
    <n v="584"/>
    <n v="777"/>
    <n v="51976"/>
    <x v="716"/>
    <n v="17177"/>
    <s v="profit"/>
  </r>
  <r>
    <x v="250"/>
    <s v="august"/>
    <s v="Dynamic Design Studio"/>
    <x v="1"/>
    <x v="5"/>
    <s v="Tamil Nadu"/>
    <x v="1"/>
    <n v="75"/>
    <n v="906"/>
    <n v="954"/>
    <n v="67950"/>
    <x v="717"/>
    <n v="3600"/>
    <s v="profit"/>
  </r>
  <r>
    <x v="63"/>
    <s v="june"/>
    <s v="Radiant Enterprise Solutions"/>
    <x v="0"/>
    <x v="0"/>
    <s v="West Bengal"/>
    <x v="0"/>
    <n v="17"/>
    <n v="901"/>
    <n v="1283"/>
    <n v="15317"/>
    <x v="718"/>
    <n v="6494"/>
    <s v="profit"/>
  </r>
  <r>
    <x v="251"/>
    <s v="august"/>
    <s v="Royal Crest Foods"/>
    <x v="1"/>
    <x v="7"/>
    <s v="Telangana"/>
    <x v="0"/>
    <n v="98"/>
    <n v="925"/>
    <n v="904"/>
    <n v="90650"/>
    <x v="719"/>
    <n v="-2058"/>
    <s v="loss"/>
  </r>
  <r>
    <x v="252"/>
    <s v="august"/>
    <s v="Zenith Travels"/>
    <x v="1"/>
    <x v="7"/>
    <s v="Gujarat"/>
    <x v="0"/>
    <n v="73"/>
    <n v="508"/>
    <n v="1324"/>
    <n v="37084"/>
    <x v="720"/>
    <n v="59568"/>
    <s v="profit"/>
  </r>
  <r>
    <x v="253"/>
    <s v="august"/>
    <s v="Quantum Media Group"/>
    <x v="1"/>
    <x v="5"/>
    <s v="Uttar Pradesh"/>
    <x v="0"/>
    <n v="87"/>
    <n v="876"/>
    <n v="880"/>
    <n v="76212"/>
    <x v="721"/>
    <n v="348"/>
    <s v="profit"/>
  </r>
  <r>
    <x v="254"/>
    <s v="august"/>
    <s v="Legacy Builders"/>
    <x v="1"/>
    <x v="5"/>
    <s v="Jharkhand"/>
    <x v="0"/>
    <n v="69"/>
    <n v="993"/>
    <n v="862"/>
    <n v="68517"/>
    <x v="722"/>
    <n v="-9039"/>
    <s v="loss"/>
  </r>
  <r>
    <x v="255"/>
    <s v="august"/>
    <s v="Apex Spa &amp; Wellness"/>
    <x v="1"/>
    <x v="5"/>
    <s v="Kerala"/>
    <x v="0"/>
    <n v="62"/>
    <n v="781"/>
    <n v="946"/>
    <n v="48422"/>
    <x v="723"/>
    <n v="10230"/>
    <s v="profit"/>
  </r>
  <r>
    <x v="64"/>
    <s v="june"/>
    <s v="Infinite Solutions"/>
    <x v="1"/>
    <x v="5"/>
    <s v="Maharashtra"/>
    <x v="0"/>
    <n v="83"/>
    <n v="889"/>
    <n v="1075"/>
    <n v="73787"/>
    <x v="724"/>
    <n v="15438"/>
    <s v="profit"/>
  </r>
  <r>
    <x v="256"/>
    <s v="august"/>
    <s v="Radiant Travel Services"/>
    <x v="1"/>
    <x v="5"/>
    <s v="Maharashtra"/>
    <x v="0"/>
    <n v="63"/>
    <n v="718"/>
    <n v="1047"/>
    <n v="45234"/>
    <x v="725"/>
    <n v="20727"/>
    <s v="profit"/>
  </r>
  <r>
    <x v="257"/>
    <s v="august"/>
    <s v="Modern Trends Consulting"/>
    <x v="1"/>
    <x v="5"/>
    <s v="Himachal Pradesh"/>
    <x v="0"/>
    <n v="72"/>
    <n v="673"/>
    <n v="1027"/>
    <n v="48456"/>
    <x v="726"/>
    <n v="25488"/>
    <s v="profit"/>
  </r>
  <r>
    <x v="258"/>
    <s v="august"/>
    <s v="Global Horizon Ventures"/>
    <x v="1"/>
    <x v="5"/>
    <s v="Uttarakhand"/>
    <x v="0"/>
    <n v="76"/>
    <n v="567"/>
    <n v="897"/>
    <n v="43092"/>
    <x v="727"/>
    <n v="25080"/>
    <s v="profit"/>
  </r>
  <r>
    <x v="259"/>
    <s v="august"/>
    <s v="Elite Enterprises"/>
    <x v="1"/>
    <x v="5"/>
    <s v="Assam"/>
    <x v="1"/>
    <n v="70"/>
    <n v="751"/>
    <n v="1026"/>
    <n v="52570"/>
    <x v="728"/>
    <n v="19250"/>
    <s v="profit"/>
  </r>
  <r>
    <x v="260"/>
    <s v="september"/>
    <s v="Pinnacle Health Innovations"/>
    <x v="1"/>
    <x v="5"/>
    <s v="Chhattisgarh"/>
    <x v="1"/>
    <n v="56"/>
    <n v="559"/>
    <n v="1151"/>
    <n v="31304"/>
    <x v="729"/>
    <n v="33152"/>
    <s v="profit"/>
  </r>
  <r>
    <x v="261"/>
    <s v="september"/>
    <s v="Horizon Fashion"/>
    <x v="1"/>
    <x v="7"/>
    <s v="West Bengal"/>
    <x v="1"/>
    <n v="72"/>
    <n v="719"/>
    <n v="911"/>
    <n v="51768"/>
    <x v="730"/>
    <n v="13824"/>
    <s v="profit"/>
  </r>
  <r>
    <x v="262"/>
    <s v="september"/>
    <s v="Crystal Essence Beverages"/>
    <x v="1"/>
    <x v="7"/>
    <s v="West Bengal"/>
    <x v="1"/>
    <n v="89"/>
    <n v="703"/>
    <n v="795"/>
    <n v="62567"/>
    <x v="677"/>
    <n v="8188"/>
    <s v="profit"/>
  </r>
  <r>
    <x v="263"/>
    <s v="september"/>
    <s v="Dynamic Pathways"/>
    <x v="1"/>
    <x v="7"/>
    <s v="Madhya Pradesh"/>
    <x v="0"/>
    <n v="77"/>
    <n v="780"/>
    <n v="967"/>
    <n v="60060"/>
    <x v="731"/>
    <n v="14399"/>
    <s v="profit"/>
  </r>
  <r>
    <x v="264"/>
    <s v="september"/>
    <s v="Radiance Apparel"/>
    <x v="1"/>
    <x v="7"/>
    <s v="West Bengal"/>
    <x v="0"/>
    <n v="54"/>
    <n v="762"/>
    <n v="1186"/>
    <n v="41148"/>
    <x v="732"/>
    <n v="22896"/>
    <s v="profit"/>
  </r>
  <r>
    <x v="265"/>
    <s v="september"/>
    <s v="Zenith Design Group"/>
    <x v="1"/>
    <x v="7"/>
    <s v="Karnataka"/>
    <x v="1"/>
    <n v="91"/>
    <n v="647"/>
    <n v="1073"/>
    <n v="58877"/>
    <x v="733"/>
    <n v="38766"/>
    <s v="profit"/>
  </r>
  <r>
    <x v="65"/>
    <s v="july"/>
    <s v="Synergy Solutions Group"/>
    <x v="0"/>
    <x v="2"/>
    <s v="Maharashtra"/>
    <x v="0"/>
    <n v="14"/>
    <n v="684"/>
    <n v="1483"/>
    <n v="9576"/>
    <x v="734"/>
    <n v="11186"/>
    <s v="profit"/>
  </r>
  <r>
    <x v="266"/>
    <s v="september"/>
    <s v="Modern Horizons Consulting"/>
    <x v="1"/>
    <x v="7"/>
    <s v="Maharashtra"/>
    <x v="1"/>
    <n v="63"/>
    <n v="720"/>
    <n v="1458"/>
    <n v="45360"/>
    <x v="735"/>
    <n v="46494"/>
    <s v="profit"/>
  </r>
  <r>
    <x v="267"/>
    <s v="september"/>
    <s v="Apex Realty Services"/>
    <x v="1"/>
    <x v="7"/>
    <s v="Madhya Pradesh"/>
    <x v="1"/>
    <n v="66"/>
    <n v="958"/>
    <n v="1017"/>
    <n v="63228"/>
    <x v="736"/>
    <n v="3894"/>
    <s v="profit"/>
  </r>
  <r>
    <x v="268"/>
    <s v="september"/>
    <s v="Zenith Educational Group"/>
    <x v="1"/>
    <x v="7"/>
    <s v="Maharashtra"/>
    <x v="1"/>
    <n v="54"/>
    <n v="663"/>
    <n v="943"/>
    <n v="35802"/>
    <x v="737"/>
    <n v="15120"/>
    <s v="profit"/>
  </r>
  <r>
    <x v="269"/>
    <s v="september"/>
    <s v="True Path Ventures"/>
    <x v="1"/>
    <x v="7"/>
    <s v="Chandigarh"/>
    <x v="0"/>
    <n v="73"/>
    <n v="540"/>
    <n v="1397"/>
    <n v="39420"/>
    <x v="738"/>
    <n v="62561"/>
    <s v="profit"/>
  </r>
  <r>
    <x v="270"/>
    <s v="september"/>
    <s v="Radiance Media"/>
    <x v="1"/>
    <x v="7"/>
    <s v="Madhya Pradesh"/>
    <x v="1"/>
    <n v="76"/>
    <n v="744"/>
    <n v="1145"/>
    <n v="56544"/>
    <x v="739"/>
    <n v="30476"/>
    <s v="profit"/>
  </r>
  <r>
    <x v="271"/>
    <s v="september"/>
    <s v="Legacy Health Systems"/>
    <x v="1"/>
    <x v="7"/>
    <s v="Andhra Pradesh"/>
    <x v="1"/>
    <n v="94"/>
    <n v="874"/>
    <n v="895"/>
    <n v="82156"/>
    <x v="740"/>
    <n v="1974"/>
    <s v="profit"/>
  </r>
  <r>
    <x v="272"/>
    <s v="september"/>
    <s v="Urban Focus Products"/>
    <x v="1"/>
    <x v="7"/>
    <s v="Bihar"/>
    <x v="1"/>
    <n v="97"/>
    <n v="752"/>
    <n v="1286"/>
    <n v="72944"/>
    <x v="741"/>
    <n v="51798"/>
    <s v="profit"/>
  </r>
  <r>
    <x v="273"/>
    <s v="october"/>
    <s v="Visionary Innovations"/>
    <x v="1"/>
    <x v="5"/>
    <s v="Jharkhand"/>
    <x v="0"/>
    <n v="77"/>
    <n v="951"/>
    <n v="1432"/>
    <n v="73227"/>
    <x v="742"/>
    <n v="37037"/>
    <s v="profit"/>
  </r>
  <r>
    <x v="274"/>
    <s v="october"/>
    <s v="Horizon Design Studio"/>
    <x v="1"/>
    <x v="5"/>
    <s v="Kerala"/>
    <x v="0"/>
    <n v="52"/>
    <n v="633"/>
    <n v="1226"/>
    <n v="32916"/>
    <x v="743"/>
    <n v="30836"/>
    <s v="profit"/>
  </r>
  <r>
    <x v="275"/>
    <s v="october"/>
    <s v="Legacy Tech Products"/>
    <x v="1"/>
    <x v="5"/>
    <s v="Himachal Pradesh"/>
    <x v="0"/>
    <n v="80"/>
    <n v="982"/>
    <n v="1224"/>
    <n v="78560"/>
    <x v="744"/>
    <n v="19360"/>
    <s v="profit"/>
  </r>
  <r>
    <x v="276"/>
    <s v="october"/>
    <s v="Pinnacle Wellness Services"/>
    <x v="1"/>
    <x v="5"/>
    <s v="Uttarakhand"/>
    <x v="0"/>
    <n v="81"/>
    <n v="917"/>
    <n v="1344"/>
    <n v="74277"/>
    <x v="745"/>
    <n v="34587"/>
    <s v="profit"/>
  </r>
  <r>
    <x v="277"/>
    <s v="october"/>
    <s v="Urban Insight Consulting"/>
    <x v="1"/>
    <x v="7"/>
    <s v="Assam"/>
    <x v="0"/>
    <n v="63"/>
    <n v="747"/>
    <n v="778"/>
    <n v="47061"/>
    <x v="746"/>
    <n v="1953"/>
    <s v="profit"/>
  </r>
  <r>
    <x v="66"/>
    <s v="july"/>
    <s v="Horizon Tech Solutions"/>
    <x v="2"/>
    <x v="6"/>
    <s v="Uttar Pradesh"/>
    <x v="0"/>
    <n v="23"/>
    <n v="559"/>
    <n v="1456"/>
    <n v="12857"/>
    <x v="747"/>
    <n v="20631"/>
    <s v="profit"/>
  </r>
  <r>
    <x v="278"/>
    <s v="october"/>
    <s v="Crystal Horizons"/>
    <x v="1"/>
    <x v="7"/>
    <s v="Punjab"/>
    <x v="0"/>
    <n v="88"/>
    <n v="978"/>
    <n v="1231"/>
    <n v="86064"/>
    <x v="748"/>
    <n v="22264"/>
    <s v="profit"/>
  </r>
  <r>
    <x v="279"/>
    <s v="october"/>
    <s v="Radiant Apparel"/>
    <x v="1"/>
    <x v="7"/>
    <s v="Chhattisgarh"/>
    <x v="0"/>
    <n v="82"/>
    <n v="652"/>
    <n v="994"/>
    <n v="53464"/>
    <x v="749"/>
    <n v="28044"/>
    <s v="profit"/>
  </r>
  <r>
    <x v="280"/>
    <s v="october"/>
    <s v="True Value Products"/>
    <x v="1"/>
    <x v="7"/>
    <s v="West Bengal"/>
    <x v="0"/>
    <n v="80"/>
    <n v="841"/>
    <n v="1490"/>
    <n v="67280"/>
    <x v="750"/>
    <n v="51920"/>
    <s v="profit"/>
  </r>
  <r>
    <x v="281"/>
    <s v="october"/>
    <s v="Zenith Health Products"/>
    <x v="1"/>
    <x v="7"/>
    <s v="Madhya Pradesh"/>
    <x v="1"/>
    <n v="70"/>
    <n v="798"/>
    <n v="1318"/>
    <n v="55860"/>
    <x v="751"/>
    <n v="36400"/>
    <s v="profit"/>
  </r>
  <r>
    <x v="282"/>
    <s v="october"/>
    <s v="Stellar Wellness Products"/>
    <x v="1"/>
    <x v="1"/>
    <s v="Kerala"/>
    <x v="1"/>
    <n v="69"/>
    <n v="921"/>
    <n v="1177"/>
    <n v="63549"/>
    <x v="752"/>
    <n v="17664"/>
    <s v="profit"/>
  </r>
  <r>
    <x v="283"/>
    <s v="october"/>
    <s v="Radiant Consulting Group"/>
    <x v="1"/>
    <x v="1"/>
    <s v="Maharashtra"/>
    <x v="1"/>
    <n v="60"/>
    <n v="729"/>
    <n v="759"/>
    <n v="43740"/>
    <x v="753"/>
    <n v="1800"/>
    <s v="profit"/>
  </r>
  <r>
    <x v="284"/>
    <s v="october"/>
    <s v="Harmony Ventures Co."/>
    <x v="1"/>
    <x v="1"/>
    <s v="Himachal Pradesh"/>
    <x v="0"/>
    <n v="99"/>
    <n v="880"/>
    <n v="1318"/>
    <n v="87120"/>
    <x v="574"/>
    <n v="43362"/>
    <s v="profit"/>
  </r>
  <r>
    <x v="285"/>
    <s v="october"/>
    <s v="Urban Path Technologies"/>
    <x v="1"/>
    <x v="1"/>
    <s v="Uttarakhand"/>
    <x v="1"/>
    <n v="88"/>
    <n v="552"/>
    <n v="1422"/>
    <n v="48576"/>
    <x v="754"/>
    <n v="76560"/>
    <s v="profit"/>
  </r>
  <r>
    <x v="286"/>
    <s v="november"/>
    <s v="Modern Vision Ventures"/>
    <x v="1"/>
    <x v="9"/>
    <s v="West Bengal"/>
    <x v="0"/>
    <n v="60"/>
    <n v="827"/>
    <n v="762"/>
    <n v="49620"/>
    <x v="755"/>
    <n v="-3900"/>
    <s v="loss"/>
  </r>
  <r>
    <x v="287"/>
    <s v="november"/>
    <s v="Elite Travel Services"/>
    <x v="1"/>
    <x v="9"/>
    <s v="Karnataka"/>
    <x v="0"/>
    <n v="64"/>
    <n v="529"/>
    <n v="1195"/>
    <n v="33856"/>
    <x v="756"/>
    <n v="42624"/>
    <s v="profit"/>
  </r>
  <r>
    <x v="288"/>
    <s v="november"/>
    <s v="Crystal Innovations Group"/>
    <x v="1"/>
    <x v="9"/>
    <s v="Maharashtra"/>
    <x v="0"/>
    <n v="51"/>
    <n v="859"/>
    <n v="1243"/>
    <n v="43809"/>
    <x v="757"/>
    <n v="19584"/>
    <s v="profit"/>
  </r>
  <r>
    <x v="289"/>
    <s v="november"/>
    <s v="Pinnacle Fitness Studio"/>
    <x v="1"/>
    <x v="9"/>
    <s v="West Bengal"/>
    <x v="0"/>
    <n v="68"/>
    <n v="756"/>
    <n v="887"/>
    <n v="51408"/>
    <x v="758"/>
    <n v="8908"/>
    <s v="profit"/>
  </r>
  <r>
    <x v="290"/>
    <s v="november"/>
    <s v="Stellar Travel Agency"/>
    <x v="1"/>
    <x v="9"/>
    <s v="Tamil Nadu"/>
    <x v="0"/>
    <n v="87"/>
    <n v="882"/>
    <n v="1211"/>
    <n v="76734"/>
    <x v="759"/>
    <n v="28623"/>
    <s v="profit"/>
  </r>
  <r>
    <x v="291"/>
    <s v="december"/>
    <s v="Apex Travel Ventures"/>
    <x v="1"/>
    <x v="5"/>
    <s v="Assam"/>
    <x v="1"/>
    <n v="51"/>
    <n v="685"/>
    <n v="1224"/>
    <n v="34935"/>
    <x v="760"/>
    <n v="27489"/>
    <s v="profit"/>
  </r>
  <r>
    <x v="292"/>
    <s v="december"/>
    <s v="True Path Consulting"/>
    <x v="1"/>
    <x v="5"/>
    <s v="Chhattisgarh"/>
    <x v="0"/>
    <n v="72"/>
    <n v="765"/>
    <n v="1368"/>
    <n v="55080"/>
    <x v="761"/>
    <n v="43416"/>
    <s v="profit"/>
  </r>
  <r>
    <x v="293"/>
    <s v="december"/>
    <s v="Legacy Finance Group"/>
    <x v="1"/>
    <x v="5"/>
    <s v="West Bengal"/>
    <x v="0"/>
    <n v="54"/>
    <n v="702"/>
    <n v="930"/>
    <n v="37908"/>
    <x v="762"/>
    <n v="12312"/>
    <s v="profit"/>
  </r>
  <r>
    <x v="294"/>
    <s v="december"/>
    <s v="Pinnacle Design Ventures"/>
    <x v="1"/>
    <x v="5"/>
    <s v="Gujarat"/>
    <x v="0"/>
    <n v="97"/>
    <n v="917"/>
    <n v="1203"/>
    <n v="88949"/>
    <x v="763"/>
    <n v="27742"/>
    <s v="profit"/>
  </r>
  <r>
    <x v="295"/>
    <s v="december"/>
    <s v="Stellar Innovations Co."/>
    <x v="1"/>
    <x v="5"/>
    <s v="Uttar Pradesh"/>
    <x v="0"/>
    <n v="84"/>
    <n v="516"/>
    <n v="820"/>
    <n v="43344"/>
    <x v="260"/>
    <n v="25536"/>
    <s v="profit"/>
  </r>
  <r>
    <x v="67"/>
    <s v="august"/>
    <s v="Apex Wellness Solutions"/>
    <x v="1"/>
    <x v="7"/>
    <s v="Karnataka"/>
    <x v="1"/>
    <n v="66"/>
    <n v="715"/>
    <n v="1460"/>
    <n v="47190"/>
    <x v="764"/>
    <n v="49170"/>
    <s v="profit"/>
  </r>
  <r>
    <x v="296"/>
    <s v="december"/>
    <s v="Harmony Marketing Co."/>
    <x v="1"/>
    <x v="5"/>
    <s v="Tamil Nadu"/>
    <x v="0"/>
    <n v="92"/>
    <n v="789"/>
    <n v="1229"/>
    <n v="72588"/>
    <x v="765"/>
    <n v="40480"/>
    <s v="profit"/>
  </r>
  <r>
    <x v="297"/>
    <s v="december"/>
    <s v="Urban Tech Innovations"/>
    <x v="1"/>
    <x v="5"/>
    <s v="Tamil Nadu"/>
    <x v="0"/>
    <n v="53"/>
    <n v="962"/>
    <n v="1442"/>
    <n v="50986"/>
    <x v="766"/>
    <n v="25440"/>
    <s v="profit"/>
  </r>
  <r>
    <x v="298"/>
    <s v="december"/>
    <s v="Crystal Wellness Group"/>
    <x v="1"/>
    <x v="5"/>
    <s v="Rajasthan"/>
    <x v="0"/>
    <n v="81"/>
    <n v="565"/>
    <n v="1224"/>
    <n v="45765"/>
    <x v="767"/>
    <n v="53379"/>
    <s v="profit"/>
  </r>
  <r>
    <x v="299"/>
    <s v="december"/>
    <s v="Apex Media Co."/>
    <x v="1"/>
    <x v="5"/>
    <s v="Jharkhand"/>
    <x v="0"/>
    <n v="96"/>
    <n v="715"/>
    <n v="1171"/>
    <n v="68640"/>
    <x v="768"/>
    <n v="43776"/>
    <s v="profit"/>
  </r>
  <r>
    <x v="68"/>
    <s v="august"/>
    <s v="Radiance Tech Solutions"/>
    <x v="0"/>
    <x v="2"/>
    <s v="Gujarat"/>
    <x v="0"/>
    <n v="10"/>
    <n v="812"/>
    <n v="1112"/>
    <n v="8120"/>
    <x v="769"/>
    <n v="3000"/>
    <s v="profit"/>
  </r>
  <r>
    <x v="300"/>
    <s v="december"/>
    <s v="Legacy Health Ventures"/>
    <x v="1"/>
    <x v="7"/>
    <s v="Maharashtra"/>
    <x v="0"/>
    <n v="69"/>
    <n v="699"/>
    <n v="835"/>
    <n v="48231"/>
    <x v="770"/>
    <n v="9384"/>
    <s v="profit"/>
  </r>
  <r>
    <x v="301"/>
    <s v="december"/>
    <s v="Pinnacle Spectrum Co."/>
    <x v="1"/>
    <x v="7"/>
    <s v="Himachal Pradesh"/>
    <x v="0"/>
    <n v="58"/>
    <n v="924"/>
    <n v="990"/>
    <n v="53592"/>
    <x v="771"/>
    <n v="3828"/>
    <s v="profit"/>
  </r>
  <r>
    <x v="302"/>
    <s v="december"/>
    <s v="Stellar Travel Products"/>
    <x v="1"/>
    <x v="7"/>
    <s v="Uttarakhand"/>
    <x v="0"/>
    <n v="83"/>
    <n v="790"/>
    <n v="1164"/>
    <n v="65570"/>
    <x v="772"/>
    <n v="31042"/>
    <s v="profit"/>
  </r>
  <r>
    <x v="303"/>
    <s v="december"/>
    <s v="Radiance Finance Services"/>
    <x v="1"/>
    <x v="7"/>
    <s v="Assam"/>
    <x v="0"/>
    <n v="60"/>
    <n v="867"/>
    <n v="854"/>
    <n v="52020"/>
    <x v="773"/>
    <n v="-780"/>
    <s v="loss"/>
  </r>
  <r>
    <x v="304"/>
    <s v="december"/>
    <s v="Modern Travel Agency"/>
    <x v="1"/>
    <x v="7"/>
    <s v="Chhattisgarh"/>
    <x v="1"/>
    <n v="89"/>
    <n v="702"/>
    <n v="1314"/>
    <n v="62478"/>
    <x v="774"/>
    <n v="54468"/>
    <s v="profit"/>
  </r>
  <r>
    <x v="305"/>
    <s v="december"/>
    <s v="Crystal Path Consulting"/>
    <x v="1"/>
    <x v="7"/>
    <s v="West Bengal"/>
    <x v="1"/>
    <n v="91"/>
    <n v="805"/>
    <n v="1361"/>
    <n v="73255"/>
    <x v="775"/>
    <n v="50596"/>
    <s v="profit"/>
  </r>
  <r>
    <x v="306"/>
    <s v="december"/>
    <s v="Zenith Educational Services"/>
    <x v="1"/>
    <x v="7"/>
    <s v="West Bengal"/>
    <x v="1"/>
    <n v="78"/>
    <n v="682"/>
    <n v="962"/>
    <n v="53196"/>
    <x v="776"/>
    <n v="21840"/>
    <s v="profit"/>
  </r>
  <r>
    <x v="69"/>
    <s v="august"/>
    <s v="Apex Enterprise Solutions"/>
    <x v="2"/>
    <x v="6"/>
    <s v="Andhra Pradesh"/>
    <x v="1"/>
    <n v="22"/>
    <n v="888"/>
    <n v="1284"/>
    <n v="19536"/>
    <x v="777"/>
    <n v="8712"/>
    <s v="profit"/>
  </r>
  <r>
    <x v="307"/>
    <s v="december"/>
    <s v="Apex Innovations Co."/>
    <x v="1"/>
    <x v="7"/>
    <s v="Madhya Pradesh"/>
    <x v="1"/>
    <n v="54"/>
    <n v="990"/>
    <n v="970"/>
    <n v="53460"/>
    <x v="778"/>
    <n v="-1080"/>
    <s v="loss"/>
  </r>
  <r>
    <x v="308"/>
    <s v="january"/>
    <s v="Pure Harmony Health"/>
    <x v="1"/>
    <x v="7"/>
    <s v="Jharkhand"/>
    <x v="0"/>
    <n v="72"/>
    <n v="749"/>
    <n v="1262"/>
    <n v="53928"/>
    <x v="779"/>
    <n v="36936"/>
    <s v="profit"/>
  </r>
  <r>
    <x v="309"/>
    <s v="january"/>
    <s v="Apex Travel Innovations"/>
    <x v="1"/>
    <x v="5"/>
    <s v="Gujarat"/>
    <x v="1"/>
    <n v="51"/>
    <n v="925"/>
    <n v="750"/>
    <n v="47175"/>
    <x v="780"/>
    <n v="-8925"/>
    <s v="loss"/>
  </r>
  <r>
    <x v="310"/>
    <s v="january"/>
    <s v="Modern Health Products"/>
    <x v="1"/>
    <x v="5"/>
    <s v="Uttar Pradesh"/>
    <x v="1"/>
    <n v="56"/>
    <n v="782"/>
    <n v="1353"/>
    <n v="43792"/>
    <x v="599"/>
    <n v="31976"/>
    <s v="profit"/>
  </r>
  <r>
    <x v="311"/>
    <s v="january"/>
    <s v="Harmony Finance Group"/>
    <x v="1"/>
    <x v="5"/>
    <s v="Uttar Pradesh"/>
    <x v="1"/>
    <n v="92"/>
    <n v="978"/>
    <n v="1062"/>
    <n v="89976"/>
    <x v="781"/>
    <n v="7728"/>
    <s v="profit"/>
  </r>
  <r>
    <x v="70"/>
    <s v="august"/>
    <s v="Prestige Solutions"/>
    <x v="2"/>
    <x v="6"/>
    <s v="Tamil Nadu"/>
    <x v="0"/>
    <n v="29"/>
    <n v="818"/>
    <n v="999"/>
    <n v="23722"/>
    <x v="782"/>
    <n v="5249"/>
    <s v="profit"/>
  </r>
  <r>
    <x v="312"/>
    <s v="january"/>
    <s v="Pure Vision Consulting"/>
    <x v="1"/>
    <x v="5"/>
    <s v="Tamil Nadu"/>
    <x v="0"/>
    <n v="75"/>
    <n v="539"/>
    <n v="1068"/>
    <n v="40425"/>
    <x v="783"/>
    <n v="39675"/>
    <s v="profit"/>
  </r>
  <r>
    <x v="313"/>
    <s v="january"/>
    <s v="Legacy Spectrum Co."/>
    <x v="1"/>
    <x v="5"/>
    <s v="Tamil Nadu"/>
    <x v="1"/>
    <n v="78"/>
    <n v="608"/>
    <n v="1496"/>
    <n v="47424"/>
    <x v="784"/>
    <n v="69264"/>
    <s v="profit"/>
  </r>
  <r>
    <x v="314"/>
    <s v="january"/>
    <s v="Stellar Media Services"/>
    <x v="1"/>
    <x v="7"/>
    <s v="Uttar Pradesh"/>
    <x v="1"/>
    <n v="66"/>
    <n v="831"/>
    <n v="787"/>
    <n v="54846"/>
    <x v="785"/>
    <n v="-2904"/>
    <s v="loss"/>
  </r>
  <r>
    <x v="315"/>
    <s v="january"/>
    <s v="Radiant Innovations Group"/>
    <x v="1"/>
    <x v="7"/>
    <s v="Jharkhand"/>
    <x v="1"/>
    <n v="86"/>
    <n v="855"/>
    <n v="930"/>
    <n v="73530"/>
    <x v="786"/>
    <n v="6450"/>
    <s v="profit"/>
  </r>
  <r>
    <x v="316"/>
    <s v="january"/>
    <s v="Horizon Path Ventures"/>
    <x v="1"/>
    <x v="7"/>
    <s v="Kerala"/>
    <x v="0"/>
    <n v="84"/>
    <n v="948"/>
    <n v="1156"/>
    <n v="79632"/>
    <x v="787"/>
    <n v="17472"/>
    <s v="profit"/>
  </r>
  <r>
    <x v="317"/>
    <s v="january"/>
    <s v="Zenith Tech Co."/>
    <x v="1"/>
    <x v="7"/>
    <s v="Maharashtra"/>
    <x v="0"/>
    <n v="90"/>
    <n v="962"/>
    <n v="970"/>
    <n v="86580"/>
    <x v="788"/>
    <n v="720"/>
    <s v="profit"/>
  </r>
  <r>
    <x v="318"/>
    <s v="january"/>
    <s v="Apex Finance Ventures"/>
    <x v="1"/>
    <x v="7"/>
    <s v="Himachal Pradesh"/>
    <x v="0"/>
    <n v="84"/>
    <n v="521"/>
    <n v="1320"/>
    <n v="43764"/>
    <x v="789"/>
    <n v="67116"/>
    <s v="profit"/>
  </r>
  <r>
    <x v="319"/>
    <s v="february"/>
    <s v="Zenith Wellness Co."/>
    <x v="1"/>
    <x v="5"/>
    <s v="Uttar Pradesh"/>
    <x v="0"/>
    <n v="85"/>
    <n v="938"/>
    <n v="802"/>
    <n v="79730"/>
    <x v="790"/>
    <n v="-11560"/>
    <s v="loss"/>
  </r>
  <r>
    <x v="71"/>
    <s v="august"/>
    <s v="Urban Wave Solutions"/>
    <x v="1"/>
    <x v="5"/>
    <s v="Punjab"/>
    <x v="1"/>
    <n v="60"/>
    <n v="645"/>
    <n v="936"/>
    <n v="38700"/>
    <x v="791"/>
    <n v="17460"/>
    <s v="profit"/>
  </r>
  <r>
    <x v="320"/>
    <s v="february"/>
    <s v="Apex Design Services"/>
    <x v="1"/>
    <x v="5"/>
    <s v="Uttar Pradesh"/>
    <x v="0"/>
    <n v="62"/>
    <n v="562"/>
    <n v="884"/>
    <n v="34844"/>
    <x v="792"/>
    <n v="19964"/>
    <s v="profit"/>
  </r>
  <r>
    <x v="321"/>
    <s v="february"/>
    <s v="Pure Health Ventures"/>
    <x v="1"/>
    <x v="5"/>
    <s v="Tamil Nadu"/>
    <x v="0"/>
    <n v="50"/>
    <n v="887"/>
    <n v="1068"/>
    <n v="44350"/>
    <x v="793"/>
    <n v="9050"/>
    <s v="profit"/>
  </r>
  <r>
    <x v="322"/>
    <s v="february"/>
    <s v="Legacy Spectrum Group"/>
    <x v="1"/>
    <x v="5"/>
    <s v="Rajasthan"/>
    <x v="1"/>
    <n v="66"/>
    <n v="771"/>
    <n v="1492"/>
    <n v="50886"/>
    <x v="794"/>
    <n v="47586"/>
    <s v="profit"/>
  </r>
  <r>
    <x v="323"/>
    <s v="february"/>
    <s v="Pinnacle Media Ventures"/>
    <x v="1"/>
    <x v="5"/>
    <s v="Uttar Pradesh"/>
    <x v="1"/>
    <n v="61"/>
    <n v="529"/>
    <n v="1419"/>
    <n v="32269"/>
    <x v="795"/>
    <n v="54290"/>
    <s v="profit"/>
  </r>
  <r>
    <x v="72"/>
    <s v="september"/>
    <s v="Visionary Realty Solutions"/>
    <x v="1"/>
    <x v="7"/>
    <s v="Jharkhand"/>
    <x v="0"/>
    <n v="68"/>
    <n v="777"/>
    <n v="1433"/>
    <n v="52836"/>
    <x v="796"/>
    <n v="44608"/>
    <s v="profit"/>
  </r>
  <r>
    <x v="324"/>
    <s v="february"/>
    <s v="Stellar Innovations Group"/>
    <x v="1"/>
    <x v="5"/>
    <s v="Jharkhand"/>
    <x v="1"/>
    <n v="78"/>
    <n v="511"/>
    <n v="1368"/>
    <n v="39858"/>
    <x v="797"/>
    <n v="66846"/>
    <s v="profit"/>
  </r>
  <r>
    <x v="325"/>
    <s v="february"/>
    <s v="Radiant Educational Co."/>
    <x v="1"/>
    <x v="5"/>
    <s v="Kerala"/>
    <x v="1"/>
    <n v="96"/>
    <n v="790"/>
    <n v="1335"/>
    <n v="75840"/>
    <x v="798"/>
    <n v="52320"/>
    <s v="profit"/>
  </r>
  <r>
    <x v="326"/>
    <s v="february"/>
    <s v="Harmony Edge Ventures"/>
    <x v="1"/>
    <x v="5"/>
    <s v="Maharashtra"/>
    <x v="0"/>
    <n v="63"/>
    <n v="722"/>
    <n v="1374"/>
    <n v="45486"/>
    <x v="799"/>
    <n v="41076"/>
    <s v="profit"/>
  </r>
  <r>
    <x v="327"/>
    <s v="february"/>
    <s v="Apex Finance Group"/>
    <x v="1"/>
    <x v="5"/>
    <s v="Uttarakhand"/>
    <x v="1"/>
    <n v="92"/>
    <n v="521"/>
    <n v="1414"/>
    <n v="47932"/>
    <x v="800"/>
    <n v="82156"/>
    <s v="profit"/>
  </r>
  <r>
    <x v="328"/>
    <s v="february"/>
    <s v="Pure Harmony Media"/>
    <x v="1"/>
    <x v="5"/>
    <s v="Assam"/>
    <x v="1"/>
    <n v="65"/>
    <n v="661"/>
    <n v="1425"/>
    <n v="42965"/>
    <x v="801"/>
    <n v="49660"/>
    <s v="profit"/>
  </r>
  <r>
    <x v="329"/>
    <s v="february"/>
    <s v="Legacy Health Co."/>
    <x v="1"/>
    <x v="7"/>
    <s v="Punjab"/>
    <x v="1"/>
    <n v="77"/>
    <n v="595"/>
    <n v="1470"/>
    <n v="45815"/>
    <x v="539"/>
    <n v="67375"/>
    <s v="profit"/>
  </r>
  <r>
    <x v="330"/>
    <s v="february"/>
    <s v="ACCOUNTS EXPERT"/>
    <x v="1"/>
    <x v="10"/>
    <s v="Punjab"/>
    <x v="1"/>
    <n v="62"/>
    <n v="774"/>
    <n v="1050"/>
    <n v="47988"/>
    <x v="802"/>
    <n v="17112"/>
    <s v="profit"/>
  </r>
  <r>
    <x v="198"/>
    <s v="april"/>
    <s v="Golden Horizon Ventures"/>
    <x v="1"/>
    <x v="1"/>
    <s v="Karnataka"/>
    <x v="1"/>
    <n v="65"/>
    <n v="816"/>
    <n v="1347"/>
    <n v="53040"/>
    <x v="803"/>
    <n v="34515"/>
    <s v="profit"/>
  </r>
  <r>
    <x v="73"/>
    <s v="september"/>
    <s v="Pure Essence Solutions"/>
    <x v="0"/>
    <x v="2"/>
    <s v="Gujarat"/>
    <x v="0"/>
    <n v="19"/>
    <n v="576"/>
    <n v="1181"/>
    <n v="10944"/>
    <x v="804"/>
    <n v="11495"/>
    <s v="profit"/>
  </r>
  <r>
    <x v="199"/>
    <s v="april"/>
    <s v="Eternal Traditions"/>
    <x v="1"/>
    <x v="1"/>
    <s v="Telangana"/>
    <x v="1"/>
    <n v="100"/>
    <n v="893"/>
    <n v="1460"/>
    <n v="89300"/>
    <x v="805"/>
    <n v="56700"/>
    <s v="profit"/>
  </r>
  <r>
    <x v="200"/>
    <s v="april"/>
    <s v="Harmony Foods"/>
    <x v="1"/>
    <x v="1"/>
    <s v="Maharashtra"/>
    <x v="1"/>
    <n v="79"/>
    <n v="632"/>
    <n v="1271"/>
    <n v="49928"/>
    <x v="806"/>
    <n v="50481"/>
    <s v="profit"/>
  </r>
  <r>
    <x v="201"/>
    <s v="april"/>
    <s v="Sacred Roots Apparel"/>
    <x v="1"/>
    <x v="9"/>
    <s v="Maharashtra"/>
    <x v="0"/>
    <n v="74"/>
    <n v="859"/>
    <n v="1315"/>
    <n v="63566"/>
    <x v="807"/>
    <n v="33744"/>
    <s v="profit"/>
  </r>
  <r>
    <x v="202"/>
    <s v="april"/>
    <s v="Quantum Finance Services"/>
    <x v="1"/>
    <x v="9"/>
    <s v="Chandigarh"/>
    <x v="0"/>
    <n v="77"/>
    <n v="579"/>
    <n v="1178"/>
    <n v="44583"/>
    <x v="808"/>
    <n v="46123"/>
    <s v="profit"/>
  </r>
  <r>
    <x v="74"/>
    <s v="september"/>
    <s v="Crystal Health Solutions"/>
    <x v="0"/>
    <x v="2"/>
    <s v="Uttar Pradesh"/>
    <x v="1"/>
    <n v="16"/>
    <n v="689"/>
    <n v="1068"/>
    <n v="11024"/>
    <x v="809"/>
    <n v="6064"/>
    <s v="profit"/>
  </r>
  <r>
    <x v="203"/>
    <s v="april"/>
    <s v="Brilliant Minds Academy"/>
    <x v="1"/>
    <x v="9"/>
    <s v="Madhya Pradesh"/>
    <x v="0"/>
    <n v="61"/>
    <n v="865"/>
    <n v="894"/>
    <n v="52765"/>
    <x v="810"/>
    <n v="1769"/>
    <s v="profit"/>
  </r>
  <r>
    <x v="204"/>
    <s v="april"/>
    <s v="Visionary Holdings"/>
    <x v="1"/>
    <x v="9"/>
    <s v="Andhra Pradesh"/>
    <x v="0"/>
    <n v="57"/>
    <n v="881"/>
    <n v="1185"/>
    <n v="50217"/>
    <x v="811"/>
    <n v="17328"/>
    <s v="profit"/>
  </r>
  <r>
    <x v="205"/>
    <s v="april"/>
    <s v="Stellar Design Studio"/>
    <x v="1"/>
    <x v="9"/>
    <s v="Bihar"/>
    <x v="0"/>
    <n v="57"/>
    <n v="548"/>
    <n v="1306"/>
    <n v="31236"/>
    <x v="812"/>
    <n v="43206"/>
    <s v="profit"/>
  </r>
  <r>
    <x v="206"/>
    <s v="april"/>
    <s v="Classic Cuisines"/>
    <x v="1"/>
    <x v="9"/>
    <s v="Gujarat"/>
    <x v="1"/>
    <n v="84"/>
    <n v="702"/>
    <n v="787"/>
    <n v="58968"/>
    <x v="813"/>
    <n v="7140"/>
    <s v="profit"/>
  </r>
  <r>
    <x v="207"/>
    <s v="april"/>
    <s v="Bold Ventures"/>
    <x v="1"/>
    <x v="9"/>
    <s v="Uttar Pradesh"/>
    <x v="1"/>
    <n v="76"/>
    <n v="875"/>
    <n v="1268"/>
    <n v="66500"/>
    <x v="814"/>
    <n v="29868"/>
    <s v="profit"/>
  </r>
  <r>
    <x v="208"/>
    <s v="may"/>
    <s v="Radiance Spa"/>
    <x v="1"/>
    <x v="5"/>
    <s v="Rajasthan"/>
    <x v="1"/>
    <n v="50"/>
    <n v="885"/>
    <n v="927"/>
    <n v="44250"/>
    <x v="815"/>
    <n v="2100"/>
    <s v="profit"/>
  </r>
  <r>
    <x v="209"/>
    <s v="may"/>
    <s v="Verve Fitness Studio"/>
    <x v="1"/>
    <x v="5"/>
    <s v="Uttar Pradesh"/>
    <x v="0"/>
    <n v="53"/>
    <n v="950"/>
    <n v="875"/>
    <n v="50350"/>
    <x v="816"/>
    <n v="-3975"/>
    <s v="loss"/>
  </r>
  <r>
    <x v="210"/>
    <s v="may"/>
    <s v="Sparkle Cleaners"/>
    <x v="1"/>
    <x v="5"/>
    <s v="Uttar Pradesh"/>
    <x v="0"/>
    <n v="62"/>
    <n v="623"/>
    <n v="1253"/>
    <n v="38626"/>
    <x v="817"/>
    <n v="39060"/>
    <s v="profit"/>
  </r>
  <r>
    <x v="75"/>
    <s v="september"/>
    <s v="Stellar Travel Solutions"/>
    <x v="0"/>
    <x v="0"/>
    <s v="Uttar Pradesh"/>
    <x v="0"/>
    <n v="18"/>
    <n v="835"/>
    <n v="1234"/>
    <n v="15030"/>
    <x v="818"/>
    <n v="7182"/>
    <s v="profit"/>
  </r>
  <r>
    <x v="211"/>
    <s v="may"/>
    <s v="Global Reach Logistics"/>
    <x v="1"/>
    <x v="5"/>
    <s v="Maharashtra"/>
    <x v="0"/>
    <n v="72"/>
    <n v="920"/>
    <n v="753"/>
    <n v="66240"/>
    <x v="819"/>
    <n v="-12024"/>
    <s v="loss"/>
  </r>
  <r>
    <x v="76"/>
    <s v="september"/>
    <s v="Pure Harmony Solutions"/>
    <x v="0"/>
    <x v="0"/>
    <s v="Tamil Nadu"/>
    <x v="0"/>
    <n v="13"/>
    <n v="855"/>
    <n v="951"/>
    <n v="11115"/>
    <x v="820"/>
    <n v="1248"/>
    <s v="profit"/>
  </r>
  <r>
    <x v="212"/>
    <s v="may"/>
    <s v="Noble Path Finance"/>
    <x v="1"/>
    <x v="5"/>
    <s v="Madhya Pradesh"/>
    <x v="0"/>
    <n v="69"/>
    <n v="860"/>
    <n v="1081"/>
    <n v="59340"/>
    <x v="821"/>
    <n v="15249"/>
    <s v="profit"/>
  </r>
  <r>
    <x v="213"/>
    <s v="may"/>
    <s v="Dynamic Events Management"/>
    <x v="1"/>
    <x v="5"/>
    <s v="Maharashtra"/>
    <x v="0"/>
    <n v="80"/>
    <n v="765"/>
    <n v="924"/>
    <n v="61200"/>
    <x v="822"/>
    <n v="12720"/>
    <s v="profit"/>
  </r>
  <r>
    <x v="214"/>
    <s v="may"/>
    <s v="Crystal Waters Resort"/>
    <x v="1"/>
    <x v="5"/>
    <s v="Chandigarh"/>
    <x v="0"/>
    <n v="75"/>
    <n v="690"/>
    <n v="817"/>
    <n v="51750"/>
    <x v="823"/>
    <n v="9525"/>
    <s v="profit"/>
  </r>
  <r>
    <x v="215"/>
    <s v="may"/>
    <s v="Excellence Tutors"/>
    <x v="1"/>
    <x v="5"/>
    <s v="Madhya Pradesh"/>
    <x v="0"/>
    <n v="100"/>
    <n v="795"/>
    <n v="1136"/>
    <n v="79500"/>
    <x v="824"/>
    <n v="34100"/>
    <s v="profit"/>
  </r>
  <r>
    <x v="216"/>
    <s v="may"/>
    <s v="Horizon Builders"/>
    <x v="1"/>
    <x v="5"/>
    <s v="Andhra Pradesh"/>
    <x v="1"/>
    <n v="85"/>
    <n v="845"/>
    <n v="1155"/>
    <n v="71825"/>
    <x v="825"/>
    <n v="26350"/>
    <s v="profit"/>
  </r>
  <r>
    <x v="77"/>
    <s v="october"/>
    <s v="Modern Spectrum Solutions"/>
    <x v="1"/>
    <x v="5"/>
    <s v="Maharashtra"/>
    <x v="0"/>
    <n v="79"/>
    <n v="683"/>
    <n v="1444"/>
    <n v="53957"/>
    <x v="826"/>
    <n v="60119"/>
    <s v="profit"/>
  </r>
  <r>
    <x v="217"/>
    <s v="may"/>
    <s v="Classic Heritage Crafts"/>
    <x v="1"/>
    <x v="5"/>
    <s v="Gujarat"/>
    <x v="1"/>
    <n v="51"/>
    <n v="876"/>
    <n v="1252"/>
    <n v="44676"/>
    <x v="827"/>
    <n v="19176"/>
    <s v="profit"/>
  </r>
  <r>
    <x v="218"/>
    <s v="may"/>
    <s v="Prime Focus Media"/>
    <x v="1"/>
    <x v="7"/>
    <s v="Uttar Pradesh"/>
    <x v="1"/>
    <n v="55"/>
    <n v="793"/>
    <n v="1045"/>
    <n v="43615"/>
    <x v="828"/>
    <n v="13860"/>
    <s v="profit"/>
  </r>
  <r>
    <x v="219"/>
    <s v="june"/>
    <s v="Noble Nutraceuticals"/>
    <x v="1"/>
    <x v="7"/>
    <s v="Uttar Pradesh"/>
    <x v="0"/>
    <n v="82"/>
    <n v="641"/>
    <n v="809"/>
    <n v="52562"/>
    <x v="829"/>
    <n v="13776"/>
    <s v="profit"/>
  </r>
  <r>
    <x v="220"/>
    <s v="june"/>
    <s v="Supreme Travel Agency"/>
    <x v="1"/>
    <x v="7"/>
    <s v="Tamil Nadu"/>
    <x v="1"/>
    <n v="80"/>
    <n v="678"/>
    <n v="1016"/>
    <n v="54240"/>
    <x v="830"/>
    <n v="27040"/>
    <s v="profit"/>
  </r>
  <r>
    <x v="221"/>
    <s v="june"/>
    <s v="Future Vision Tech"/>
    <x v="1"/>
    <x v="7"/>
    <s v="Tamil Nadu"/>
    <x v="1"/>
    <n v="76"/>
    <n v="585"/>
    <n v="1366"/>
    <n v="44460"/>
    <x v="831"/>
    <n v="59356"/>
    <s v="profit"/>
  </r>
  <r>
    <x v="222"/>
    <s v="june"/>
    <s v="Urban Groove Apparel"/>
    <x v="1"/>
    <x v="7"/>
    <s v="Rajasthan"/>
    <x v="1"/>
    <n v="93"/>
    <n v="662"/>
    <n v="1319"/>
    <n v="61566"/>
    <x v="832"/>
    <n v="61101"/>
    <s v="profit"/>
  </r>
  <r>
    <x v="81"/>
    <s v="october"/>
    <s v="Apex Creative Solutions"/>
    <x v="1"/>
    <x v="7"/>
    <s v="West Bengal"/>
    <x v="1"/>
    <n v="67"/>
    <n v="711"/>
    <n v="1280"/>
    <n v="47637"/>
    <x v="833"/>
    <n v="38123"/>
    <s v="profit"/>
  </r>
  <r>
    <x v="223"/>
    <s v="june"/>
    <s v="Echo Real Estate"/>
    <x v="1"/>
    <x v="7"/>
    <s v="Uttar Pradesh"/>
    <x v="1"/>
    <n v="51"/>
    <n v="744"/>
    <n v="782"/>
    <n v="37944"/>
    <x v="834"/>
    <n v="1938"/>
    <s v="profit"/>
  </r>
  <r>
    <x v="224"/>
    <s v="june"/>
    <s v="Pinnacle Health Products"/>
    <x v="1"/>
    <x v="7"/>
    <s v="Jharkhand"/>
    <x v="0"/>
    <n v="88"/>
    <n v="820"/>
    <n v="1241"/>
    <n v="72160"/>
    <x v="835"/>
    <n v="37048"/>
    <s v="profit"/>
  </r>
  <r>
    <x v="225"/>
    <s v="june"/>
    <s v="Apex Auto Care"/>
    <x v="1"/>
    <x v="7"/>
    <s v="Kerala"/>
    <x v="0"/>
    <n v="72"/>
    <n v="937"/>
    <n v="1154"/>
    <n v="67464"/>
    <x v="836"/>
    <n v="15624"/>
    <s v="profit"/>
  </r>
  <r>
    <x v="226"/>
    <s v="june"/>
    <s v="Royal Glow Cosmetics"/>
    <x v="1"/>
    <x v="7"/>
    <s v="Maharashtra"/>
    <x v="0"/>
    <n v="55"/>
    <n v="685"/>
    <n v="824"/>
    <n v="37675"/>
    <x v="837"/>
    <n v="7645"/>
    <s v="profit"/>
  </r>
  <r>
    <x v="86"/>
    <s v="october"/>
    <s v="Radiance Solutions Group"/>
    <x v="0"/>
    <x v="2"/>
    <s v="Bihar"/>
    <x v="0"/>
    <n v="20"/>
    <n v="963"/>
    <n v="865"/>
    <n v="19260"/>
    <x v="838"/>
    <n v="-1960"/>
    <s v="loss"/>
  </r>
  <r>
    <x v="227"/>
    <s v="june"/>
    <s v="Zenith Culinary Arts"/>
    <x v="1"/>
    <x v="7"/>
    <s v="Himachal Pradesh"/>
    <x v="0"/>
    <n v="55"/>
    <n v="661"/>
    <n v="1133"/>
    <n v="36355"/>
    <x v="839"/>
    <n v="25960"/>
    <s v="profit"/>
  </r>
  <r>
    <x v="228"/>
    <s v="june"/>
    <s v="Visionary Tours"/>
    <x v="1"/>
    <x v="7"/>
    <s v="Uttarakhand"/>
    <x v="0"/>
    <n v="72"/>
    <n v="804"/>
    <n v="833"/>
    <n v="57888"/>
    <x v="840"/>
    <n v="2088"/>
    <s v="profit"/>
  </r>
  <r>
    <x v="89"/>
    <s v="october"/>
    <s v="Modern Edge Solutions"/>
    <x v="0"/>
    <x v="2"/>
    <s v="Uttar Pradesh"/>
    <x v="0"/>
    <n v="14"/>
    <n v="913"/>
    <n v="1155"/>
    <n v="12782"/>
    <x v="841"/>
    <n v="3388"/>
    <s v="profit"/>
  </r>
  <r>
    <x v="229"/>
    <s v="june"/>
    <s v="Elite Essence Products"/>
    <x v="1"/>
    <x v="5"/>
    <s v="West Bengal"/>
    <x v="1"/>
    <n v="87"/>
    <n v="616"/>
    <n v="1447"/>
    <n v="53592"/>
    <x v="842"/>
    <n v="72297"/>
    <s v="profit"/>
  </r>
  <r>
    <x v="91"/>
    <s v="october"/>
    <s v="Horizon Health Solutions"/>
    <x v="2"/>
    <x v="3"/>
    <s v="Tamil Nadu"/>
    <x v="0"/>
    <n v="23"/>
    <n v="616"/>
    <n v="919"/>
    <n v="14168"/>
    <x v="843"/>
    <n v="6969"/>
    <s v="profit"/>
  </r>
  <r>
    <x v="230"/>
    <s v="june"/>
    <s v="Dynamic Creations"/>
    <x v="1"/>
    <x v="5"/>
    <s v="Karnataka"/>
    <x v="1"/>
    <n v="57"/>
    <n v="724"/>
    <n v="1432"/>
    <n v="41268"/>
    <x v="844"/>
    <n v="40356"/>
    <s v="profit"/>
  </r>
  <r>
    <x v="93"/>
    <s v="october"/>
    <s v="Apex Marketing Solutions"/>
    <x v="2"/>
    <x v="8"/>
    <s v="Uttar Pradesh"/>
    <x v="1"/>
    <n v="28"/>
    <n v="539"/>
    <n v="1106"/>
    <n v="15092"/>
    <x v="845"/>
    <n v="15876"/>
    <s v="profit"/>
  </r>
  <r>
    <x v="231"/>
    <s v="june"/>
    <s v="Quantum Design Studio"/>
    <x v="1"/>
    <x v="5"/>
    <s v="Delhi"/>
    <x v="1"/>
    <n v="85"/>
    <n v="639"/>
    <n v="1447"/>
    <n v="54315"/>
    <x v="846"/>
    <n v="68680"/>
    <s v="profit"/>
  </r>
  <r>
    <x v="232"/>
    <s v="june"/>
    <s v="Apex Construction"/>
    <x v="1"/>
    <x v="5"/>
    <s v="West Bengal"/>
    <x v="0"/>
    <n v="81"/>
    <n v="776"/>
    <n v="895"/>
    <n v="62856"/>
    <x v="847"/>
    <n v="9639"/>
    <s v="profit"/>
  </r>
  <r>
    <x v="233"/>
    <s v="june"/>
    <s v="Legacy Innovations"/>
    <x v="1"/>
    <x v="7"/>
    <s v="Tamil Nadu"/>
    <x v="0"/>
    <n v="86"/>
    <n v="705"/>
    <n v="1483"/>
    <n v="60630"/>
    <x v="848"/>
    <n v="66908"/>
    <s v="profit"/>
  </r>
  <r>
    <x v="234"/>
    <s v="june"/>
    <s v="Pure Harmony Foods"/>
    <x v="1"/>
    <x v="7"/>
    <s v="Karnataka"/>
    <x v="1"/>
    <n v="80"/>
    <n v="901"/>
    <n v="1109"/>
    <n v="72080"/>
    <x v="849"/>
    <n v="16640"/>
    <s v="profit"/>
  </r>
  <r>
    <x v="235"/>
    <s v="june"/>
    <s v="Zenith Security Systems"/>
    <x v="1"/>
    <x v="7"/>
    <s v="Telangana"/>
    <x v="1"/>
    <n v="59"/>
    <n v="502"/>
    <n v="1212"/>
    <n v="29618"/>
    <x v="850"/>
    <n v="41890"/>
    <s v="profit"/>
  </r>
  <r>
    <x v="236"/>
    <s v="june"/>
    <s v="Crystal Clear Beverages"/>
    <x v="1"/>
    <x v="7"/>
    <s v="Gujarat"/>
    <x v="1"/>
    <n v="52"/>
    <n v="556"/>
    <n v="1402"/>
    <n v="28912"/>
    <x v="851"/>
    <n v="43992"/>
    <s v="profit"/>
  </r>
  <r>
    <x v="237"/>
    <s v="june"/>
    <s v="Metro Line Tech"/>
    <x v="1"/>
    <x v="7"/>
    <s v="Maharashtra"/>
    <x v="1"/>
    <n v="92"/>
    <n v="953"/>
    <n v="790"/>
    <n v="87676"/>
    <x v="852"/>
    <n v="-14996"/>
    <s v="loss"/>
  </r>
  <r>
    <x v="238"/>
    <s v="june"/>
    <s v="Urban Pulse Consulting"/>
    <x v="1"/>
    <x v="7"/>
    <s v="Rajasthan"/>
    <x v="1"/>
    <n v="96"/>
    <n v="961"/>
    <n v="1174"/>
    <n v="92256"/>
    <x v="853"/>
    <n v="20448"/>
    <s v="profit"/>
  </r>
  <r>
    <x v="239"/>
    <s v="july"/>
    <s v="Legacy Design Group"/>
    <x v="1"/>
    <x v="5"/>
    <s v="Punjab"/>
    <x v="0"/>
    <n v="79"/>
    <n v="880"/>
    <n v="1403"/>
    <n v="69520"/>
    <x v="854"/>
    <n v="41317"/>
    <s v="profit"/>
  </r>
  <r>
    <x v="240"/>
    <s v="july"/>
    <s v="Supreme Wellness"/>
    <x v="1"/>
    <x v="5"/>
    <s v="Chhattisgarh"/>
    <x v="0"/>
    <n v="62"/>
    <n v="936"/>
    <n v="1364"/>
    <n v="58032"/>
    <x v="855"/>
    <n v="26536"/>
    <s v="profit"/>
  </r>
  <r>
    <x v="241"/>
    <s v="july"/>
    <s v="Harmony Tech Innovations"/>
    <x v="1"/>
    <x v="5"/>
    <s v="West Bengal"/>
    <x v="0"/>
    <n v="53"/>
    <n v="791"/>
    <n v="1253"/>
    <n v="41923"/>
    <x v="856"/>
    <n v="24486"/>
    <s v="profit"/>
  </r>
  <r>
    <x v="105"/>
    <s v="november"/>
    <s v="Radiance Solutions Co."/>
    <x v="1"/>
    <x v="9"/>
    <s v="Jharkhand"/>
    <x v="0"/>
    <n v="74"/>
    <n v="636"/>
    <n v="955"/>
    <n v="47064"/>
    <x v="857"/>
    <n v="23606"/>
    <s v="profit"/>
  </r>
  <r>
    <x v="242"/>
    <s v="july"/>
    <s v="Stellar Education Services"/>
    <x v="1"/>
    <x v="5"/>
    <s v="West Bengal"/>
    <x v="0"/>
    <n v="56"/>
    <n v="740"/>
    <n v="1464"/>
    <n v="41440"/>
    <x v="858"/>
    <n v="40544"/>
    <s v="profit"/>
  </r>
  <r>
    <x v="243"/>
    <s v="july"/>
    <s v="Visionary Health Products"/>
    <x v="1"/>
    <x v="5"/>
    <s v="Madhya Pradesh"/>
    <x v="0"/>
    <n v="63"/>
    <n v="519"/>
    <n v="826"/>
    <n v="32697"/>
    <x v="859"/>
    <n v="19341"/>
    <s v="profit"/>
  </r>
  <r>
    <x v="108"/>
    <s v="november"/>
    <s v="Horizon Creative Solutions"/>
    <x v="1"/>
    <x v="9"/>
    <s v="Delhi"/>
    <x v="0"/>
    <n v="83"/>
    <n v="569"/>
    <n v="1232"/>
    <n v="47227"/>
    <x v="860"/>
    <n v="55029"/>
    <s v="profit"/>
  </r>
  <r>
    <x v="244"/>
    <s v="july"/>
    <s v="Crystal Innovations"/>
    <x v="1"/>
    <x v="5"/>
    <s v="Jharkhand"/>
    <x v="0"/>
    <n v="73"/>
    <n v="857"/>
    <n v="1024"/>
    <n v="62561"/>
    <x v="861"/>
    <n v="12191"/>
    <s v="profit"/>
  </r>
  <r>
    <x v="245"/>
    <s v="july"/>
    <s v="Future Trends Retail"/>
    <x v="1"/>
    <x v="5"/>
    <s v="West Bengal"/>
    <x v="0"/>
    <n v="67"/>
    <n v="725"/>
    <n v="884"/>
    <n v="48575"/>
    <x v="862"/>
    <n v="10653"/>
    <s v="profit"/>
  </r>
  <r>
    <x v="246"/>
    <s v="july"/>
    <s v="Radiant Horizon Ventures"/>
    <x v="1"/>
    <x v="5"/>
    <s v="Karnataka"/>
    <x v="0"/>
    <n v="74"/>
    <n v="691"/>
    <n v="871"/>
    <n v="51134"/>
    <x v="863"/>
    <n v="13320"/>
    <s v="profit"/>
  </r>
  <r>
    <x v="247"/>
    <s v="july"/>
    <s v="Urban Edge Realty"/>
    <x v="1"/>
    <x v="5"/>
    <s v="Delhi"/>
    <x v="1"/>
    <n v="92"/>
    <n v="981"/>
    <n v="1157"/>
    <n v="90252"/>
    <x v="864"/>
    <n v="16192"/>
    <s v="profit"/>
  </r>
  <r>
    <x v="113"/>
    <s v="november"/>
    <s v="Urban Spectrum Solutions"/>
    <x v="2"/>
    <x v="4"/>
    <s v="Telangana"/>
    <x v="1"/>
    <n v="23"/>
    <n v="663"/>
    <n v="1215"/>
    <n v="15249"/>
    <x v="865"/>
    <n v="12696"/>
    <s v="profit"/>
  </r>
  <r>
    <x v="248"/>
    <s v="july"/>
    <s v="Prime Focus Innovations"/>
    <x v="1"/>
    <x v="5"/>
    <s v="Maharashtra"/>
    <x v="1"/>
    <n v="63"/>
    <n v="547"/>
    <n v="1150"/>
    <n v="34461"/>
    <x v="866"/>
    <n v="37989"/>
    <s v="profit"/>
  </r>
  <r>
    <x v="249"/>
    <s v="august"/>
    <s v="Elite Spectrum Consulting"/>
    <x v="1"/>
    <x v="5"/>
    <s v="West Bengal"/>
    <x v="1"/>
    <n v="69"/>
    <n v="531"/>
    <n v="1210"/>
    <n v="36639"/>
    <x v="867"/>
    <n v="46851"/>
    <s v="profit"/>
  </r>
  <r>
    <x v="250"/>
    <s v="august"/>
    <s v="Dynamic Design Studio"/>
    <x v="1"/>
    <x v="5"/>
    <s v="Tamil Nadu"/>
    <x v="1"/>
    <n v="84"/>
    <n v="806"/>
    <n v="1242"/>
    <n v="67704"/>
    <x v="868"/>
    <n v="36624"/>
    <s v="profit"/>
  </r>
  <r>
    <x v="117"/>
    <s v="november"/>
    <s v="Legacy Wellness Solutions"/>
    <x v="2"/>
    <x v="4"/>
    <s v="Gujarat"/>
    <x v="0"/>
    <n v="26"/>
    <n v="878"/>
    <n v="1492"/>
    <n v="22828"/>
    <x v="869"/>
    <n v="15964"/>
    <s v="profit"/>
  </r>
  <r>
    <x v="251"/>
    <s v="august"/>
    <s v="Royal Crest Foods"/>
    <x v="1"/>
    <x v="7"/>
    <s v="Telangana"/>
    <x v="0"/>
    <n v="71"/>
    <n v="565"/>
    <n v="807"/>
    <n v="40115"/>
    <x v="870"/>
    <n v="17182"/>
    <s v="profit"/>
  </r>
  <r>
    <x v="119"/>
    <s v="november"/>
    <s v="Horizon Media Solutions"/>
    <x v="2"/>
    <x v="4"/>
    <s v="Uttar Pradesh"/>
    <x v="0"/>
    <n v="25"/>
    <n v="547"/>
    <n v="1342"/>
    <n v="13675"/>
    <x v="871"/>
    <n v="19875"/>
    <s v="profit"/>
  </r>
  <r>
    <x v="252"/>
    <s v="august"/>
    <s v="Zenith Travels"/>
    <x v="1"/>
    <x v="7"/>
    <s v="Gujarat"/>
    <x v="0"/>
    <n v="90"/>
    <n v="634"/>
    <n v="1465"/>
    <n v="57060"/>
    <x v="872"/>
    <n v="74790"/>
    <s v="profit"/>
  </r>
  <r>
    <x v="253"/>
    <s v="august"/>
    <s v="Quantum Media Group"/>
    <x v="1"/>
    <x v="5"/>
    <s v="Uttar Pradesh"/>
    <x v="0"/>
    <n v="61"/>
    <n v="675"/>
    <n v="770"/>
    <n v="41175"/>
    <x v="873"/>
    <n v="5795"/>
    <s v="profit"/>
  </r>
  <r>
    <x v="254"/>
    <s v="august"/>
    <s v="Legacy Builders"/>
    <x v="1"/>
    <x v="5"/>
    <s v="Jharkhand"/>
    <x v="0"/>
    <n v="58"/>
    <n v="720"/>
    <n v="1356"/>
    <n v="41760"/>
    <x v="874"/>
    <n v="36888"/>
    <s v="profit"/>
  </r>
  <r>
    <x v="255"/>
    <s v="august"/>
    <s v="Apex Spa &amp; Wellness"/>
    <x v="1"/>
    <x v="5"/>
    <s v="Kerala"/>
    <x v="0"/>
    <n v="60"/>
    <n v="676"/>
    <n v="768"/>
    <n v="40560"/>
    <x v="875"/>
    <n v="5520"/>
    <s v="profit"/>
  </r>
  <r>
    <x v="256"/>
    <s v="august"/>
    <s v="Radiant Travel Services"/>
    <x v="1"/>
    <x v="5"/>
    <s v="Maharashtra"/>
    <x v="0"/>
    <n v="91"/>
    <n v="808"/>
    <n v="928"/>
    <n v="73528"/>
    <x v="543"/>
    <n v="10920"/>
    <s v="profit"/>
  </r>
  <r>
    <x v="257"/>
    <s v="august"/>
    <s v="Modern Trends Consulting"/>
    <x v="1"/>
    <x v="5"/>
    <s v="Himachal Pradesh"/>
    <x v="0"/>
    <n v="99"/>
    <n v="528"/>
    <n v="985"/>
    <n v="52272"/>
    <x v="876"/>
    <n v="45243"/>
    <s v="profit"/>
  </r>
  <r>
    <x v="258"/>
    <s v="august"/>
    <s v="Global Horizon Ventures"/>
    <x v="1"/>
    <x v="5"/>
    <s v="Uttarakhand"/>
    <x v="0"/>
    <n v="73"/>
    <n v="783"/>
    <n v="903"/>
    <n v="57159"/>
    <x v="877"/>
    <n v="8760"/>
    <s v="profit"/>
  </r>
  <r>
    <x v="259"/>
    <s v="august"/>
    <s v="Elite Enterprises"/>
    <x v="1"/>
    <x v="5"/>
    <s v="Assam"/>
    <x v="1"/>
    <n v="59"/>
    <n v="638"/>
    <n v="1080"/>
    <n v="37642"/>
    <x v="878"/>
    <n v="26078"/>
    <s v="profit"/>
  </r>
  <r>
    <x v="260"/>
    <s v="september"/>
    <s v="Pinnacle Health Innovations"/>
    <x v="1"/>
    <x v="5"/>
    <s v="Chhattisgarh"/>
    <x v="1"/>
    <n v="68"/>
    <n v="881"/>
    <n v="1266"/>
    <n v="59908"/>
    <x v="879"/>
    <n v="26180"/>
    <s v="profit"/>
  </r>
  <r>
    <x v="129"/>
    <s v="november"/>
    <s v="Urban Vision Solutions"/>
    <x v="2"/>
    <x v="6"/>
    <s v="Uttar Pradesh"/>
    <x v="0"/>
    <n v="22"/>
    <n v="606"/>
    <n v="1459"/>
    <n v="13332"/>
    <x v="880"/>
    <n v="18766"/>
    <s v="profit"/>
  </r>
  <r>
    <x v="261"/>
    <s v="september"/>
    <s v="Horizon Fashion"/>
    <x v="1"/>
    <x v="7"/>
    <s v="West Bengal"/>
    <x v="1"/>
    <n v="55"/>
    <n v="639"/>
    <n v="1311"/>
    <n v="35145"/>
    <x v="881"/>
    <n v="36960"/>
    <s v="profit"/>
  </r>
  <r>
    <x v="262"/>
    <s v="september"/>
    <s v="Crystal Essence Beverages"/>
    <x v="1"/>
    <x v="7"/>
    <s v="West Bengal"/>
    <x v="1"/>
    <n v="52"/>
    <n v="718"/>
    <n v="919"/>
    <n v="37336"/>
    <x v="882"/>
    <n v="10452"/>
    <s v="profit"/>
  </r>
  <r>
    <x v="132"/>
    <s v="december"/>
    <s v="Pinnacle Travel Solutions"/>
    <x v="2"/>
    <x v="6"/>
    <s v="Rajasthan"/>
    <x v="1"/>
    <n v="28"/>
    <n v="507"/>
    <n v="1379"/>
    <n v="14196"/>
    <x v="883"/>
    <n v="24416"/>
    <s v="profit"/>
  </r>
  <r>
    <x v="263"/>
    <s v="september"/>
    <s v="Dynamic Pathways"/>
    <x v="1"/>
    <x v="7"/>
    <s v="Madhya Pradesh"/>
    <x v="0"/>
    <n v="95"/>
    <n v="944"/>
    <n v="1263"/>
    <n v="89680"/>
    <x v="884"/>
    <n v="30305"/>
    <s v="profit"/>
  </r>
  <r>
    <x v="264"/>
    <s v="september"/>
    <s v="Radiance Apparel"/>
    <x v="1"/>
    <x v="7"/>
    <s v="West Bengal"/>
    <x v="0"/>
    <n v="99"/>
    <n v="523"/>
    <n v="1350"/>
    <n v="51777"/>
    <x v="885"/>
    <n v="81873"/>
    <s v="profit"/>
  </r>
  <r>
    <x v="265"/>
    <s v="september"/>
    <s v="Zenith Design Group"/>
    <x v="1"/>
    <x v="7"/>
    <s v="Karnataka"/>
    <x v="1"/>
    <n v="92"/>
    <n v="814"/>
    <n v="865"/>
    <n v="74888"/>
    <x v="886"/>
    <n v="4692"/>
    <s v="profit"/>
  </r>
  <r>
    <x v="266"/>
    <s v="september"/>
    <s v="Modern Horizons Consulting"/>
    <x v="1"/>
    <x v="7"/>
    <s v="Maharashtra"/>
    <x v="1"/>
    <n v="62"/>
    <n v="891"/>
    <n v="1170"/>
    <n v="55242"/>
    <x v="887"/>
    <n v="17298"/>
    <s v="profit"/>
  </r>
  <r>
    <x v="137"/>
    <s v="december"/>
    <s v="Harmony Health Solutions"/>
    <x v="2"/>
    <x v="6"/>
    <s v="Himachal Pradesh"/>
    <x v="1"/>
    <n v="29"/>
    <n v="989"/>
    <n v="836"/>
    <n v="28681"/>
    <x v="888"/>
    <n v="-4437"/>
    <s v="loss"/>
  </r>
  <r>
    <x v="267"/>
    <s v="september"/>
    <s v="Apex Realty Services"/>
    <x v="1"/>
    <x v="7"/>
    <s v="Madhya Pradesh"/>
    <x v="1"/>
    <n v="89"/>
    <n v="990"/>
    <n v="1047"/>
    <n v="88110"/>
    <x v="889"/>
    <n v="5073"/>
    <s v="profit"/>
  </r>
  <r>
    <x v="268"/>
    <s v="september"/>
    <s v="Zenith Educational Group"/>
    <x v="1"/>
    <x v="7"/>
    <s v="Maharashtra"/>
    <x v="1"/>
    <n v="61"/>
    <n v="907"/>
    <n v="1327"/>
    <n v="55327"/>
    <x v="890"/>
    <n v="25620"/>
    <s v="profit"/>
  </r>
  <r>
    <x v="140"/>
    <s v="december"/>
    <s v="Modern Vision Solutions"/>
    <x v="1"/>
    <x v="5"/>
    <s v="Punjab"/>
    <x v="1"/>
    <n v="55"/>
    <n v="666"/>
    <n v="1358"/>
    <n v="36630"/>
    <x v="891"/>
    <n v="38060"/>
    <s v="profit"/>
  </r>
  <r>
    <x v="269"/>
    <s v="september"/>
    <s v="True Path Ventures"/>
    <x v="1"/>
    <x v="7"/>
    <s v="Chandigarh"/>
    <x v="0"/>
    <n v="52"/>
    <n v="766"/>
    <n v="1318"/>
    <n v="39832"/>
    <x v="892"/>
    <n v="28704"/>
    <s v="profit"/>
  </r>
  <r>
    <x v="270"/>
    <s v="september"/>
    <s v="Radiance Media"/>
    <x v="1"/>
    <x v="7"/>
    <s v="Madhya Pradesh"/>
    <x v="1"/>
    <n v="96"/>
    <n v="520"/>
    <n v="1208"/>
    <n v="49920"/>
    <x v="893"/>
    <n v="66048"/>
    <s v="profit"/>
  </r>
  <r>
    <x v="271"/>
    <s v="september"/>
    <s v="Legacy Health Systems"/>
    <x v="1"/>
    <x v="7"/>
    <s v="Andhra Pradesh"/>
    <x v="1"/>
    <n v="90"/>
    <n v="792"/>
    <n v="818"/>
    <n v="71280"/>
    <x v="894"/>
    <n v="2340"/>
    <s v="profit"/>
  </r>
  <r>
    <x v="272"/>
    <s v="september"/>
    <s v="Urban Focus Products"/>
    <x v="1"/>
    <x v="7"/>
    <s v="Bihar"/>
    <x v="1"/>
    <n v="98"/>
    <n v="711"/>
    <n v="1190"/>
    <n v="69678"/>
    <x v="895"/>
    <n v="46942"/>
    <s v="profit"/>
  </r>
  <r>
    <x v="145"/>
    <s v="december"/>
    <s v="Radiant Educational Solutions"/>
    <x v="1"/>
    <x v="5"/>
    <s v="Uttar Pradesh"/>
    <x v="0"/>
    <n v="94"/>
    <n v="616"/>
    <n v="1200"/>
    <n v="57904"/>
    <x v="896"/>
    <n v="54896"/>
    <s v="profit"/>
  </r>
  <r>
    <x v="273"/>
    <s v="october"/>
    <s v="Visionary Innovations"/>
    <x v="1"/>
    <x v="5"/>
    <s v="Jharkhand"/>
    <x v="0"/>
    <n v="93"/>
    <n v="660"/>
    <n v="880"/>
    <n v="61380"/>
    <x v="897"/>
    <n v="20460"/>
    <s v="profit"/>
  </r>
  <r>
    <x v="274"/>
    <s v="october"/>
    <s v="Horizon Design Studio"/>
    <x v="1"/>
    <x v="5"/>
    <s v="Kerala"/>
    <x v="0"/>
    <n v="59"/>
    <n v="623"/>
    <n v="1386"/>
    <n v="36757"/>
    <x v="898"/>
    <n v="45017"/>
    <s v="profit"/>
  </r>
  <r>
    <x v="275"/>
    <s v="october"/>
    <s v="Legacy Tech Products"/>
    <x v="1"/>
    <x v="5"/>
    <s v="Himachal Pradesh"/>
    <x v="0"/>
    <n v="98"/>
    <n v="865"/>
    <n v="1260"/>
    <n v="84770"/>
    <x v="899"/>
    <n v="38710"/>
    <s v="profit"/>
  </r>
  <r>
    <x v="149"/>
    <s v="december"/>
    <s v="Zenith Creative Solutions"/>
    <x v="1"/>
    <x v="5"/>
    <s v="Uttar Pradesh"/>
    <x v="0"/>
    <n v="67"/>
    <n v="898"/>
    <n v="1133"/>
    <n v="60166"/>
    <x v="900"/>
    <n v="15745"/>
    <s v="profit"/>
  </r>
  <r>
    <x v="276"/>
    <s v="october"/>
    <s v="Pinnacle Wellness Services"/>
    <x v="1"/>
    <x v="5"/>
    <s v="Uttarakhand"/>
    <x v="0"/>
    <n v="83"/>
    <n v="709"/>
    <n v="1206"/>
    <n v="58847"/>
    <x v="901"/>
    <n v="41251"/>
    <s v="profit"/>
  </r>
  <r>
    <x v="151"/>
    <s v="december"/>
    <s v="Pure Vision Solutions"/>
    <x v="1"/>
    <x v="7"/>
    <s v="Kerala"/>
    <x v="0"/>
    <n v="72"/>
    <n v="603"/>
    <n v="941"/>
    <n v="43416"/>
    <x v="902"/>
    <n v="24336"/>
    <s v="profit"/>
  </r>
  <r>
    <x v="277"/>
    <s v="october"/>
    <s v="Urban Insight Consulting"/>
    <x v="1"/>
    <x v="7"/>
    <s v="Assam"/>
    <x v="0"/>
    <n v="69"/>
    <n v="657"/>
    <n v="1493"/>
    <n v="45333"/>
    <x v="903"/>
    <n v="57684"/>
    <s v="profit"/>
  </r>
  <r>
    <x v="278"/>
    <s v="october"/>
    <s v="Crystal Horizons"/>
    <x v="1"/>
    <x v="7"/>
    <s v="Punjab"/>
    <x v="0"/>
    <n v="81"/>
    <n v="709"/>
    <n v="1180"/>
    <n v="57429"/>
    <x v="904"/>
    <n v="38151"/>
    <s v="profit"/>
  </r>
  <r>
    <x v="279"/>
    <s v="october"/>
    <s v="Radiant Apparel"/>
    <x v="1"/>
    <x v="7"/>
    <s v="Chhattisgarh"/>
    <x v="0"/>
    <n v="61"/>
    <n v="547"/>
    <n v="1060"/>
    <n v="33367"/>
    <x v="905"/>
    <n v="31293"/>
    <s v="profit"/>
  </r>
  <r>
    <x v="280"/>
    <s v="october"/>
    <s v="True Value Products"/>
    <x v="1"/>
    <x v="7"/>
    <s v="West Bengal"/>
    <x v="0"/>
    <n v="57"/>
    <n v="734"/>
    <n v="979"/>
    <n v="41838"/>
    <x v="906"/>
    <n v="13965"/>
    <s v="profit"/>
  </r>
  <r>
    <x v="156"/>
    <s v="december"/>
    <s v="Harmony Edge Solutions"/>
    <x v="1"/>
    <x v="7"/>
    <s v="Punjab"/>
    <x v="1"/>
    <n v="97"/>
    <n v="500"/>
    <n v="1417"/>
    <n v="48500"/>
    <x v="907"/>
    <n v="88949"/>
    <s v="profit"/>
  </r>
  <r>
    <x v="281"/>
    <s v="october"/>
    <s v="Zenith Health Products"/>
    <x v="1"/>
    <x v="7"/>
    <s v="Madhya Pradesh"/>
    <x v="1"/>
    <n v="60"/>
    <n v="937"/>
    <n v="948"/>
    <n v="56220"/>
    <x v="908"/>
    <n v="660"/>
    <s v="profit"/>
  </r>
  <r>
    <x v="282"/>
    <s v="october"/>
    <s v="Stellar Wellness Products"/>
    <x v="1"/>
    <x v="1"/>
    <s v="Kerala"/>
    <x v="1"/>
    <n v="71"/>
    <n v="777"/>
    <n v="1034"/>
    <n v="55167"/>
    <x v="909"/>
    <n v="18247"/>
    <s v="profit"/>
  </r>
  <r>
    <x v="283"/>
    <s v="october"/>
    <s v="Radiant Consulting Group"/>
    <x v="1"/>
    <x v="1"/>
    <s v="Maharashtra"/>
    <x v="1"/>
    <n v="52"/>
    <n v="509"/>
    <n v="764"/>
    <n v="26468"/>
    <x v="910"/>
    <n v="13260"/>
    <s v="profit"/>
  </r>
  <r>
    <x v="284"/>
    <s v="october"/>
    <s v="Harmony Ventures Co."/>
    <x v="1"/>
    <x v="1"/>
    <s v="Himachal Pradesh"/>
    <x v="0"/>
    <n v="66"/>
    <n v="701"/>
    <n v="1204"/>
    <n v="46266"/>
    <x v="607"/>
    <n v="33198"/>
    <s v="profit"/>
  </r>
  <r>
    <x v="285"/>
    <s v="october"/>
    <s v="Urban Path Technologies"/>
    <x v="1"/>
    <x v="1"/>
    <s v="Uttarakhand"/>
    <x v="1"/>
    <n v="97"/>
    <n v="654"/>
    <n v="839"/>
    <n v="63438"/>
    <x v="911"/>
    <n v="17945"/>
    <s v="profit"/>
  </r>
  <r>
    <x v="286"/>
    <s v="november"/>
    <s v="Modern Vision Ventures"/>
    <x v="1"/>
    <x v="9"/>
    <s v="West Bengal"/>
    <x v="0"/>
    <n v="63"/>
    <n v="833"/>
    <n v="1040"/>
    <n v="52479"/>
    <x v="912"/>
    <n v="13041"/>
    <s v="profit"/>
  </r>
  <r>
    <x v="163"/>
    <s v="january"/>
    <s v="Pinnacle Media Solutions"/>
    <x v="0"/>
    <x v="0"/>
    <s v="Karnataka"/>
    <x v="0"/>
    <n v="12"/>
    <n v="864"/>
    <n v="953"/>
    <n v="10368"/>
    <x v="913"/>
    <n v="1068"/>
    <s v="profit"/>
  </r>
  <r>
    <x v="287"/>
    <s v="november"/>
    <s v="Elite Travel Services"/>
    <x v="1"/>
    <x v="9"/>
    <s v="Karnataka"/>
    <x v="0"/>
    <n v="74"/>
    <n v="743"/>
    <n v="974"/>
    <n v="54982"/>
    <x v="914"/>
    <n v="17094"/>
    <s v="profit"/>
  </r>
  <r>
    <x v="165"/>
    <s v="january"/>
    <s v="Radiant Tech Solutions"/>
    <x v="0"/>
    <x v="0"/>
    <s v="Maharashtra"/>
    <x v="0"/>
    <n v="13"/>
    <n v="839"/>
    <n v="1025"/>
    <n v="10907"/>
    <x v="915"/>
    <n v="2418"/>
    <s v="profit"/>
  </r>
  <r>
    <x v="288"/>
    <s v="november"/>
    <s v="Crystal Innovations Group"/>
    <x v="1"/>
    <x v="9"/>
    <s v="Maharashtra"/>
    <x v="0"/>
    <n v="86"/>
    <n v="593"/>
    <n v="1425"/>
    <n v="50998"/>
    <x v="916"/>
    <n v="71552"/>
    <s v="profit"/>
  </r>
  <r>
    <x v="167"/>
    <s v="january"/>
    <s v="Elite Creative Solutions"/>
    <x v="0"/>
    <x v="0"/>
    <s v="Chhattisgarh"/>
    <x v="0"/>
    <n v="11"/>
    <n v="944"/>
    <n v="949"/>
    <n v="10384"/>
    <x v="917"/>
    <n v="55"/>
    <s v="profit"/>
  </r>
  <r>
    <x v="289"/>
    <s v="november"/>
    <s v="Pinnacle Fitness Studio"/>
    <x v="1"/>
    <x v="9"/>
    <s v="West Bengal"/>
    <x v="0"/>
    <n v="92"/>
    <n v="609"/>
    <n v="792"/>
    <n v="56028"/>
    <x v="918"/>
    <n v="16836"/>
    <s v="profit"/>
  </r>
  <r>
    <x v="290"/>
    <s v="november"/>
    <s v="Stellar Travel Agency"/>
    <x v="1"/>
    <x v="9"/>
    <s v="Tamil Nadu"/>
    <x v="0"/>
    <n v="96"/>
    <n v="674"/>
    <n v="1178"/>
    <n v="64704"/>
    <x v="919"/>
    <n v="48384"/>
    <s v="profit"/>
  </r>
  <r>
    <x v="291"/>
    <s v="december"/>
    <s v="Apex Travel Ventures"/>
    <x v="1"/>
    <x v="5"/>
    <s v="Assam"/>
    <x v="1"/>
    <n v="65"/>
    <n v="804"/>
    <n v="876"/>
    <n v="52260"/>
    <x v="920"/>
    <n v="4680"/>
    <s v="profit"/>
  </r>
  <r>
    <x v="292"/>
    <s v="december"/>
    <s v="True Path Consulting"/>
    <x v="1"/>
    <x v="5"/>
    <s v="Chhattisgarh"/>
    <x v="0"/>
    <n v="83"/>
    <n v="541"/>
    <n v="1072"/>
    <n v="44903"/>
    <x v="635"/>
    <n v="44073"/>
    <s v="profit"/>
  </r>
  <r>
    <x v="293"/>
    <s v="december"/>
    <s v="Legacy Finance Group"/>
    <x v="1"/>
    <x v="5"/>
    <s v="West Bengal"/>
    <x v="0"/>
    <n v="89"/>
    <n v="545"/>
    <n v="978"/>
    <n v="48505"/>
    <x v="921"/>
    <n v="38537"/>
    <s v="profit"/>
  </r>
  <r>
    <x v="294"/>
    <s v="december"/>
    <s v="Pinnacle Design Ventures"/>
    <x v="1"/>
    <x v="5"/>
    <s v="Gujarat"/>
    <x v="0"/>
    <n v="80"/>
    <n v="671"/>
    <n v="1251"/>
    <n v="53680"/>
    <x v="922"/>
    <n v="46400"/>
    <s v="profit"/>
  </r>
  <r>
    <x v="174"/>
    <s v="january"/>
    <s v="Pinnacle Design Solutions"/>
    <x v="1"/>
    <x v="7"/>
    <s v="Rajasthan"/>
    <x v="1"/>
    <n v="82"/>
    <n v="822"/>
    <n v="1445"/>
    <n v="67404"/>
    <x v="923"/>
    <n v="51086"/>
    <s v="profit"/>
  </r>
  <r>
    <x v="295"/>
    <s v="december"/>
    <s v="Stellar Innovations Co."/>
    <x v="1"/>
    <x v="5"/>
    <s v="Uttar Pradesh"/>
    <x v="0"/>
    <n v="68"/>
    <n v="815"/>
    <n v="808"/>
    <n v="55420"/>
    <x v="924"/>
    <n v="-476"/>
    <s v="loss"/>
  </r>
  <r>
    <x v="296"/>
    <s v="december"/>
    <s v="Harmony Marketing Co."/>
    <x v="1"/>
    <x v="5"/>
    <s v="Tamil Nadu"/>
    <x v="0"/>
    <n v="88"/>
    <n v="674"/>
    <n v="891"/>
    <n v="59312"/>
    <x v="925"/>
    <n v="19096"/>
    <s v="profit"/>
  </r>
  <r>
    <x v="297"/>
    <s v="december"/>
    <s v="Urban Tech Innovations"/>
    <x v="1"/>
    <x v="5"/>
    <s v="Tamil Nadu"/>
    <x v="0"/>
    <n v="64"/>
    <n v="665"/>
    <n v="783"/>
    <n v="42560"/>
    <x v="926"/>
    <n v="7552"/>
    <s v="profit"/>
  </r>
  <r>
    <x v="298"/>
    <s v="december"/>
    <s v="Crystal Wellness Group"/>
    <x v="1"/>
    <x v="5"/>
    <s v="Rajasthan"/>
    <x v="0"/>
    <n v="81"/>
    <n v="801"/>
    <n v="846"/>
    <n v="64881"/>
    <x v="927"/>
    <n v="3645"/>
    <s v="profit"/>
  </r>
  <r>
    <x v="299"/>
    <s v="december"/>
    <s v="Apex Media Co."/>
    <x v="1"/>
    <x v="5"/>
    <s v="Jharkhand"/>
    <x v="0"/>
    <n v="74"/>
    <n v="734"/>
    <n v="886"/>
    <n v="54316"/>
    <x v="928"/>
    <n v="11248"/>
    <s v="profit"/>
  </r>
  <r>
    <x v="180"/>
    <s v="january"/>
    <s v="Pure Harmony Solutions"/>
    <x v="0"/>
    <x v="2"/>
    <s v="Uttarakhand"/>
    <x v="0"/>
    <n v="10"/>
    <n v="519"/>
    <n v="1420"/>
    <n v="5190"/>
    <x v="929"/>
    <n v="9010"/>
    <s v="profit"/>
  </r>
  <r>
    <x v="300"/>
    <s v="december"/>
    <s v="Legacy Health Ventures"/>
    <x v="1"/>
    <x v="7"/>
    <s v="Maharashtra"/>
    <x v="0"/>
    <n v="94"/>
    <n v="564"/>
    <n v="941"/>
    <n v="53016"/>
    <x v="930"/>
    <n v="35438"/>
    <s v="profit"/>
  </r>
  <r>
    <x v="301"/>
    <s v="december"/>
    <s v="Pinnacle Spectrum Co."/>
    <x v="1"/>
    <x v="7"/>
    <s v="Himachal Pradesh"/>
    <x v="0"/>
    <n v="50"/>
    <n v="545"/>
    <n v="1050"/>
    <n v="27250"/>
    <x v="931"/>
    <n v="25250"/>
    <s v="profit"/>
  </r>
  <r>
    <x v="302"/>
    <s v="december"/>
    <s v="Stellar Travel Products"/>
    <x v="1"/>
    <x v="7"/>
    <s v="Uttarakhand"/>
    <x v="0"/>
    <n v="60"/>
    <n v="783"/>
    <n v="1422"/>
    <n v="46980"/>
    <x v="932"/>
    <n v="38340"/>
    <s v="profit"/>
  </r>
  <r>
    <x v="303"/>
    <s v="december"/>
    <s v="Radiance Finance Services"/>
    <x v="1"/>
    <x v="7"/>
    <s v="Assam"/>
    <x v="0"/>
    <n v="63"/>
    <n v="746"/>
    <n v="1075"/>
    <n v="46998"/>
    <x v="933"/>
    <n v="20727"/>
    <s v="profit"/>
  </r>
  <r>
    <x v="304"/>
    <s v="december"/>
    <s v="Modern Travel Agency"/>
    <x v="1"/>
    <x v="7"/>
    <s v="Chhattisgarh"/>
    <x v="1"/>
    <n v="86"/>
    <n v="834"/>
    <n v="1372"/>
    <n v="71724"/>
    <x v="934"/>
    <n v="46268"/>
    <s v="profit"/>
  </r>
  <r>
    <x v="186"/>
    <s v="january"/>
    <s v="Zenith Path Solutions"/>
    <x v="0"/>
    <x v="2"/>
    <s v="Madhya Pradesh"/>
    <x v="0"/>
    <n v="17"/>
    <n v="922"/>
    <n v="899"/>
    <n v="15674"/>
    <x v="935"/>
    <n v="-391"/>
    <s v="loss"/>
  </r>
  <r>
    <x v="305"/>
    <s v="december"/>
    <s v="Crystal Path Consulting"/>
    <x v="1"/>
    <x v="7"/>
    <s v="West Bengal"/>
    <x v="1"/>
    <n v="51"/>
    <n v="944"/>
    <n v="1062"/>
    <n v="48144"/>
    <x v="936"/>
    <n v="6018"/>
    <s v="profit"/>
  </r>
  <r>
    <x v="306"/>
    <s v="december"/>
    <s v="Zenith Educational Services"/>
    <x v="1"/>
    <x v="7"/>
    <s v="West Bengal"/>
    <x v="1"/>
    <n v="75"/>
    <n v="547"/>
    <n v="1203"/>
    <n v="41025"/>
    <x v="937"/>
    <n v="49200"/>
    <s v="profit"/>
  </r>
  <r>
    <x v="307"/>
    <s v="december"/>
    <s v="Apex Innovations Co."/>
    <x v="1"/>
    <x v="7"/>
    <s v="Madhya Pradesh"/>
    <x v="1"/>
    <n v="64"/>
    <n v="918"/>
    <n v="907"/>
    <n v="58752"/>
    <x v="938"/>
    <n v="-704"/>
    <s v="loss"/>
  </r>
  <r>
    <x v="190"/>
    <s v="january"/>
    <s v="Legacy Media Solutions"/>
    <x v="0"/>
    <x v="2"/>
    <s v="Jharkhand"/>
    <x v="1"/>
    <n v="12"/>
    <n v="519"/>
    <n v="1212"/>
    <n v="6228"/>
    <x v="939"/>
    <n v="8316"/>
    <s v="profit"/>
  </r>
  <r>
    <x v="308"/>
    <s v="january"/>
    <s v="Pure Harmony Health"/>
    <x v="1"/>
    <x v="7"/>
    <s v="Jharkhand"/>
    <x v="0"/>
    <n v="74"/>
    <n v="965"/>
    <n v="906"/>
    <n v="71410"/>
    <x v="940"/>
    <n v="-4366"/>
    <s v="loss"/>
  </r>
  <r>
    <x v="309"/>
    <s v="january"/>
    <s v="Apex Travel Innovations"/>
    <x v="1"/>
    <x v="5"/>
    <s v="Gujarat"/>
    <x v="1"/>
    <n v="100"/>
    <n v="667"/>
    <n v="1109"/>
    <n v="66700"/>
    <x v="941"/>
    <n v="44200"/>
    <s v="profit"/>
  </r>
  <r>
    <x v="310"/>
    <s v="january"/>
    <s v="Modern Health Products"/>
    <x v="1"/>
    <x v="5"/>
    <s v="Uttar Pradesh"/>
    <x v="1"/>
    <n v="60"/>
    <n v="509"/>
    <n v="954"/>
    <n v="30540"/>
    <x v="942"/>
    <n v="26700"/>
    <s v="profit"/>
  </r>
  <r>
    <x v="311"/>
    <s v="january"/>
    <s v="Harmony Finance Group"/>
    <x v="1"/>
    <x v="5"/>
    <s v="Uttar Pradesh"/>
    <x v="1"/>
    <n v="93"/>
    <n v="814"/>
    <n v="832"/>
    <n v="75702"/>
    <x v="943"/>
    <n v="1674"/>
    <s v="profit"/>
  </r>
  <r>
    <x v="312"/>
    <s v="january"/>
    <s v="Pure Vision Consulting"/>
    <x v="1"/>
    <x v="5"/>
    <s v="Tamil Nadu"/>
    <x v="0"/>
    <n v="86"/>
    <n v="567"/>
    <n v="1491"/>
    <n v="48762"/>
    <x v="944"/>
    <n v="79464"/>
    <s v="profit"/>
  </r>
  <r>
    <x v="313"/>
    <s v="january"/>
    <s v="Legacy Spectrum Co."/>
    <x v="1"/>
    <x v="5"/>
    <s v="Tamil Nadu"/>
    <x v="1"/>
    <n v="54"/>
    <n v="674"/>
    <n v="787"/>
    <n v="36396"/>
    <x v="945"/>
    <n v="6102"/>
    <s v="profit"/>
  </r>
  <r>
    <x v="314"/>
    <s v="january"/>
    <s v="Stellar Media Services"/>
    <x v="1"/>
    <x v="7"/>
    <s v="Uttar Pradesh"/>
    <x v="1"/>
    <n v="98"/>
    <n v="950"/>
    <n v="1426"/>
    <n v="93100"/>
    <x v="946"/>
    <n v="46648"/>
    <s v="profit"/>
  </r>
  <r>
    <x v="315"/>
    <s v="january"/>
    <s v="Radiant Innovations Group"/>
    <x v="1"/>
    <x v="7"/>
    <s v="Jharkhand"/>
    <x v="1"/>
    <n v="82"/>
    <n v="916"/>
    <n v="1461"/>
    <n v="75112"/>
    <x v="947"/>
    <n v="44690"/>
    <s v="profit"/>
  </r>
  <r>
    <x v="316"/>
    <s v="january"/>
    <s v="Horizon Path Ventures"/>
    <x v="1"/>
    <x v="7"/>
    <s v="Kerala"/>
    <x v="0"/>
    <n v="66"/>
    <n v="710"/>
    <n v="1034"/>
    <n v="46860"/>
    <x v="948"/>
    <n v="21384"/>
    <s v="profit"/>
  </r>
  <r>
    <x v="317"/>
    <s v="january"/>
    <s v="Zenith Tech Co."/>
    <x v="1"/>
    <x v="7"/>
    <s v="Maharashtra"/>
    <x v="0"/>
    <n v="77"/>
    <n v="922"/>
    <n v="1400"/>
    <n v="70994"/>
    <x v="949"/>
    <n v="36806"/>
    <s v="profit"/>
  </r>
  <r>
    <x v="195"/>
    <s v="february"/>
    <s v="Radiant Solutions Co."/>
    <x v="2"/>
    <x v="6"/>
    <s v="Jharkhand"/>
    <x v="0"/>
    <n v="22"/>
    <n v="745"/>
    <n v="1153"/>
    <n v="16390"/>
    <x v="205"/>
    <n v="8976"/>
    <s v="profit"/>
  </r>
  <r>
    <x v="318"/>
    <s v="january"/>
    <s v="Apex Finance Ventures"/>
    <x v="1"/>
    <x v="7"/>
    <s v="Himachal Pradesh"/>
    <x v="0"/>
    <n v="93"/>
    <n v="887"/>
    <n v="993"/>
    <n v="82491"/>
    <x v="950"/>
    <n v="9858"/>
    <s v="profit"/>
  </r>
  <r>
    <x v="319"/>
    <s v="february"/>
    <s v="Zenith Wellness Co."/>
    <x v="1"/>
    <x v="5"/>
    <s v="Uttar Pradesh"/>
    <x v="0"/>
    <n v="78"/>
    <n v="709"/>
    <n v="1494"/>
    <n v="55302"/>
    <x v="951"/>
    <n v="61230"/>
    <s v="profit"/>
  </r>
  <r>
    <x v="320"/>
    <s v="february"/>
    <s v="Apex Design Services"/>
    <x v="1"/>
    <x v="5"/>
    <s v="Uttar Pradesh"/>
    <x v="0"/>
    <n v="87"/>
    <n v="714"/>
    <n v="926"/>
    <n v="62118"/>
    <x v="952"/>
    <n v="18444"/>
    <s v="profit"/>
  </r>
  <r>
    <x v="196"/>
    <s v="february"/>
    <s v="Modern Travel Solutions"/>
    <x v="1"/>
    <x v="5"/>
    <s v="Tamil Nadu"/>
    <x v="0"/>
    <n v="90"/>
    <n v="983"/>
    <n v="924"/>
    <n v="88470"/>
    <x v="373"/>
    <n v="-5310"/>
    <s v="loss"/>
  </r>
  <r>
    <x v="321"/>
    <s v="february"/>
    <s v="Pure Health Ventures"/>
    <x v="1"/>
    <x v="5"/>
    <s v="Tamil Nadu"/>
    <x v="0"/>
    <n v="78"/>
    <n v="789"/>
    <n v="1064"/>
    <n v="61542"/>
    <x v="568"/>
    <n v="21450"/>
    <s v="profit"/>
  </r>
  <r>
    <x v="322"/>
    <s v="february"/>
    <s v="Legacy Spectrum Group"/>
    <x v="1"/>
    <x v="5"/>
    <s v="Rajasthan"/>
    <x v="1"/>
    <n v="74"/>
    <n v="835"/>
    <n v="1096"/>
    <n v="61790"/>
    <x v="953"/>
    <n v="19314"/>
    <s v="profit"/>
  </r>
  <r>
    <x v="323"/>
    <s v="february"/>
    <s v="Pinnacle Media Ventures"/>
    <x v="1"/>
    <x v="5"/>
    <s v="Uttar Pradesh"/>
    <x v="1"/>
    <n v="94"/>
    <n v="952"/>
    <n v="1425"/>
    <n v="89488"/>
    <x v="954"/>
    <n v="44462"/>
    <s v="profit"/>
  </r>
  <r>
    <x v="324"/>
    <s v="february"/>
    <s v="Stellar Innovations Group"/>
    <x v="1"/>
    <x v="5"/>
    <s v="Jharkhand"/>
    <x v="1"/>
    <n v="55"/>
    <n v="558"/>
    <n v="1203"/>
    <n v="30690"/>
    <x v="955"/>
    <n v="35475"/>
    <s v="profit"/>
  </r>
  <r>
    <x v="325"/>
    <s v="february"/>
    <s v="Radiant Educational Co."/>
    <x v="1"/>
    <x v="5"/>
    <s v="Kerala"/>
    <x v="1"/>
    <n v="56"/>
    <n v="562"/>
    <n v="1341"/>
    <n v="31472"/>
    <x v="956"/>
    <n v="43624"/>
    <s v="profit"/>
  </r>
  <r>
    <x v="326"/>
    <s v="february"/>
    <s v="Harmony Edge Ventures"/>
    <x v="1"/>
    <x v="5"/>
    <s v="Maharashtra"/>
    <x v="0"/>
    <n v="94"/>
    <n v="513"/>
    <n v="1318"/>
    <n v="48222"/>
    <x v="957"/>
    <n v="75670"/>
    <s v="profit"/>
  </r>
  <r>
    <x v="197"/>
    <s v="february"/>
    <s v="Zenith Tech Solutions"/>
    <x v="1"/>
    <x v="5"/>
    <s v="Himachal Pradesh"/>
    <x v="1"/>
    <n v="76"/>
    <n v="526"/>
    <n v="1260"/>
    <n v="39976"/>
    <x v="958"/>
    <n v="55784"/>
    <s v="profit"/>
  </r>
  <r>
    <x v="327"/>
    <s v="february"/>
    <s v="Apex Finance Group"/>
    <x v="1"/>
    <x v="5"/>
    <s v="Uttarakhand"/>
    <x v="1"/>
    <n v="61"/>
    <n v="545"/>
    <n v="915"/>
    <n v="33245"/>
    <x v="959"/>
    <n v="22570"/>
    <s v="profit"/>
  </r>
  <r>
    <x v="328"/>
    <s v="february"/>
    <s v="Pure Harmony Media"/>
    <x v="1"/>
    <x v="5"/>
    <s v="Assam"/>
    <x v="1"/>
    <n v="99"/>
    <n v="943"/>
    <n v="823"/>
    <n v="93357"/>
    <x v="960"/>
    <n v="-11880"/>
    <s v="loss"/>
  </r>
  <r>
    <x v="329"/>
    <s v="february"/>
    <s v="Legacy Health Co."/>
    <x v="1"/>
    <x v="7"/>
    <s v="Punjab"/>
    <x v="1"/>
    <n v="84"/>
    <n v="738"/>
    <n v="1080"/>
    <n v="61992"/>
    <x v="961"/>
    <n v="28728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9EEFD-AB96-4509-8681-B3AA189B4B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1" firstDataRow="1" firstDataCol="2"/>
  <pivotFields count="5">
    <pivotField compact="0" outline="0" showAll="0" defaultSubtotal="0"/>
    <pivotField axis="axisRow" compact="0" outline="0" showAll="0" defaultSubtotal="0">
      <items count="3">
        <item x="0"/>
        <item x="1"/>
        <item h="1" x="2"/>
      </items>
    </pivotField>
    <pivotField axis="axisRow" compact="0" outline="0" showAll="0" defaultSubtotal="0">
      <items count="5">
        <item x="3"/>
        <item x="2"/>
        <item x="0"/>
        <item x="4"/>
        <item x="1"/>
      </items>
    </pivotField>
    <pivotField compact="0" outline="0" showAll="0" defaultSubtotal="0"/>
    <pivotField dataField="1" compact="0" outline="0" showAll="0" defaultSubtotal="0"/>
  </pivotFields>
  <rowFields count="2">
    <field x="2"/>
    <field x="1"/>
  </rowFields>
  <rowItems count="11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84881-D197-4D7A-BBF7-8FB57DD0BBF5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14" firstHeaderRow="1" firstDataRow="1" firstDataCol="1"/>
  <pivotFields count="18">
    <pivotField compact="0" numFmtId="164" outline="0" showAll="0">
      <items count="332">
        <item x="78"/>
        <item x="79"/>
        <item x="80"/>
        <item x="82"/>
        <item x="198"/>
        <item x="199"/>
        <item x="6"/>
        <item x="200"/>
        <item x="83"/>
        <item x="84"/>
        <item x="85"/>
        <item x="87"/>
        <item x="12"/>
        <item x="88"/>
        <item x="201"/>
        <item x="202"/>
        <item x="203"/>
        <item x="204"/>
        <item x="205"/>
        <item x="206"/>
        <item x="207"/>
        <item x="90"/>
        <item x="22"/>
        <item x="92"/>
        <item x="24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4"/>
        <item x="115"/>
        <item x="116"/>
        <item x="118"/>
        <item x="120"/>
        <item x="121"/>
        <item x="208"/>
        <item x="49"/>
        <item x="209"/>
        <item x="210"/>
        <item x="211"/>
        <item x="212"/>
        <item x="213"/>
        <item x="214"/>
        <item x="215"/>
        <item x="216"/>
        <item x="58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0"/>
        <item x="1"/>
        <item x="2"/>
        <item x="3"/>
        <item x="63"/>
        <item x="4"/>
        <item x="5"/>
        <item x="229"/>
        <item x="230"/>
        <item x="231"/>
        <item x="64"/>
        <item x="232"/>
        <item x="233"/>
        <item x="234"/>
        <item x="235"/>
        <item x="236"/>
        <item x="237"/>
        <item x="238"/>
        <item x="7"/>
        <item x="8"/>
        <item x="9"/>
        <item x="65"/>
        <item x="10"/>
        <item x="11"/>
        <item x="13"/>
        <item x="14"/>
        <item x="15"/>
        <item x="16"/>
        <item x="17"/>
        <item x="18"/>
        <item x="122"/>
        <item x="123"/>
        <item x="124"/>
        <item x="125"/>
        <item x="66"/>
        <item x="126"/>
        <item x="127"/>
        <item x="128"/>
        <item x="130"/>
        <item x="131"/>
        <item x="133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67"/>
        <item x="251"/>
        <item x="252"/>
        <item x="19"/>
        <item x="20"/>
        <item x="68"/>
        <item x="21"/>
        <item x="23"/>
        <item x="25"/>
        <item x="26"/>
        <item x="134"/>
        <item x="135"/>
        <item x="136"/>
        <item x="69"/>
        <item x="138"/>
        <item x="139"/>
        <item x="141"/>
        <item x="142"/>
        <item x="143"/>
        <item x="70"/>
        <item x="144"/>
        <item x="253"/>
        <item x="254"/>
        <item x="255"/>
        <item x="256"/>
        <item x="257"/>
        <item x="258"/>
        <item x="259"/>
        <item x="71"/>
        <item x="260"/>
        <item x="261"/>
        <item x="262"/>
        <item x="263"/>
        <item x="72"/>
        <item x="264"/>
        <item x="265"/>
        <item x="27"/>
        <item x="28"/>
        <item x="29"/>
        <item x="30"/>
        <item x="31"/>
        <item x="32"/>
        <item x="73"/>
        <item x="33"/>
        <item x="34"/>
        <item x="35"/>
        <item x="36"/>
        <item x="74"/>
        <item x="266"/>
        <item x="267"/>
        <item x="268"/>
        <item x="269"/>
        <item x="270"/>
        <item x="271"/>
        <item x="272"/>
        <item x="37"/>
        <item x="75"/>
        <item x="38"/>
        <item x="76"/>
        <item x="39"/>
        <item x="40"/>
        <item x="41"/>
        <item x="273"/>
        <item x="274"/>
        <item x="77"/>
        <item x="275"/>
        <item x="276"/>
        <item x="277"/>
        <item x="278"/>
        <item x="279"/>
        <item x="280"/>
        <item x="81"/>
        <item x="281"/>
        <item x="42"/>
        <item x="43"/>
        <item x="44"/>
        <item x="86"/>
        <item x="45"/>
        <item x="46"/>
        <item x="89"/>
        <item x="47"/>
        <item x="91"/>
        <item x="146"/>
        <item x="93"/>
        <item x="147"/>
        <item x="282"/>
        <item x="283"/>
        <item x="284"/>
        <item x="285"/>
        <item x="148"/>
        <item x="150"/>
        <item x="152"/>
        <item x="153"/>
        <item x="154"/>
        <item x="155"/>
        <item x="105"/>
        <item x="286"/>
        <item x="287"/>
        <item x="108"/>
        <item x="288"/>
        <item x="289"/>
        <item x="290"/>
        <item x="157"/>
        <item x="113"/>
        <item x="158"/>
        <item x="159"/>
        <item x="160"/>
        <item x="117"/>
        <item x="161"/>
        <item x="119"/>
        <item x="162"/>
        <item x="164"/>
        <item x="166"/>
        <item x="168"/>
        <item x="169"/>
        <item x="170"/>
        <item x="171"/>
        <item x="172"/>
        <item x="173"/>
        <item x="129"/>
        <item x="175"/>
        <item x="176"/>
        <item x="132"/>
        <item x="177"/>
        <item x="178"/>
        <item x="179"/>
        <item x="181"/>
        <item x="137"/>
        <item x="182"/>
        <item x="291"/>
        <item x="140"/>
        <item x="292"/>
        <item x="293"/>
        <item x="294"/>
        <item x="295"/>
        <item x="145"/>
        <item x="296"/>
        <item x="297"/>
        <item x="298"/>
        <item x="149"/>
        <item x="299"/>
        <item x="151"/>
        <item x="300"/>
        <item x="301"/>
        <item x="302"/>
        <item x="303"/>
        <item x="156"/>
        <item x="304"/>
        <item x="305"/>
        <item x="306"/>
        <item x="307"/>
        <item x="308"/>
        <item x="48"/>
        <item x="163"/>
        <item x="50"/>
        <item x="165"/>
        <item x="51"/>
        <item x="167"/>
        <item x="52"/>
        <item x="309"/>
        <item x="310"/>
        <item x="311"/>
        <item x="312"/>
        <item x="313"/>
        <item x="174"/>
        <item x="314"/>
        <item x="315"/>
        <item x="316"/>
        <item x="317"/>
        <item x="318"/>
        <item x="180"/>
        <item x="53"/>
        <item x="54"/>
        <item x="55"/>
        <item x="56"/>
        <item x="57"/>
        <item x="186"/>
        <item x="59"/>
        <item x="60"/>
        <item x="61"/>
        <item x="190"/>
        <item x="62"/>
        <item x="183"/>
        <item x="184"/>
        <item x="185"/>
        <item x="187"/>
        <item x="188"/>
        <item x="189"/>
        <item x="191"/>
        <item x="192"/>
        <item x="193"/>
        <item x="195"/>
        <item x="194"/>
        <item x="319"/>
        <item x="320"/>
        <item x="196"/>
        <item x="321"/>
        <item x="322"/>
        <item x="323"/>
        <item x="324"/>
        <item x="325"/>
        <item x="326"/>
        <item x="197"/>
        <item x="327"/>
        <item x="328"/>
        <item x="329"/>
        <item x="330"/>
        <item t="default"/>
      </items>
    </pivotField>
    <pivotField compact="0" outline="0" showAll="0"/>
    <pivotField compact="0" outline="0" showAll="0"/>
    <pivotField compact="0" outline="0" showAll="0">
      <items count="4">
        <item sd="0" x="0"/>
        <item x="2"/>
        <item sd="0" x="1"/>
        <item t="default"/>
      </items>
    </pivotField>
    <pivotField axis="axisRow" compact="0" outline="0" showAll="0">
      <items count="12">
        <item x="0"/>
        <item x="10"/>
        <item x="8"/>
        <item x="2"/>
        <item x="6"/>
        <item x="9"/>
        <item x="5"/>
        <item x="3"/>
        <item x="7"/>
        <item x="4"/>
        <item x="1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963">
        <item x="495"/>
        <item x="70"/>
        <item x="87"/>
        <item x="148"/>
        <item x="71"/>
        <item x="145"/>
        <item x="274"/>
        <item x="144"/>
        <item x="102"/>
        <item x="86"/>
        <item x="83"/>
        <item x="19"/>
        <item x="95"/>
        <item x="41"/>
        <item x="153"/>
        <item x="91"/>
        <item x="151"/>
        <item x="917"/>
        <item x="166"/>
        <item x="39"/>
        <item x="299"/>
        <item x="100"/>
        <item x="57"/>
        <item x="769"/>
        <item x="132"/>
        <item x="52"/>
        <item x="913"/>
        <item x="164"/>
        <item x="591"/>
        <item x="141"/>
        <item x="40"/>
        <item x="277"/>
        <item x="156"/>
        <item x="35"/>
        <item x="820"/>
        <item x="115"/>
        <item x="617"/>
        <item x="176"/>
        <item x="46"/>
        <item x="18"/>
        <item x="122"/>
        <item x="915"/>
        <item x="111"/>
        <item x="25"/>
        <item x="3"/>
        <item x="114"/>
        <item x="34"/>
        <item x="48"/>
        <item x="72"/>
        <item x="165"/>
        <item x="92"/>
        <item x="30"/>
        <item x="147"/>
        <item x="129"/>
        <item x="88"/>
        <item x="66"/>
        <item x="17"/>
        <item x="178"/>
        <item x="13"/>
        <item x="106"/>
        <item x="11"/>
        <item x="929"/>
        <item x="181"/>
        <item x="94"/>
        <item x="112"/>
        <item x="93"/>
        <item x="172"/>
        <item x="939"/>
        <item x="63"/>
        <item x="45"/>
        <item x="113"/>
        <item x="155"/>
        <item x="50"/>
        <item x="158"/>
        <item x="65"/>
        <item x="161"/>
        <item x="53"/>
        <item x="497"/>
        <item x="60"/>
        <item x="82"/>
        <item x="188"/>
        <item x="935"/>
        <item x="96"/>
        <item x="54"/>
        <item x="149"/>
        <item x="399"/>
        <item x="79"/>
        <item x="74"/>
        <item x="169"/>
        <item x="43"/>
        <item x="101"/>
        <item x="154"/>
        <item x="0"/>
        <item x="107"/>
        <item x="203"/>
        <item x="174"/>
        <item x="841"/>
        <item x="244"/>
        <item x="119"/>
        <item x="75"/>
        <item x="128"/>
        <item x="224"/>
        <item x="375"/>
        <item x="135"/>
        <item x="110"/>
        <item x="150"/>
        <item x="21"/>
        <item x="29"/>
        <item x="330"/>
        <item x="159"/>
        <item x="311"/>
        <item x="595"/>
        <item x="136"/>
        <item x="98"/>
        <item x="38"/>
        <item x="288"/>
        <item x="809"/>
        <item x="9"/>
        <item x="89"/>
        <item x="170"/>
        <item x="90"/>
        <item x="838"/>
        <item x="67"/>
        <item x="488"/>
        <item x="467"/>
        <item x="287"/>
        <item x="14"/>
        <item x="10"/>
        <item x="459"/>
        <item x="142"/>
        <item x="131"/>
        <item x="108"/>
        <item x="162"/>
        <item x="85"/>
        <item x="227"/>
        <item x="313"/>
        <item x="391"/>
        <item x="8"/>
        <item x="427"/>
        <item x="415"/>
        <item x="182"/>
        <item x="177"/>
        <item x="26"/>
        <item x="393"/>
        <item x="237"/>
        <item x="4"/>
        <item x="44"/>
        <item x="125"/>
        <item x="593"/>
        <item x="376"/>
        <item x="431"/>
        <item x="449"/>
        <item x="20"/>
        <item x="77"/>
        <item x="27"/>
        <item x="290"/>
        <item x="130"/>
        <item x="292"/>
        <item x="210"/>
        <item x="37"/>
        <item x="454"/>
        <item x="389"/>
        <item x="613"/>
        <item x="15"/>
        <item x="126"/>
        <item x="435"/>
        <item x="486"/>
        <item x="490"/>
        <item x="374"/>
        <item x="175"/>
        <item x="64"/>
        <item x="666"/>
        <item x="184"/>
        <item x="140"/>
        <item x="32"/>
        <item x="340"/>
        <item x="231"/>
        <item x="338"/>
        <item x="226"/>
        <item x="196"/>
        <item x="198"/>
        <item x="498"/>
        <item x="416"/>
        <item x="173"/>
        <item x="179"/>
        <item x="171"/>
        <item x="51"/>
        <item x="167"/>
        <item x="28"/>
        <item x="197"/>
        <item x="476"/>
        <item x="387"/>
        <item x="143"/>
        <item x="269"/>
        <item x="300"/>
        <item x="518"/>
        <item x="186"/>
        <item x="734"/>
        <item x="133"/>
        <item x="193"/>
        <item x="200"/>
        <item x="68"/>
        <item x="271"/>
        <item x="351"/>
        <item x="843"/>
        <item x="183"/>
        <item x="429"/>
        <item x="139"/>
        <item x="62"/>
        <item x="308"/>
        <item x="73"/>
        <item x="360"/>
        <item x="80"/>
        <item x="120"/>
        <item x="487"/>
        <item x="546"/>
        <item x="275"/>
        <item x="436"/>
        <item x="286"/>
        <item x="99"/>
        <item x="123"/>
        <item x="718"/>
        <item x="137"/>
        <item x="656"/>
        <item x="217"/>
        <item x="442"/>
        <item x="109"/>
        <item x="324"/>
        <item x="199"/>
        <item x="325"/>
        <item x="818"/>
        <item x="168"/>
        <item x="520"/>
        <item x="347"/>
        <item x="36"/>
        <item x="272"/>
        <item x="55"/>
        <item x="804"/>
        <item x="447"/>
        <item x="437"/>
        <item x="422"/>
        <item x="412"/>
        <item x="456"/>
        <item x="191"/>
        <item x="349"/>
        <item x="472"/>
        <item x="7"/>
        <item x="628"/>
        <item x="522"/>
        <item x="328"/>
        <item x="542"/>
        <item x="407"/>
        <item x="362"/>
        <item x="397"/>
        <item x="138"/>
        <item x="414"/>
        <item x="428"/>
        <item x="116"/>
        <item x="22"/>
        <item x="239"/>
        <item x="368"/>
        <item x="78"/>
        <item x="118"/>
        <item x="297"/>
        <item x="265"/>
        <item x="2"/>
        <item x="401"/>
        <item x="218"/>
        <item x="236"/>
        <item x="257"/>
        <item x="163"/>
        <item x="104"/>
        <item x="398"/>
        <item x="250"/>
        <item x="280"/>
        <item x="485"/>
        <item x="433"/>
        <item x="888"/>
        <item x="371"/>
        <item x="211"/>
        <item x="134"/>
        <item x="309"/>
        <item x="420"/>
        <item x="1"/>
        <item x="103"/>
        <item x="84"/>
        <item x="439"/>
        <item x="383"/>
        <item x="298"/>
        <item x="242"/>
        <item x="479"/>
        <item x="484"/>
        <item x="56"/>
        <item x="367"/>
        <item x="117"/>
        <item x="421"/>
        <item x="121"/>
        <item x="348"/>
        <item x="76"/>
        <item x="306"/>
        <item x="97"/>
        <item x="492"/>
        <item x="477"/>
        <item x="320"/>
        <item x="214"/>
        <item x="205"/>
        <item x="276"/>
        <item x="278"/>
        <item x="61"/>
        <item x="364"/>
        <item x="483"/>
        <item x="496"/>
        <item x="361"/>
        <item x="557"/>
        <item x="304"/>
        <item x="357"/>
        <item x="329"/>
        <item x="379"/>
        <item x="268"/>
        <item x="430"/>
        <item x="423"/>
        <item x="424"/>
        <item x="515"/>
        <item x="293"/>
        <item x="42"/>
        <item x="225"/>
        <item x="315"/>
        <item x="366"/>
        <item x="548"/>
        <item x="285"/>
        <item x="377"/>
        <item x="289"/>
        <item x="31"/>
        <item x="208"/>
        <item x="403"/>
        <item x="400"/>
        <item x="296"/>
        <item x="333"/>
        <item x="215"/>
        <item x="392"/>
        <item x="59"/>
        <item x="223"/>
        <item x="417"/>
        <item x="23"/>
        <item x="47"/>
        <item x="302"/>
        <item x="294"/>
        <item x="354"/>
        <item x="146"/>
        <item x="432"/>
        <item x="127"/>
        <item x="352"/>
        <item x="212"/>
        <item x="207"/>
        <item x="458"/>
        <item x="499"/>
        <item x="865"/>
        <item x="185"/>
        <item x="5"/>
        <item x="16"/>
        <item x="457"/>
        <item x="466"/>
        <item x="69"/>
        <item x="777"/>
        <item x="444"/>
        <item x="295"/>
        <item x="491"/>
        <item x="307"/>
        <item x="384"/>
        <item x="209"/>
        <item x="180"/>
        <item x="353"/>
        <item x="494"/>
        <item x="33"/>
        <item x="402"/>
        <item x="312"/>
        <item x="253"/>
        <item x="235"/>
        <item x="245"/>
        <item x="782"/>
        <item x="355"/>
        <item x="160"/>
        <item x="331"/>
        <item x="565"/>
        <item x="560"/>
        <item x="438"/>
        <item x="345"/>
        <item x="413"/>
        <item x="335"/>
        <item x="228"/>
        <item x="408"/>
        <item x="204"/>
        <item x="410"/>
        <item x="232"/>
        <item x="201"/>
        <item x="359"/>
        <item x="448"/>
        <item x="344"/>
        <item x="369"/>
        <item x="452"/>
        <item x="241"/>
        <item x="346"/>
        <item x="254"/>
        <item x="301"/>
        <item x="233"/>
        <item x="493"/>
        <item x="255"/>
        <item x="411"/>
        <item x="358"/>
        <item x="404"/>
        <item x="323"/>
        <item x="426"/>
        <item x="668"/>
        <item x="326"/>
        <item x="470"/>
        <item x="445"/>
        <item x="240"/>
        <item x="845"/>
        <item x="202"/>
        <item x="337"/>
        <item x="473"/>
        <item x="322"/>
        <item x="388"/>
        <item x="390"/>
        <item x="282"/>
        <item x="356"/>
        <item x="305"/>
        <item x="463"/>
        <item x="481"/>
        <item x="189"/>
        <item x="334"/>
        <item x="455"/>
        <item x="464"/>
        <item x="880"/>
        <item x="195"/>
        <item x="396"/>
        <item x="341"/>
        <item x="363"/>
        <item x="281"/>
        <item x="316"/>
        <item x="273"/>
        <item x="395"/>
        <item x="283"/>
        <item x="263"/>
        <item x="248"/>
        <item x="318"/>
        <item x="230"/>
        <item x="440"/>
        <item x="291"/>
        <item x="489"/>
        <item x="747"/>
        <item x="871"/>
        <item x="310"/>
        <item x="234"/>
        <item x="475"/>
        <item x="471"/>
        <item x="478"/>
        <item x="372"/>
        <item x="461"/>
        <item x="264"/>
        <item x="394"/>
        <item x="194"/>
        <item x="480"/>
        <item x="450"/>
        <item x="249"/>
        <item x="465"/>
        <item x="343"/>
        <item x="279"/>
        <item x="261"/>
        <item x="222"/>
        <item x="206"/>
        <item x="406"/>
        <item x="266"/>
        <item x="221"/>
        <item x="446"/>
        <item x="418"/>
        <item x="246"/>
        <item x="350"/>
        <item x="462"/>
        <item x="434"/>
        <item x="243"/>
        <item x="336"/>
        <item x="327"/>
        <item x="12"/>
        <item x="105"/>
        <item x="482"/>
        <item x="453"/>
        <item x="380"/>
        <item x="409"/>
        <item x="319"/>
        <item x="303"/>
        <item x="365"/>
        <item x="370"/>
        <item x="780"/>
        <item x="381"/>
        <item x="883"/>
        <item x="24"/>
        <item x="460"/>
        <item x="869"/>
        <item x="252"/>
        <item x="451"/>
        <item x="270"/>
        <item x="419"/>
        <item x="58"/>
        <item x="910"/>
        <item x="834"/>
        <item x="238"/>
        <item x="190"/>
        <item x="342"/>
        <item x="220"/>
        <item x="258"/>
        <item x="213"/>
        <item x="259"/>
        <item x="229"/>
        <item x="378"/>
        <item x="641"/>
        <item x="317"/>
        <item x="425"/>
        <item x="314"/>
        <item x="247"/>
        <item x="468"/>
        <item x="945"/>
        <item x="385"/>
        <item x="284"/>
        <item x="532"/>
        <item x="386"/>
        <item x="441"/>
        <item x="339"/>
        <item x="688"/>
        <item x="837"/>
        <item x="753"/>
        <item x="755"/>
        <item x="875"/>
        <item x="815"/>
        <item x="816"/>
        <item x="710"/>
        <item x="216"/>
        <item x="873"/>
        <item x="646"/>
        <item x="882"/>
        <item x="665"/>
        <item x="545"/>
        <item x="332"/>
        <item x="507"/>
        <item x="555"/>
        <item x="746"/>
        <item x="502"/>
        <item x="926"/>
        <item x="762"/>
        <item x="737"/>
        <item x="773"/>
        <item x="706"/>
        <item x="711"/>
        <item x="629"/>
        <item x="558"/>
        <item x="785"/>
        <item x="579"/>
        <item x="859"/>
        <item x="778"/>
        <item x="931"/>
        <item x="586"/>
        <item x="251"/>
        <item x="793"/>
        <item x="687"/>
        <item x="647"/>
        <item x="597"/>
        <item x="645"/>
        <item x="685"/>
        <item x="936"/>
        <item x="819"/>
        <item x="810"/>
        <item x="637"/>
        <item x="792"/>
        <item x="474"/>
        <item x="924"/>
        <item x="906"/>
        <item x="959"/>
        <item x="620"/>
        <item x="578"/>
        <item x="791"/>
        <item x="634"/>
        <item x="550"/>
        <item x="908"/>
        <item x="920"/>
        <item x="942"/>
        <item x="870"/>
        <item x="771"/>
        <item x="828"/>
        <item x="770"/>
        <item x="564"/>
        <item x="938"/>
        <item x="667"/>
        <item x="723"/>
        <item x="664"/>
        <item x="862"/>
        <item x="537"/>
        <item x="521"/>
        <item x="722"/>
        <item x="563"/>
        <item x="840"/>
        <item x="654"/>
        <item x="758"/>
        <item x="219"/>
        <item x="823"/>
        <item x="714"/>
        <item x="650"/>
        <item x="552"/>
        <item x="839"/>
        <item x="760"/>
        <item x="6"/>
        <item x="757"/>
        <item x="262"/>
        <item x="878"/>
        <item x="743"/>
        <item x="827"/>
        <item x="523"/>
        <item x="732"/>
        <item x="669"/>
        <item x="863"/>
        <item x="729"/>
        <item x="514"/>
        <item x="905"/>
        <item x="671"/>
        <item x="802"/>
        <item x="642"/>
        <item x="912"/>
        <item x="928"/>
        <item x="730"/>
        <item x="632"/>
        <item x="877"/>
        <item x="725"/>
        <item x="619"/>
        <item x="813"/>
        <item x="955"/>
        <item x="829"/>
        <item x="856"/>
        <item x="573"/>
        <item x="615"/>
        <item x="940"/>
        <item x="689"/>
        <item x="736"/>
        <item x="506"/>
        <item x="508"/>
        <item x="683"/>
        <item x="676"/>
        <item x="811"/>
        <item x="933"/>
        <item x="902"/>
        <item x="790"/>
        <item x="727"/>
        <item x="948"/>
        <item x="700"/>
        <item x="517"/>
        <item x="927"/>
        <item x="892"/>
        <item x="621"/>
        <item x="260"/>
        <item x="649"/>
        <item x="716"/>
        <item x="601"/>
        <item x="549"/>
        <item x="693"/>
        <item x="527"/>
        <item x="857"/>
        <item x="663"/>
        <item x="677"/>
        <item x="659"/>
        <item x="850"/>
        <item x="717"/>
        <item x="618"/>
        <item x="728"/>
        <item x="553"/>
        <item x="594"/>
        <item x="914"/>
        <item x="881"/>
        <item x="661"/>
        <item x="538"/>
        <item x="866"/>
        <item x="847"/>
        <item x="887"/>
        <item x="598"/>
        <item x="852"/>
        <item x="691"/>
        <item x="918"/>
        <item x="851"/>
        <item x="587"/>
        <item x="909"/>
        <item x="516"/>
        <item x="894"/>
        <item x="256"/>
        <item x="504"/>
        <item x="575"/>
        <item x="713"/>
        <item x="822"/>
        <item x="660"/>
        <item x="726"/>
        <item x="701"/>
        <item x="567"/>
        <item x="604"/>
        <item x="812"/>
        <item x="731"/>
        <item x="569"/>
        <item x="678"/>
        <item x="469"/>
        <item x="49"/>
        <item x="821"/>
        <item x="891"/>
        <item x="861"/>
        <item x="776"/>
        <item x="956"/>
        <item x="655"/>
        <item x="599"/>
        <item x="554"/>
        <item x="900"/>
        <item x="571"/>
        <item x="609"/>
        <item x="596"/>
        <item x="766"/>
        <item x="756"/>
        <item x="721"/>
        <item x="503"/>
        <item x="943"/>
        <item x="817"/>
        <item x="675"/>
        <item x="585"/>
        <item x="581"/>
        <item x="925"/>
        <item x="874"/>
        <item x="624"/>
        <item x="607"/>
        <item x="886"/>
        <item x="608"/>
        <item x="561"/>
        <item x="786"/>
        <item x="783"/>
        <item x="653"/>
        <item x="157"/>
        <item x="952"/>
        <item x="890"/>
        <item x="501"/>
        <item x="267"/>
        <item x="953"/>
        <item x="694"/>
        <item x="752"/>
        <item x="830"/>
        <item x="695"/>
        <item x="911"/>
        <item x="960"/>
        <item x="749"/>
        <item x="611"/>
        <item x="844"/>
        <item x="627"/>
        <item x="898"/>
        <item x="897"/>
        <item x="531"/>
        <item x="858"/>
        <item x="670"/>
        <item x="568"/>
        <item x="836"/>
        <item x="605"/>
        <item x="373"/>
        <item x="623"/>
        <item x="867"/>
        <item x="633"/>
        <item x="740"/>
        <item x="630"/>
        <item x="192"/>
        <item x="543"/>
        <item x="505"/>
        <item x="855"/>
        <item x="602"/>
        <item x="534"/>
        <item x="932"/>
        <item x="833"/>
        <item x="879"/>
        <item x="795"/>
        <item x="799"/>
        <item x="519"/>
        <item x="622"/>
        <item x="739"/>
        <item x="705"/>
        <item x="921"/>
        <item x="644"/>
        <item x="603"/>
        <item x="405"/>
        <item x="588"/>
        <item x="788"/>
        <item x="803"/>
        <item x="544"/>
        <item x="930"/>
        <item x="638"/>
        <item x="719"/>
        <item x="849"/>
        <item x="626"/>
        <item x="635"/>
        <item x="582"/>
        <item x="724"/>
        <item x="513"/>
        <item x="443"/>
        <item x="937"/>
        <item x="382"/>
        <item x="640"/>
        <item x="590"/>
        <item x="698"/>
        <item x="808"/>
        <item x="961"/>
        <item x="779"/>
        <item x="703"/>
        <item x="735"/>
        <item x="751"/>
        <item x="950"/>
        <item x="801"/>
        <item x="704"/>
        <item x="889"/>
        <item x="681"/>
        <item x="662"/>
        <item x="686"/>
        <item x="697"/>
        <item x="511"/>
        <item x="610"/>
        <item x="589"/>
        <item x="707"/>
        <item x="904"/>
        <item x="958"/>
        <item x="614"/>
        <item x="551"/>
        <item x="592"/>
        <item x="764"/>
        <item x="814"/>
        <item x="712"/>
        <item x="772"/>
        <item x="720"/>
        <item x="787"/>
        <item x="807"/>
        <item x="796"/>
        <item x="876"/>
        <item x="690"/>
        <item x="733"/>
        <item x="781"/>
        <item x="744"/>
        <item x="570"/>
        <item x="825"/>
        <item x="794"/>
        <item x="761"/>
        <item x="651"/>
        <item x="767"/>
        <item x="631"/>
        <item x="922"/>
        <item x="901"/>
        <item x="625"/>
        <item x="806"/>
        <item x="648"/>
        <item x="684"/>
        <item x="738"/>
        <item x="860"/>
        <item x="525"/>
        <item x="556"/>
        <item x="903"/>
        <item x="547"/>
        <item x="657"/>
        <item x="831"/>
        <item x="509"/>
        <item x="679"/>
        <item x="868"/>
        <item x="606"/>
        <item x="559"/>
        <item x="759"/>
        <item x="715"/>
        <item x="187"/>
        <item x="672"/>
        <item x="864"/>
        <item x="797"/>
        <item x="949"/>
        <item x="748"/>
        <item x="708"/>
        <item x="745"/>
        <item x="643"/>
        <item x="835"/>
        <item x="577"/>
        <item x="528"/>
        <item x="742"/>
        <item x="854"/>
        <item x="789"/>
        <item x="941"/>
        <item x="81"/>
        <item x="584"/>
        <item x="524"/>
        <item x="535"/>
        <item x="152"/>
        <item x="768"/>
        <item x="853"/>
        <item x="896"/>
        <item x="765"/>
        <item x="919"/>
        <item x="600"/>
        <item x="539"/>
        <item x="824"/>
        <item x="826"/>
        <item x="699"/>
        <item x="540"/>
        <item x="658"/>
        <item x="893"/>
        <item x="682"/>
        <item x="951"/>
        <item x="895"/>
        <item x="784"/>
        <item x="763"/>
        <item x="774"/>
        <item x="580"/>
        <item x="674"/>
        <item x="934"/>
        <item x="529"/>
        <item x="923"/>
        <item x="750"/>
        <item x="947"/>
        <item x="884"/>
        <item x="321"/>
        <item x="652"/>
        <item x="541"/>
        <item x="536"/>
        <item x="692"/>
        <item x="673"/>
        <item x="916"/>
        <item x="832"/>
        <item x="562"/>
        <item x="846"/>
        <item x="526"/>
        <item x="899"/>
        <item x="566"/>
        <item x="775"/>
        <item x="957"/>
        <item x="533"/>
        <item x="572"/>
        <item x="510"/>
        <item x="741"/>
        <item x="709"/>
        <item x="754"/>
        <item x="576"/>
        <item x="124"/>
        <item x="636"/>
        <item x="842"/>
        <item x="680"/>
        <item x="848"/>
        <item x="798"/>
        <item x="944"/>
        <item x="500"/>
        <item x="800"/>
        <item x="583"/>
        <item x="574"/>
        <item x="696"/>
        <item x="872"/>
        <item x="512"/>
        <item x="885"/>
        <item x="954"/>
        <item x="616"/>
        <item x="612"/>
        <item x="907"/>
        <item x="702"/>
        <item x="946"/>
        <item x="530"/>
        <item x="805"/>
        <item x="639"/>
        <item t="default"/>
      </items>
    </pivotField>
    <pivotField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  <pivotField compact="0" outline="0"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Sale 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E578-C8A2-4C2C-93E8-34B7FBD1DED4}">
  <sheetPr>
    <tabColor theme="9" tint="0.59999389629810485"/>
  </sheetPr>
  <dimension ref="A3:C14"/>
  <sheetViews>
    <sheetView zoomScale="83" workbookViewId="0">
      <selection activeCell="C11" sqref="C11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14.44140625" bestFit="1" customWidth="1"/>
    <col min="4" max="5" width="10.77734375" bestFit="1" customWidth="1"/>
  </cols>
  <sheetData>
    <row r="3" spans="1:3" x14ac:dyDescent="0.3">
      <c r="A3" s="11" t="s">
        <v>2</v>
      </c>
      <c r="B3" s="11" t="s">
        <v>1</v>
      </c>
      <c r="C3" t="s">
        <v>28</v>
      </c>
    </row>
    <row r="4" spans="1:3" x14ac:dyDescent="0.3">
      <c r="A4" t="s">
        <v>23</v>
      </c>
      <c r="B4" t="s">
        <v>6</v>
      </c>
      <c r="C4">
        <v>381736</v>
      </c>
    </row>
    <row r="5" spans="1:3" x14ac:dyDescent="0.3">
      <c r="B5" t="s">
        <v>10</v>
      </c>
      <c r="C5">
        <v>398150</v>
      </c>
    </row>
    <row r="6" spans="1:3" x14ac:dyDescent="0.3">
      <c r="A6" t="s">
        <v>18</v>
      </c>
      <c r="B6" t="s">
        <v>6</v>
      </c>
      <c r="C6">
        <v>379666</v>
      </c>
    </row>
    <row r="7" spans="1:3" x14ac:dyDescent="0.3">
      <c r="B7" t="s">
        <v>10</v>
      </c>
      <c r="C7">
        <v>253881</v>
      </c>
    </row>
    <row r="8" spans="1:3" x14ac:dyDescent="0.3">
      <c r="A8" t="s">
        <v>7</v>
      </c>
      <c r="B8" t="s">
        <v>6</v>
      </c>
      <c r="C8">
        <v>826668</v>
      </c>
    </row>
    <row r="9" spans="1:3" x14ac:dyDescent="0.3">
      <c r="B9" t="s">
        <v>10</v>
      </c>
      <c r="C9">
        <v>148442</v>
      </c>
    </row>
    <row r="10" spans="1:3" x14ac:dyDescent="0.3">
      <c r="A10" t="s">
        <v>25</v>
      </c>
      <c r="B10" t="s">
        <v>6</v>
      </c>
      <c r="C10">
        <v>836511</v>
      </c>
    </row>
    <row r="11" spans="1:3" x14ac:dyDescent="0.3">
      <c r="B11" t="s">
        <v>10</v>
      </c>
      <c r="C11">
        <v>567890</v>
      </c>
    </row>
    <row r="12" spans="1:3" x14ac:dyDescent="0.3">
      <c r="A12" t="s">
        <v>11</v>
      </c>
      <c r="B12" t="s">
        <v>6</v>
      </c>
      <c r="C12">
        <v>183423</v>
      </c>
    </row>
    <row r="13" spans="1:3" x14ac:dyDescent="0.3">
      <c r="B13" t="s">
        <v>10</v>
      </c>
      <c r="C13">
        <v>735220</v>
      </c>
    </row>
    <row r="14" spans="1:3" x14ac:dyDescent="0.3">
      <c r="A14" t="s">
        <v>27</v>
      </c>
      <c r="C14">
        <v>4711587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D5AC-026F-4ABE-B359-D82E0E072E62}">
  <sheetPr>
    <tabColor theme="2" tint="-0.749992370372631"/>
  </sheetPr>
  <dimension ref="A3:B14"/>
  <sheetViews>
    <sheetView tabSelected="1" topLeftCell="A2" zoomScale="101" workbookViewId="0">
      <selection activeCell="A3" sqref="A3"/>
    </sheetView>
  </sheetViews>
  <sheetFormatPr defaultRowHeight="14.4" x14ac:dyDescent="0.3"/>
  <cols>
    <col min="1" max="1" width="21.44140625" bestFit="1" customWidth="1"/>
    <col min="2" max="2" width="22.5546875" bestFit="1" customWidth="1"/>
    <col min="3" max="12" width="26.5546875" bestFit="1" customWidth="1"/>
    <col min="13" max="13" width="17.109375" bestFit="1" customWidth="1"/>
    <col min="14" max="14" width="11.44140625" bestFit="1" customWidth="1"/>
    <col min="15" max="23" width="14.5546875" bestFit="1" customWidth="1"/>
    <col min="24" max="24" width="10.5546875" bestFit="1" customWidth="1"/>
    <col min="25" max="25" width="11.44140625" bestFit="1" customWidth="1"/>
    <col min="26" max="29" width="13.109375" bestFit="1" customWidth="1"/>
    <col min="30" max="30" width="10.5546875" bestFit="1" customWidth="1"/>
    <col min="31" max="31" width="13.33203125" bestFit="1" customWidth="1"/>
    <col min="32" max="32" width="11.44140625" bestFit="1" customWidth="1"/>
    <col min="33" max="34" width="12.77734375" bestFit="1" customWidth="1"/>
    <col min="35" max="35" width="18.109375" bestFit="1" customWidth="1"/>
    <col min="36" max="36" width="12.6640625" bestFit="1" customWidth="1"/>
    <col min="37" max="38" width="14.44140625" bestFit="1" customWidth="1"/>
    <col min="39" max="39" width="19.88671875" bestFit="1" customWidth="1"/>
    <col min="40" max="40" width="11.44140625" bestFit="1" customWidth="1"/>
    <col min="41" max="42" width="18.6640625" bestFit="1" customWidth="1"/>
    <col min="43" max="43" width="18.109375" bestFit="1" customWidth="1"/>
    <col min="44" max="44" width="24.21875" bestFit="1" customWidth="1"/>
    <col min="45" max="45" width="15.33203125" bestFit="1" customWidth="1"/>
  </cols>
  <sheetData>
    <row r="3" spans="1:2" x14ac:dyDescent="0.3">
      <c r="A3" s="11" t="s">
        <v>1</v>
      </c>
      <c r="B3" t="s">
        <v>411</v>
      </c>
    </row>
    <row r="4" spans="1:2" x14ac:dyDescent="0.3">
      <c r="A4" t="s">
        <v>44</v>
      </c>
      <c r="B4" s="22">
        <v>1023983</v>
      </c>
    </row>
    <row r="5" spans="1:2" x14ac:dyDescent="0.3">
      <c r="A5" t="s">
        <v>410</v>
      </c>
      <c r="B5" s="22">
        <v>137206</v>
      </c>
    </row>
    <row r="6" spans="1:2" x14ac:dyDescent="0.3">
      <c r="A6" t="s">
        <v>156</v>
      </c>
      <c r="B6" s="22">
        <v>515464</v>
      </c>
    </row>
    <row r="7" spans="1:2" x14ac:dyDescent="0.3">
      <c r="A7" t="s">
        <v>62</v>
      </c>
      <c r="B7" s="22">
        <v>2732908</v>
      </c>
    </row>
    <row r="8" spans="1:2" x14ac:dyDescent="0.3">
      <c r="A8" t="s">
        <v>10</v>
      </c>
      <c r="B8" s="22">
        <v>4793940</v>
      </c>
    </row>
    <row r="9" spans="1:2" x14ac:dyDescent="0.3">
      <c r="A9" t="s">
        <v>186</v>
      </c>
      <c r="B9" s="22">
        <v>3327327</v>
      </c>
    </row>
    <row r="10" spans="1:2" x14ac:dyDescent="0.3">
      <c r="A10" t="s">
        <v>123</v>
      </c>
      <c r="B10" s="22">
        <v>18135629</v>
      </c>
    </row>
    <row r="11" spans="1:2" x14ac:dyDescent="0.3">
      <c r="A11" t="s">
        <v>72</v>
      </c>
      <c r="B11" s="22">
        <v>1182418</v>
      </c>
    </row>
    <row r="12" spans="1:2" x14ac:dyDescent="0.3">
      <c r="A12" t="s">
        <v>143</v>
      </c>
      <c r="B12" s="22">
        <v>14643730</v>
      </c>
    </row>
    <row r="13" spans="1:2" x14ac:dyDescent="0.3">
      <c r="A13" t="s">
        <v>88</v>
      </c>
      <c r="B13" s="22">
        <v>2530939</v>
      </c>
    </row>
    <row r="14" spans="1:2" x14ac:dyDescent="0.3">
      <c r="A14" t="s">
        <v>59</v>
      </c>
      <c r="B14" s="22">
        <v>1985667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D287-44E5-4DFB-97DA-4BEB20B0F578}">
  <sheetPr>
    <tabColor rgb="FFFF0000"/>
  </sheetPr>
  <dimension ref="A1:N994"/>
  <sheetViews>
    <sheetView workbookViewId="0">
      <selection activeCell="C23" sqref="A1:N993"/>
    </sheetView>
  </sheetViews>
  <sheetFormatPr defaultRowHeight="14.4" x14ac:dyDescent="0.3"/>
  <cols>
    <col min="1" max="1" width="17.33203125" bestFit="1" customWidth="1"/>
    <col min="2" max="2" width="10" bestFit="1" customWidth="1"/>
    <col min="3" max="3" width="26.6640625" bestFit="1" customWidth="1"/>
    <col min="4" max="4" width="12.44140625" bestFit="1" customWidth="1"/>
    <col min="5" max="5" width="19.21875" bestFit="1" customWidth="1"/>
    <col min="6" max="6" width="16.109375" bestFit="1" customWidth="1"/>
    <col min="7" max="7" width="10.44140625" bestFit="1" customWidth="1"/>
    <col min="8" max="8" width="12.109375" bestFit="1" customWidth="1"/>
    <col min="9" max="9" width="6.6640625" bestFit="1" customWidth="1"/>
    <col min="10" max="10" width="7.44140625" bestFit="1" customWidth="1"/>
    <col min="11" max="11" width="18.77734375" bestFit="1" customWidth="1"/>
    <col min="12" max="12" width="13.44140625" bestFit="1" customWidth="1"/>
    <col min="13" max="13" width="8.33203125" bestFit="1" customWidth="1"/>
  </cols>
  <sheetData>
    <row r="1" spans="1:14" ht="21.6" thickBot="1" x14ac:dyDescent="0.35">
      <c r="A1" s="12" t="s">
        <v>29</v>
      </c>
      <c r="B1" s="12" t="s">
        <v>30</v>
      </c>
      <c r="C1" s="13" t="s">
        <v>31</v>
      </c>
      <c r="D1" s="13" t="s">
        <v>32</v>
      </c>
      <c r="E1" s="13" t="s">
        <v>1</v>
      </c>
      <c r="F1" s="13" t="s">
        <v>33</v>
      </c>
      <c r="G1" s="13" t="s">
        <v>3</v>
      </c>
      <c r="H1" s="13" t="s">
        <v>34</v>
      </c>
      <c r="I1" s="13" t="s">
        <v>35</v>
      </c>
      <c r="J1" s="13" t="s">
        <v>36</v>
      </c>
      <c r="K1" s="14" t="s">
        <v>37</v>
      </c>
      <c r="L1" s="14" t="s">
        <v>38</v>
      </c>
      <c r="M1" s="14" t="s">
        <v>39</v>
      </c>
      <c r="N1" s="14" t="s">
        <v>40</v>
      </c>
    </row>
    <row r="2" spans="1:14" ht="15.6" thickTop="1" thickBot="1" x14ac:dyDescent="0.35">
      <c r="A2" s="15">
        <v>45454</v>
      </c>
      <c r="B2" s="15" t="s">
        <v>41</v>
      </c>
      <c r="C2" s="16" t="s">
        <v>42</v>
      </c>
      <c r="D2" s="16" t="s">
        <v>43</v>
      </c>
      <c r="E2" s="16" t="s">
        <v>44</v>
      </c>
      <c r="F2" s="16" t="s">
        <v>45</v>
      </c>
      <c r="G2" s="16" t="s">
        <v>8</v>
      </c>
      <c r="H2" s="16">
        <v>17</v>
      </c>
      <c r="I2" s="16">
        <v>938</v>
      </c>
      <c r="J2" s="16">
        <v>938</v>
      </c>
      <c r="K2" s="17">
        <f t="shared" ref="K2:K65" si="0">H2*I2</f>
        <v>15946</v>
      </c>
      <c r="L2" s="17">
        <f t="shared" ref="L2:L65" si="1">H2*J2</f>
        <v>15946</v>
      </c>
      <c r="M2" s="17">
        <f t="shared" ref="M2:M65" si="2">L2-K2</f>
        <v>0</v>
      </c>
      <c r="N2" s="17" t="str">
        <f t="shared" ref="N2:N65" si="3">IF(M2&gt;0,"profit","loss")</f>
        <v>loss</v>
      </c>
    </row>
    <row r="3" spans="1:14" ht="15.6" thickTop="1" thickBot="1" x14ac:dyDescent="0.35">
      <c r="A3" s="15">
        <v>45455</v>
      </c>
      <c r="B3" s="15" t="s">
        <v>41</v>
      </c>
      <c r="C3" s="16" t="s">
        <v>46</v>
      </c>
      <c r="D3" s="16" t="s">
        <v>43</v>
      </c>
      <c r="E3" s="16" t="s">
        <v>44</v>
      </c>
      <c r="F3" s="16" t="s">
        <v>47</v>
      </c>
      <c r="G3" s="16" t="s">
        <v>8</v>
      </c>
      <c r="H3" s="16">
        <v>18</v>
      </c>
      <c r="I3" s="16">
        <v>920</v>
      </c>
      <c r="J3" s="16">
        <v>1360</v>
      </c>
      <c r="K3" s="17">
        <f t="shared" si="0"/>
        <v>16560</v>
      </c>
      <c r="L3" s="17">
        <f t="shared" si="1"/>
        <v>24480</v>
      </c>
      <c r="M3" s="17">
        <f t="shared" si="2"/>
        <v>7920</v>
      </c>
      <c r="N3" s="17" t="str">
        <f t="shared" si="3"/>
        <v>profit</v>
      </c>
    </row>
    <row r="4" spans="1:14" ht="15.6" thickTop="1" thickBot="1" x14ac:dyDescent="0.35">
      <c r="A4" s="15">
        <v>45456</v>
      </c>
      <c r="B4" s="15" t="s">
        <v>41</v>
      </c>
      <c r="C4" s="16" t="s">
        <v>48</v>
      </c>
      <c r="D4" s="16" t="s">
        <v>43</v>
      </c>
      <c r="E4" s="16" t="s">
        <v>44</v>
      </c>
      <c r="F4" s="16" t="s">
        <v>49</v>
      </c>
      <c r="G4" s="16" t="s">
        <v>8</v>
      </c>
      <c r="H4" s="16">
        <v>20</v>
      </c>
      <c r="I4" s="16">
        <v>731</v>
      </c>
      <c r="J4" s="16">
        <v>1186</v>
      </c>
      <c r="K4" s="17">
        <f t="shared" si="0"/>
        <v>14620</v>
      </c>
      <c r="L4" s="17">
        <f t="shared" si="1"/>
        <v>23720</v>
      </c>
      <c r="M4" s="17">
        <f t="shared" si="2"/>
        <v>9100</v>
      </c>
      <c r="N4" s="17" t="str">
        <f t="shared" si="3"/>
        <v>profit</v>
      </c>
    </row>
    <row r="5" spans="1:14" ht="15.6" thickTop="1" thickBot="1" x14ac:dyDescent="0.35">
      <c r="A5" s="15">
        <v>45457</v>
      </c>
      <c r="B5" s="15" t="s">
        <v>41</v>
      </c>
      <c r="C5" s="16" t="s">
        <v>50</v>
      </c>
      <c r="D5" s="16" t="s">
        <v>43</v>
      </c>
      <c r="E5" s="16" t="s">
        <v>44</v>
      </c>
      <c r="F5" s="16" t="s">
        <v>51</v>
      </c>
      <c r="G5" s="16" t="s">
        <v>8</v>
      </c>
      <c r="H5" s="16">
        <v>17</v>
      </c>
      <c r="I5" s="16">
        <v>750</v>
      </c>
      <c r="J5" s="16">
        <v>793</v>
      </c>
      <c r="K5" s="17">
        <f t="shared" si="0"/>
        <v>12750</v>
      </c>
      <c r="L5" s="17">
        <f t="shared" si="1"/>
        <v>13481</v>
      </c>
      <c r="M5" s="17">
        <f t="shared" si="2"/>
        <v>731</v>
      </c>
      <c r="N5" s="17" t="str">
        <f t="shared" si="3"/>
        <v>profit</v>
      </c>
    </row>
    <row r="6" spans="1:14" ht="15.6" thickTop="1" thickBot="1" x14ac:dyDescent="0.35">
      <c r="A6" s="15">
        <v>45459</v>
      </c>
      <c r="B6" s="15" t="s">
        <v>41</v>
      </c>
      <c r="C6" s="16" t="s">
        <v>52</v>
      </c>
      <c r="D6" s="16" t="s">
        <v>43</v>
      </c>
      <c r="E6" s="16" t="s">
        <v>44</v>
      </c>
      <c r="F6" s="16" t="s">
        <v>53</v>
      </c>
      <c r="G6" s="16" t="s">
        <v>12</v>
      </c>
      <c r="H6" s="16">
        <v>14</v>
      </c>
      <c r="I6" s="16">
        <v>906</v>
      </c>
      <c r="J6" s="16">
        <v>1327</v>
      </c>
      <c r="K6" s="17">
        <f t="shared" si="0"/>
        <v>12684</v>
      </c>
      <c r="L6" s="17">
        <f t="shared" si="1"/>
        <v>18578</v>
      </c>
      <c r="M6" s="17">
        <f t="shared" si="2"/>
        <v>5894</v>
      </c>
      <c r="N6" s="17" t="str">
        <f t="shared" si="3"/>
        <v>profit</v>
      </c>
    </row>
    <row r="7" spans="1:14" ht="15.6" thickTop="1" thickBot="1" x14ac:dyDescent="0.35">
      <c r="A7" s="15">
        <v>45460</v>
      </c>
      <c r="B7" s="15" t="s">
        <v>41</v>
      </c>
      <c r="C7" s="16" t="s">
        <v>54</v>
      </c>
      <c r="D7" s="16" t="s">
        <v>43</v>
      </c>
      <c r="E7" s="16" t="s">
        <v>44</v>
      </c>
      <c r="F7" s="16" t="s">
        <v>55</v>
      </c>
      <c r="G7" s="16" t="s">
        <v>12</v>
      </c>
      <c r="H7" s="16">
        <v>20</v>
      </c>
      <c r="I7" s="16">
        <v>699</v>
      </c>
      <c r="J7" s="16">
        <v>1400</v>
      </c>
      <c r="K7" s="17">
        <f t="shared" si="0"/>
        <v>13980</v>
      </c>
      <c r="L7" s="17">
        <f t="shared" si="1"/>
        <v>28000</v>
      </c>
      <c r="M7" s="17">
        <f t="shared" si="2"/>
        <v>14020</v>
      </c>
      <c r="N7" s="17" t="str">
        <f t="shared" si="3"/>
        <v>profit</v>
      </c>
    </row>
    <row r="8" spans="1:14" ht="15.6" thickTop="1" thickBot="1" x14ac:dyDescent="0.35">
      <c r="A8" s="15">
        <v>45389</v>
      </c>
      <c r="B8" s="15" t="s">
        <v>56</v>
      </c>
      <c r="C8" s="16" t="s">
        <v>57</v>
      </c>
      <c r="D8" s="16" t="s">
        <v>58</v>
      </c>
      <c r="E8" s="16" t="s">
        <v>59</v>
      </c>
      <c r="F8" s="16" t="s">
        <v>60</v>
      </c>
      <c r="G8" s="16" t="s">
        <v>12</v>
      </c>
      <c r="H8" s="16">
        <v>55</v>
      </c>
      <c r="I8" s="16">
        <v>637</v>
      </c>
      <c r="J8" s="16">
        <v>1143</v>
      </c>
      <c r="K8" s="17">
        <f t="shared" si="0"/>
        <v>35035</v>
      </c>
      <c r="L8" s="17">
        <f t="shared" si="1"/>
        <v>62865</v>
      </c>
      <c r="M8" s="17">
        <f t="shared" si="2"/>
        <v>27830</v>
      </c>
      <c r="N8" s="17" t="str">
        <f t="shared" si="3"/>
        <v>profit</v>
      </c>
    </row>
    <row r="9" spans="1:14" ht="15.6" thickTop="1" thickBot="1" x14ac:dyDescent="0.35">
      <c r="A9" s="15">
        <v>45472</v>
      </c>
      <c r="B9" s="15" t="s">
        <v>41</v>
      </c>
      <c r="C9" s="16" t="s">
        <v>61</v>
      </c>
      <c r="D9" s="16" t="s">
        <v>43</v>
      </c>
      <c r="E9" s="16" t="s">
        <v>62</v>
      </c>
      <c r="F9" s="16" t="s">
        <v>60</v>
      </c>
      <c r="G9" s="16" t="s">
        <v>8</v>
      </c>
      <c r="H9" s="16">
        <v>17</v>
      </c>
      <c r="I9" s="16">
        <v>537</v>
      </c>
      <c r="J9" s="16">
        <v>1350</v>
      </c>
      <c r="K9" s="17">
        <f t="shared" si="0"/>
        <v>9129</v>
      </c>
      <c r="L9" s="17">
        <f t="shared" si="1"/>
        <v>22950</v>
      </c>
      <c r="M9" s="17">
        <f t="shared" si="2"/>
        <v>13821</v>
      </c>
      <c r="N9" s="17" t="str">
        <f t="shared" si="3"/>
        <v>profit</v>
      </c>
    </row>
    <row r="10" spans="1:14" ht="15.6" thickTop="1" thickBot="1" x14ac:dyDescent="0.35">
      <c r="A10" s="15">
        <v>45473</v>
      </c>
      <c r="B10" s="15" t="s">
        <v>41</v>
      </c>
      <c r="C10" s="16" t="s">
        <v>63</v>
      </c>
      <c r="D10" s="16" t="s">
        <v>43</v>
      </c>
      <c r="E10" s="16" t="s">
        <v>62</v>
      </c>
      <c r="F10" s="16" t="s">
        <v>64</v>
      </c>
      <c r="G10" s="16" t="s">
        <v>8</v>
      </c>
      <c r="H10" s="16">
        <v>20</v>
      </c>
      <c r="I10" s="16">
        <v>875</v>
      </c>
      <c r="J10" s="16">
        <v>911</v>
      </c>
      <c r="K10" s="17">
        <f t="shared" si="0"/>
        <v>17500</v>
      </c>
      <c r="L10" s="17">
        <f t="shared" si="1"/>
        <v>18220</v>
      </c>
      <c r="M10" s="17">
        <f t="shared" si="2"/>
        <v>720</v>
      </c>
      <c r="N10" s="17" t="str">
        <f t="shared" si="3"/>
        <v>profit</v>
      </c>
    </row>
    <row r="11" spans="1:14" ht="15.6" thickTop="1" thickBot="1" x14ac:dyDescent="0.35">
      <c r="A11" s="15">
        <v>45474</v>
      </c>
      <c r="B11" s="15" t="s">
        <v>65</v>
      </c>
      <c r="C11" s="16" t="s">
        <v>66</v>
      </c>
      <c r="D11" s="16" t="s">
        <v>43</v>
      </c>
      <c r="E11" s="16" t="s">
        <v>62</v>
      </c>
      <c r="F11" s="16" t="s">
        <v>64</v>
      </c>
      <c r="G11" s="16" t="s">
        <v>8</v>
      </c>
      <c r="H11" s="16">
        <v>13</v>
      </c>
      <c r="I11" s="16">
        <v>917</v>
      </c>
      <c r="J11" s="16">
        <v>1315</v>
      </c>
      <c r="K11" s="17">
        <f t="shared" si="0"/>
        <v>11921</v>
      </c>
      <c r="L11" s="17">
        <f t="shared" si="1"/>
        <v>17095</v>
      </c>
      <c r="M11" s="17">
        <f t="shared" si="2"/>
        <v>5174</v>
      </c>
      <c r="N11" s="17" t="str">
        <f t="shared" si="3"/>
        <v>profit</v>
      </c>
    </row>
    <row r="12" spans="1:14" ht="15.6" thickTop="1" thickBot="1" x14ac:dyDescent="0.35">
      <c r="A12" s="15">
        <v>45476</v>
      </c>
      <c r="B12" s="15" t="s">
        <v>65</v>
      </c>
      <c r="C12" s="16" t="s">
        <v>67</v>
      </c>
      <c r="D12" s="16" t="s">
        <v>43</v>
      </c>
      <c r="E12" s="16" t="s">
        <v>62</v>
      </c>
      <c r="F12" s="16" t="s">
        <v>53</v>
      </c>
      <c r="G12" s="16" t="s">
        <v>8</v>
      </c>
      <c r="H12" s="16">
        <v>12</v>
      </c>
      <c r="I12" s="16">
        <v>980</v>
      </c>
      <c r="J12" s="16">
        <v>1462</v>
      </c>
      <c r="K12" s="17">
        <f t="shared" si="0"/>
        <v>11760</v>
      </c>
      <c r="L12" s="17">
        <f t="shared" si="1"/>
        <v>17544</v>
      </c>
      <c r="M12" s="17">
        <f t="shared" si="2"/>
        <v>5784</v>
      </c>
      <c r="N12" s="17" t="str">
        <f t="shared" si="3"/>
        <v>profit</v>
      </c>
    </row>
    <row r="13" spans="1:14" ht="15.6" thickTop="1" thickBot="1" x14ac:dyDescent="0.35">
      <c r="A13" s="15">
        <v>45477</v>
      </c>
      <c r="B13" s="15" t="s">
        <v>65</v>
      </c>
      <c r="C13" s="16" t="s">
        <v>68</v>
      </c>
      <c r="D13" s="16" t="s">
        <v>43</v>
      </c>
      <c r="E13" s="16" t="s">
        <v>62</v>
      </c>
      <c r="F13" s="16" t="s">
        <v>69</v>
      </c>
      <c r="G13" s="16" t="s">
        <v>8</v>
      </c>
      <c r="H13" s="16">
        <v>12</v>
      </c>
      <c r="I13" s="16">
        <v>734</v>
      </c>
      <c r="J13" s="16">
        <v>1181</v>
      </c>
      <c r="K13" s="17">
        <f t="shared" si="0"/>
        <v>8808</v>
      </c>
      <c r="L13" s="17">
        <f t="shared" si="1"/>
        <v>14172</v>
      </c>
      <c r="M13" s="17">
        <f t="shared" si="2"/>
        <v>5364</v>
      </c>
      <c r="N13" s="17" t="str">
        <f t="shared" si="3"/>
        <v>profit</v>
      </c>
    </row>
    <row r="14" spans="1:14" ht="15.6" thickTop="1" thickBot="1" x14ac:dyDescent="0.35">
      <c r="A14" s="15">
        <v>45395</v>
      </c>
      <c r="B14" s="15" t="s">
        <v>56</v>
      </c>
      <c r="C14" s="16" t="s">
        <v>70</v>
      </c>
      <c r="D14" s="16" t="s">
        <v>71</v>
      </c>
      <c r="E14" s="16" t="s">
        <v>72</v>
      </c>
      <c r="F14" s="16" t="s">
        <v>69</v>
      </c>
      <c r="G14" s="16" t="s">
        <v>8</v>
      </c>
      <c r="H14" s="16">
        <v>29</v>
      </c>
      <c r="I14" s="16">
        <v>951</v>
      </c>
      <c r="J14" s="16">
        <v>1268</v>
      </c>
      <c r="K14" s="17">
        <f t="shared" si="0"/>
        <v>27579</v>
      </c>
      <c r="L14" s="17">
        <f t="shared" si="1"/>
        <v>36772</v>
      </c>
      <c r="M14" s="17">
        <f t="shared" si="2"/>
        <v>9193</v>
      </c>
      <c r="N14" s="17" t="str">
        <f t="shared" si="3"/>
        <v>profit</v>
      </c>
    </row>
    <row r="15" spans="1:14" ht="15.6" thickTop="1" thickBot="1" x14ac:dyDescent="0.35">
      <c r="A15" s="15">
        <v>45478</v>
      </c>
      <c r="B15" s="15" t="s">
        <v>65</v>
      </c>
      <c r="C15" s="16" t="s">
        <v>73</v>
      </c>
      <c r="D15" s="16" t="s">
        <v>43</v>
      </c>
      <c r="E15" s="16" t="s">
        <v>62</v>
      </c>
      <c r="F15" s="16" t="s">
        <v>74</v>
      </c>
      <c r="G15" s="16" t="s">
        <v>8</v>
      </c>
      <c r="H15" s="16">
        <v>12</v>
      </c>
      <c r="I15" s="16">
        <v>913</v>
      </c>
      <c r="J15" s="16">
        <v>1170</v>
      </c>
      <c r="K15" s="17">
        <f t="shared" si="0"/>
        <v>10956</v>
      </c>
      <c r="L15" s="17">
        <f t="shared" si="1"/>
        <v>14040</v>
      </c>
      <c r="M15" s="17">
        <f t="shared" si="2"/>
        <v>3084</v>
      </c>
      <c r="N15" s="17" t="str">
        <f t="shared" si="3"/>
        <v>profit</v>
      </c>
    </row>
    <row r="16" spans="1:14" ht="15.6" thickTop="1" thickBot="1" x14ac:dyDescent="0.35">
      <c r="A16" s="15">
        <v>45479</v>
      </c>
      <c r="B16" s="15" t="s">
        <v>65</v>
      </c>
      <c r="C16" s="16" t="s">
        <v>75</v>
      </c>
      <c r="D16" s="16" t="s">
        <v>43</v>
      </c>
      <c r="E16" s="16" t="s">
        <v>62</v>
      </c>
      <c r="F16" s="16" t="s">
        <v>53</v>
      </c>
      <c r="G16" s="16" t="s">
        <v>12</v>
      </c>
      <c r="H16" s="16">
        <v>20</v>
      </c>
      <c r="I16" s="16">
        <v>833</v>
      </c>
      <c r="J16" s="16">
        <v>877</v>
      </c>
      <c r="K16" s="17">
        <f t="shared" si="0"/>
        <v>16660</v>
      </c>
      <c r="L16" s="17">
        <f t="shared" si="1"/>
        <v>17540</v>
      </c>
      <c r="M16" s="17">
        <f t="shared" si="2"/>
        <v>880</v>
      </c>
      <c r="N16" s="17" t="str">
        <f t="shared" si="3"/>
        <v>profit</v>
      </c>
    </row>
    <row r="17" spans="1:14" ht="15.6" thickTop="1" thickBot="1" x14ac:dyDescent="0.35">
      <c r="A17" s="15">
        <v>45480</v>
      </c>
      <c r="B17" s="15" t="s">
        <v>65</v>
      </c>
      <c r="C17" s="16" t="s">
        <v>76</v>
      </c>
      <c r="D17" s="16" t="s">
        <v>43</v>
      </c>
      <c r="E17" s="16" t="s">
        <v>62</v>
      </c>
      <c r="F17" s="16" t="s">
        <v>77</v>
      </c>
      <c r="G17" s="16" t="s">
        <v>12</v>
      </c>
      <c r="H17" s="16">
        <v>17</v>
      </c>
      <c r="I17" s="16">
        <v>748</v>
      </c>
      <c r="J17" s="16">
        <v>1138</v>
      </c>
      <c r="K17" s="17">
        <f t="shared" si="0"/>
        <v>12716</v>
      </c>
      <c r="L17" s="17">
        <f t="shared" si="1"/>
        <v>19346</v>
      </c>
      <c r="M17" s="17">
        <f t="shared" si="2"/>
        <v>6630</v>
      </c>
      <c r="N17" s="17" t="str">
        <f t="shared" si="3"/>
        <v>profit</v>
      </c>
    </row>
    <row r="18" spans="1:14" ht="15.6" thickTop="1" thickBot="1" x14ac:dyDescent="0.35">
      <c r="A18" s="15">
        <v>45481</v>
      </c>
      <c r="B18" s="15" t="s">
        <v>65</v>
      </c>
      <c r="C18" s="16" t="s">
        <v>78</v>
      </c>
      <c r="D18" s="16" t="s">
        <v>43</v>
      </c>
      <c r="E18" s="16" t="s">
        <v>62</v>
      </c>
      <c r="F18" s="16" t="s">
        <v>79</v>
      </c>
      <c r="G18" s="16" t="s">
        <v>12</v>
      </c>
      <c r="H18" s="16">
        <v>20</v>
      </c>
      <c r="I18" s="16">
        <v>517</v>
      </c>
      <c r="J18" s="16">
        <v>1405</v>
      </c>
      <c r="K18" s="17">
        <f t="shared" si="0"/>
        <v>10340</v>
      </c>
      <c r="L18" s="17">
        <f t="shared" si="1"/>
        <v>28100</v>
      </c>
      <c r="M18" s="17">
        <f t="shared" si="2"/>
        <v>17760</v>
      </c>
      <c r="N18" s="17" t="str">
        <f t="shared" si="3"/>
        <v>profit</v>
      </c>
    </row>
    <row r="19" spans="1:14" ht="15.6" thickTop="1" thickBot="1" x14ac:dyDescent="0.35">
      <c r="A19" s="15">
        <v>45482</v>
      </c>
      <c r="B19" s="15" t="s">
        <v>65</v>
      </c>
      <c r="C19" s="16" t="s">
        <v>80</v>
      </c>
      <c r="D19" s="16" t="s">
        <v>43</v>
      </c>
      <c r="E19" s="16" t="s">
        <v>62</v>
      </c>
      <c r="F19" s="16" t="s">
        <v>60</v>
      </c>
      <c r="G19" s="16" t="s">
        <v>12</v>
      </c>
      <c r="H19" s="16">
        <v>18</v>
      </c>
      <c r="I19" s="16">
        <v>674</v>
      </c>
      <c r="J19" s="16">
        <v>775</v>
      </c>
      <c r="K19" s="17">
        <f t="shared" si="0"/>
        <v>12132</v>
      </c>
      <c r="L19" s="17">
        <f t="shared" si="1"/>
        <v>13950</v>
      </c>
      <c r="M19" s="17">
        <f t="shared" si="2"/>
        <v>1818</v>
      </c>
      <c r="N19" s="17" t="str">
        <f t="shared" si="3"/>
        <v>profit</v>
      </c>
    </row>
    <row r="20" spans="1:14" ht="15.6" thickTop="1" thickBot="1" x14ac:dyDescent="0.35">
      <c r="A20" s="15">
        <v>45483</v>
      </c>
      <c r="B20" s="15" t="s">
        <v>65</v>
      </c>
      <c r="C20" s="16" t="s">
        <v>81</v>
      </c>
      <c r="D20" s="16" t="s">
        <v>43</v>
      </c>
      <c r="E20" s="16" t="s">
        <v>62</v>
      </c>
      <c r="F20" s="16" t="s">
        <v>64</v>
      </c>
      <c r="G20" s="16" t="s">
        <v>8</v>
      </c>
      <c r="H20" s="16">
        <v>17</v>
      </c>
      <c r="I20" s="16">
        <v>641</v>
      </c>
      <c r="J20" s="16">
        <v>765</v>
      </c>
      <c r="K20" s="17">
        <f t="shared" si="0"/>
        <v>10897</v>
      </c>
      <c r="L20" s="17">
        <f t="shared" si="1"/>
        <v>13005</v>
      </c>
      <c r="M20" s="17">
        <f t="shared" si="2"/>
        <v>2108</v>
      </c>
      <c r="N20" s="17" t="str">
        <f t="shared" si="3"/>
        <v>profit</v>
      </c>
    </row>
    <row r="21" spans="1:14" ht="15.6" thickTop="1" thickBot="1" x14ac:dyDescent="0.35">
      <c r="A21" s="15">
        <v>45510</v>
      </c>
      <c r="B21" s="15" t="s">
        <v>82</v>
      </c>
      <c r="C21" s="16" t="s">
        <v>83</v>
      </c>
      <c r="D21" s="16" t="s">
        <v>43</v>
      </c>
      <c r="E21" s="16" t="s">
        <v>62</v>
      </c>
      <c r="F21" s="16" t="s">
        <v>69</v>
      </c>
      <c r="G21" s="16" t="s">
        <v>8</v>
      </c>
      <c r="H21" s="16">
        <v>10</v>
      </c>
      <c r="I21" s="16">
        <v>754</v>
      </c>
      <c r="J21" s="16">
        <v>982</v>
      </c>
      <c r="K21" s="17">
        <f t="shared" si="0"/>
        <v>7540</v>
      </c>
      <c r="L21" s="17">
        <f t="shared" si="1"/>
        <v>9820</v>
      </c>
      <c r="M21" s="17">
        <f t="shared" si="2"/>
        <v>2280</v>
      </c>
      <c r="N21" s="17" t="str">
        <f t="shared" si="3"/>
        <v>profit</v>
      </c>
    </row>
    <row r="22" spans="1:14" ht="15.6" thickTop="1" thickBot="1" x14ac:dyDescent="0.35">
      <c r="A22" s="15">
        <v>45511</v>
      </c>
      <c r="B22" s="15" t="s">
        <v>82</v>
      </c>
      <c r="C22" s="16" t="s">
        <v>84</v>
      </c>
      <c r="D22" s="16" t="s">
        <v>43</v>
      </c>
      <c r="E22" s="16" t="s">
        <v>62</v>
      </c>
      <c r="F22" s="16" t="s">
        <v>85</v>
      </c>
      <c r="G22" s="16" t="s">
        <v>8</v>
      </c>
      <c r="H22" s="16">
        <v>14</v>
      </c>
      <c r="I22" s="16">
        <v>815</v>
      </c>
      <c r="J22" s="16">
        <v>1341</v>
      </c>
      <c r="K22" s="17">
        <f t="shared" si="0"/>
        <v>11410</v>
      </c>
      <c r="L22" s="17">
        <f t="shared" si="1"/>
        <v>18774</v>
      </c>
      <c r="M22" s="17">
        <f t="shared" si="2"/>
        <v>7364</v>
      </c>
      <c r="N22" s="17" t="str">
        <f t="shared" si="3"/>
        <v>profit</v>
      </c>
    </row>
    <row r="23" spans="1:14" ht="15.6" thickTop="1" thickBot="1" x14ac:dyDescent="0.35">
      <c r="A23" s="15">
        <v>45513</v>
      </c>
      <c r="B23" s="15" t="s">
        <v>82</v>
      </c>
      <c r="C23" s="16" t="s">
        <v>86</v>
      </c>
      <c r="D23" s="16" t="s">
        <v>43</v>
      </c>
      <c r="E23" s="16" t="s">
        <v>62</v>
      </c>
      <c r="F23" s="16" t="s">
        <v>64</v>
      </c>
      <c r="G23" s="16" t="s">
        <v>8</v>
      </c>
      <c r="H23" s="16">
        <v>18</v>
      </c>
      <c r="I23" s="16">
        <v>704</v>
      </c>
      <c r="J23" s="16">
        <v>930</v>
      </c>
      <c r="K23" s="17">
        <f t="shared" si="0"/>
        <v>12672</v>
      </c>
      <c r="L23" s="17">
        <f t="shared" si="1"/>
        <v>16740</v>
      </c>
      <c r="M23" s="17">
        <f t="shared" si="2"/>
        <v>4068</v>
      </c>
      <c r="N23" s="17" t="str">
        <f t="shared" si="3"/>
        <v>profit</v>
      </c>
    </row>
    <row r="24" spans="1:14" ht="15.6" thickTop="1" thickBot="1" x14ac:dyDescent="0.35">
      <c r="A24" s="15">
        <v>45405</v>
      </c>
      <c r="B24" s="15" t="s">
        <v>56</v>
      </c>
      <c r="C24" s="16" t="s">
        <v>87</v>
      </c>
      <c r="D24" s="16" t="s">
        <v>71</v>
      </c>
      <c r="E24" s="16" t="s">
        <v>88</v>
      </c>
      <c r="F24" s="16" t="s">
        <v>89</v>
      </c>
      <c r="G24" s="16" t="s">
        <v>12</v>
      </c>
      <c r="H24" s="16">
        <v>25</v>
      </c>
      <c r="I24" s="16">
        <v>958</v>
      </c>
      <c r="J24" s="16">
        <v>942</v>
      </c>
      <c r="K24" s="17">
        <f t="shared" si="0"/>
        <v>23950</v>
      </c>
      <c r="L24" s="17">
        <f t="shared" si="1"/>
        <v>23550</v>
      </c>
      <c r="M24" s="17">
        <f t="shared" si="2"/>
        <v>-400</v>
      </c>
      <c r="N24" s="17" t="str">
        <f t="shared" si="3"/>
        <v>loss</v>
      </c>
    </row>
    <row r="25" spans="1:14" ht="15.6" thickTop="1" thickBot="1" x14ac:dyDescent="0.35">
      <c r="A25" s="15">
        <v>45514</v>
      </c>
      <c r="B25" s="15" t="s">
        <v>82</v>
      </c>
      <c r="C25" s="16" t="s">
        <v>90</v>
      </c>
      <c r="D25" s="16" t="s">
        <v>43</v>
      </c>
      <c r="E25" s="16" t="s">
        <v>62</v>
      </c>
      <c r="F25" s="16" t="s">
        <v>64</v>
      </c>
      <c r="G25" s="16" t="s">
        <v>8</v>
      </c>
      <c r="H25" s="16">
        <v>19</v>
      </c>
      <c r="I25" s="16">
        <v>744</v>
      </c>
      <c r="J25" s="16">
        <v>1433</v>
      </c>
      <c r="K25" s="17">
        <f t="shared" si="0"/>
        <v>14136</v>
      </c>
      <c r="L25" s="17">
        <f t="shared" si="1"/>
        <v>27227</v>
      </c>
      <c r="M25" s="17">
        <f t="shared" si="2"/>
        <v>13091</v>
      </c>
      <c r="N25" s="17" t="str">
        <f t="shared" si="3"/>
        <v>profit</v>
      </c>
    </row>
    <row r="26" spans="1:14" ht="15.6" thickTop="1" thickBot="1" x14ac:dyDescent="0.35">
      <c r="A26" s="15">
        <v>45407</v>
      </c>
      <c r="B26" s="15" t="s">
        <v>56</v>
      </c>
      <c r="C26" s="16" t="s">
        <v>91</v>
      </c>
      <c r="D26" s="16" t="s">
        <v>71</v>
      </c>
      <c r="E26" s="16" t="s">
        <v>88</v>
      </c>
      <c r="F26" s="16" t="s">
        <v>85</v>
      </c>
      <c r="G26" s="16" t="s">
        <v>8</v>
      </c>
      <c r="H26" s="16">
        <v>26</v>
      </c>
      <c r="I26" s="16">
        <v>520</v>
      </c>
      <c r="J26" s="16">
        <v>1486</v>
      </c>
      <c r="K26" s="17">
        <f t="shared" si="0"/>
        <v>13520</v>
      </c>
      <c r="L26" s="17">
        <f t="shared" si="1"/>
        <v>38636</v>
      </c>
      <c r="M26" s="17">
        <f t="shared" si="2"/>
        <v>25116</v>
      </c>
      <c r="N26" s="17" t="str">
        <f t="shared" si="3"/>
        <v>profit</v>
      </c>
    </row>
    <row r="27" spans="1:14" ht="15.6" thickTop="1" thickBot="1" x14ac:dyDescent="0.35">
      <c r="A27" s="15">
        <v>45515</v>
      </c>
      <c r="B27" s="15" t="s">
        <v>82</v>
      </c>
      <c r="C27" s="16" t="s">
        <v>92</v>
      </c>
      <c r="D27" s="16" t="s">
        <v>43</v>
      </c>
      <c r="E27" s="16" t="s">
        <v>62</v>
      </c>
      <c r="F27" s="16" t="s">
        <v>69</v>
      </c>
      <c r="G27" s="16" t="s">
        <v>12</v>
      </c>
      <c r="H27" s="16">
        <v>10</v>
      </c>
      <c r="I27" s="16">
        <v>669</v>
      </c>
      <c r="J27" s="16">
        <v>1344</v>
      </c>
      <c r="K27" s="17">
        <f t="shared" si="0"/>
        <v>6690</v>
      </c>
      <c r="L27" s="17">
        <f t="shared" si="1"/>
        <v>13440</v>
      </c>
      <c r="M27" s="17">
        <f t="shared" si="2"/>
        <v>6750</v>
      </c>
      <c r="N27" s="17" t="str">
        <f t="shared" si="3"/>
        <v>profit</v>
      </c>
    </row>
    <row r="28" spans="1:14" ht="15.6" thickTop="1" thickBot="1" x14ac:dyDescent="0.35">
      <c r="A28" s="15">
        <v>45516</v>
      </c>
      <c r="B28" s="15" t="s">
        <v>82</v>
      </c>
      <c r="C28" s="16" t="s">
        <v>93</v>
      </c>
      <c r="D28" s="16" t="s">
        <v>43</v>
      </c>
      <c r="E28" s="16" t="s">
        <v>62</v>
      </c>
      <c r="F28" s="16" t="s">
        <v>53</v>
      </c>
      <c r="G28" s="16" t="s">
        <v>12</v>
      </c>
      <c r="H28" s="16">
        <v>20</v>
      </c>
      <c r="I28" s="16">
        <v>966</v>
      </c>
      <c r="J28" s="16">
        <v>924</v>
      </c>
      <c r="K28" s="17">
        <f t="shared" si="0"/>
        <v>19320</v>
      </c>
      <c r="L28" s="17">
        <f t="shared" si="1"/>
        <v>18480</v>
      </c>
      <c r="M28" s="17">
        <f t="shared" si="2"/>
        <v>-840</v>
      </c>
      <c r="N28" s="17" t="str">
        <f t="shared" si="3"/>
        <v>loss</v>
      </c>
    </row>
    <row r="29" spans="1:14" ht="15.6" thickTop="1" thickBot="1" x14ac:dyDescent="0.35">
      <c r="A29" s="15">
        <v>45543</v>
      </c>
      <c r="B29" s="15" t="s">
        <v>94</v>
      </c>
      <c r="C29" s="16" t="s">
        <v>95</v>
      </c>
      <c r="D29" s="16" t="s">
        <v>43</v>
      </c>
      <c r="E29" s="16" t="s">
        <v>62</v>
      </c>
      <c r="F29" s="16" t="s">
        <v>7</v>
      </c>
      <c r="G29" s="16" t="s">
        <v>12</v>
      </c>
      <c r="H29" s="16">
        <v>18</v>
      </c>
      <c r="I29" s="16">
        <v>859</v>
      </c>
      <c r="J29" s="16">
        <v>1044</v>
      </c>
      <c r="K29" s="17">
        <f t="shared" si="0"/>
        <v>15462</v>
      </c>
      <c r="L29" s="17">
        <f t="shared" si="1"/>
        <v>18792</v>
      </c>
      <c r="M29" s="17">
        <f t="shared" si="2"/>
        <v>3330</v>
      </c>
      <c r="N29" s="17" t="str">
        <f t="shared" si="3"/>
        <v>profit</v>
      </c>
    </row>
    <row r="30" spans="1:14" ht="15.6" thickTop="1" thickBot="1" x14ac:dyDescent="0.35">
      <c r="A30" s="15">
        <v>45544</v>
      </c>
      <c r="B30" s="15" t="s">
        <v>94</v>
      </c>
      <c r="C30" s="16" t="s">
        <v>96</v>
      </c>
      <c r="D30" s="16" t="s">
        <v>43</v>
      </c>
      <c r="E30" s="16" t="s">
        <v>62</v>
      </c>
      <c r="F30" s="16" t="s">
        <v>69</v>
      </c>
      <c r="G30" s="16" t="s">
        <v>12</v>
      </c>
      <c r="H30" s="16">
        <v>15</v>
      </c>
      <c r="I30" s="16">
        <v>890</v>
      </c>
      <c r="J30" s="16">
        <v>1362</v>
      </c>
      <c r="K30" s="17">
        <f t="shared" si="0"/>
        <v>13350</v>
      </c>
      <c r="L30" s="17">
        <f t="shared" si="1"/>
        <v>20430</v>
      </c>
      <c r="M30" s="17">
        <f t="shared" si="2"/>
        <v>7080</v>
      </c>
      <c r="N30" s="17" t="str">
        <f t="shared" si="3"/>
        <v>profit</v>
      </c>
    </row>
    <row r="31" spans="1:14" ht="15.6" thickTop="1" thickBot="1" x14ac:dyDescent="0.35">
      <c r="A31" s="15">
        <v>45545</v>
      </c>
      <c r="B31" s="15" t="s">
        <v>94</v>
      </c>
      <c r="C31" s="16" t="s">
        <v>97</v>
      </c>
      <c r="D31" s="16" t="s">
        <v>43</v>
      </c>
      <c r="E31" s="16" t="s">
        <v>62</v>
      </c>
      <c r="F31" s="16" t="s">
        <v>51</v>
      </c>
      <c r="G31" s="16" t="s">
        <v>12</v>
      </c>
      <c r="H31" s="16">
        <v>19</v>
      </c>
      <c r="I31" s="16">
        <v>630</v>
      </c>
      <c r="J31" s="16">
        <v>882</v>
      </c>
      <c r="K31" s="17">
        <f t="shared" si="0"/>
        <v>11970</v>
      </c>
      <c r="L31" s="17">
        <f t="shared" si="1"/>
        <v>16758</v>
      </c>
      <c r="M31" s="17">
        <f t="shared" si="2"/>
        <v>4788</v>
      </c>
      <c r="N31" s="17" t="str">
        <f t="shared" si="3"/>
        <v>profit</v>
      </c>
    </row>
    <row r="32" spans="1:14" ht="15.6" thickTop="1" thickBot="1" x14ac:dyDescent="0.35">
      <c r="A32" s="15">
        <v>45546</v>
      </c>
      <c r="B32" s="15" t="s">
        <v>94</v>
      </c>
      <c r="C32" s="16" t="s">
        <v>98</v>
      </c>
      <c r="D32" s="16" t="s">
        <v>43</v>
      </c>
      <c r="E32" s="16" t="s">
        <v>62</v>
      </c>
      <c r="F32" s="16" t="s">
        <v>89</v>
      </c>
      <c r="G32" s="16" t="s">
        <v>12</v>
      </c>
      <c r="H32" s="16">
        <v>10</v>
      </c>
      <c r="I32" s="16">
        <v>701</v>
      </c>
      <c r="J32" s="16">
        <v>1384</v>
      </c>
      <c r="K32" s="17">
        <f t="shared" si="0"/>
        <v>7010</v>
      </c>
      <c r="L32" s="17">
        <f t="shared" si="1"/>
        <v>13840</v>
      </c>
      <c r="M32" s="17">
        <f t="shared" si="2"/>
        <v>6830</v>
      </c>
      <c r="N32" s="17" t="str">
        <f t="shared" si="3"/>
        <v>profit</v>
      </c>
    </row>
    <row r="33" spans="1:14" ht="15.6" thickTop="1" thickBot="1" x14ac:dyDescent="0.35">
      <c r="A33" s="15">
        <v>45547</v>
      </c>
      <c r="B33" s="15" t="s">
        <v>94</v>
      </c>
      <c r="C33" s="16" t="s">
        <v>99</v>
      </c>
      <c r="D33" s="16" t="s">
        <v>43</v>
      </c>
      <c r="E33" s="16" t="s">
        <v>62</v>
      </c>
      <c r="F33" s="16" t="s">
        <v>100</v>
      </c>
      <c r="G33" s="16" t="s">
        <v>8</v>
      </c>
      <c r="H33" s="16">
        <v>19</v>
      </c>
      <c r="I33" s="16">
        <v>653</v>
      </c>
      <c r="J33" s="16">
        <v>1402</v>
      </c>
      <c r="K33" s="17">
        <f t="shared" si="0"/>
        <v>12407</v>
      </c>
      <c r="L33" s="17">
        <f t="shared" si="1"/>
        <v>26638</v>
      </c>
      <c r="M33" s="17">
        <f t="shared" si="2"/>
        <v>14231</v>
      </c>
      <c r="N33" s="17" t="str">
        <f t="shared" si="3"/>
        <v>profit</v>
      </c>
    </row>
    <row r="34" spans="1:14" ht="15.6" thickTop="1" thickBot="1" x14ac:dyDescent="0.35">
      <c r="A34" s="15">
        <v>45548</v>
      </c>
      <c r="B34" s="15" t="s">
        <v>94</v>
      </c>
      <c r="C34" s="16" t="s">
        <v>101</v>
      </c>
      <c r="D34" s="16" t="s">
        <v>43</v>
      </c>
      <c r="E34" s="16" t="s">
        <v>62</v>
      </c>
      <c r="F34" s="16" t="s">
        <v>102</v>
      </c>
      <c r="G34" s="16" t="s">
        <v>8</v>
      </c>
      <c r="H34" s="16">
        <v>14</v>
      </c>
      <c r="I34" s="16">
        <v>968</v>
      </c>
      <c r="J34" s="16">
        <v>1419</v>
      </c>
      <c r="K34" s="17">
        <f t="shared" si="0"/>
        <v>13552</v>
      </c>
      <c r="L34" s="17">
        <f t="shared" si="1"/>
        <v>19866</v>
      </c>
      <c r="M34" s="17">
        <f t="shared" si="2"/>
        <v>6314</v>
      </c>
      <c r="N34" s="17" t="str">
        <f t="shared" si="3"/>
        <v>profit</v>
      </c>
    </row>
    <row r="35" spans="1:14" ht="15.6" thickTop="1" thickBot="1" x14ac:dyDescent="0.35">
      <c r="A35" s="15">
        <v>45550</v>
      </c>
      <c r="B35" s="15" t="s">
        <v>94</v>
      </c>
      <c r="C35" s="16" t="s">
        <v>103</v>
      </c>
      <c r="D35" s="16" t="s">
        <v>43</v>
      </c>
      <c r="E35" s="16" t="s">
        <v>62</v>
      </c>
      <c r="F35" s="16" t="s">
        <v>69</v>
      </c>
      <c r="G35" s="16" t="s">
        <v>8</v>
      </c>
      <c r="H35" s="16">
        <v>20</v>
      </c>
      <c r="I35" s="16">
        <v>508</v>
      </c>
      <c r="J35" s="16">
        <v>1433</v>
      </c>
      <c r="K35" s="17">
        <f t="shared" si="0"/>
        <v>10160</v>
      </c>
      <c r="L35" s="17">
        <f t="shared" si="1"/>
        <v>28660</v>
      </c>
      <c r="M35" s="17">
        <f t="shared" si="2"/>
        <v>18500</v>
      </c>
      <c r="N35" s="17" t="str">
        <f t="shared" si="3"/>
        <v>profit</v>
      </c>
    </row>
    <row r="36" spans="1:14" ht="15.6" thickTop="1" thickBot="1" x14ac:dyDescent="0.35">
      <c r="A36" s="15">
        <v>45551</v>
      </c>
      <c r="B36" s="15" t="s">
        <v>94</v>
      </c>
      <c r="C36" s="16" t="s">
        <v>104</v>
      </c>
      <c r="D36" s="16" t="s">
        <v>43</v>
      </c>
      <c r="E36" s="16" t="s">
        <v>62</v>
      </c>
      <c r="F36" s="16" t="s">
        <v>85</v>
      </c>
      <c r="G36" s="16" t="s">
        <v>8</v>
      </c>
      <c r="H36" s="16">
        <v>12</v>
      </c>
      <c r="I36" s="16">
        <v>539</v>
      </c>
      <c r="J36" s="16">
        <v>1136</v>
      </c>
      <c r="K36" s="17">
        <f t="shared" si="0"/>
        <v>6468</v>
      </c>
      <c r="L36" s="17">
        <f t="shared" si="1"/>
        <v>13632</v>
      </c>
      <c r="M36" s="17">
        <f t="shared" si="2"/>
        <v>7164</v>
      </c>
      <c r="N36" s="17" t="str">
        <f t="shared" si="3"/>
        <v>profit</v>
      </c>
    </row>
    <row r="37" spans="1:14" ht="15.6" thickTop="1" thickBot="1" x14ac:dyDescent="0.35">
      <c r="A37" s="15">
        <v>45552</v>
      </c>
      <c r="B37" s="15" t="s">
        <v>94</v>
      </c>
      <c r="C37" s="16" t="s">
        <v>105</v>
      </c>
      <c r="D37" s="16" t="s">
        <v>43</v>
      </c>
      <c r="E37" s="16" t="s">
        <v>62</v>
      </c>
      <c r="F37" s="16" t="s">
        <v>60</v>
      </c>
      <c r="G37" s="16" t="s">
        <v>8</v>
      </c>
      <c r="H37" s="16">
        <v>10</v>
      </c>
      <c r="I37" s="16">
        <v>731</v>
      </c>
      <c r="J37" s="16">
        <v>1226</v>
      </c>
      <c r="K37" s="17">
        <f t="shared" si="0"/>
        <v>7310</v>
      </c>
      <c r="L37" s="17">
        <f t="shared" si="1"/>
        <v>12260</v>
      </c>
      <c r="M37" s="17">
        <f t="shared" si="2"/>
        <v>4950</v>
      </c>
      <c r="N37" s="17" t="str">
        <f t="shared" si="3"/>
        <v>profit</v>
      </c>
    </row>
    <row r="38" spans="1:14" ht="15.6" thickTop="1" thickBot="1" x14ac:dyDescent="0.35">
      <c r="A38" s="15">
        <v>45553</v>
      </c>
      <c r="B38" s="15" t="s">
        <v>94</v>
      </c>
      <c r="C38" s="16" t="s">
        <v>106</v>
      </c>
      <c r="D38" s="16" t="s">
        <v>43</v>
      </c>
      <c r="E38" s="16" t="s">
        <v>62</v>
      </c>
      <c r="F38" s="16" t="s">
        <v>64</v>
      </c>
      <c r="G38" s="16" t="s">
        <v>8</v>
      </c>
      <c r="H38" s="16">
        <v>15</v>
      </c>
      <c r="I38" s="16">
        <v>621</v>
      </c>
      <c r="J38" s="16">
        <v>1488</v>
      </c>
      <c r="K38" s="17">
        <f t="shared" si="0"/>
        <v>9315</v>
      </c>
      <c r="L38" s="17">
        <f t="shared" si="1"/>
        <v>22320</v>
      </c>
      <c r="M38" s="17">
        <f t="shared" si="2"/>
        <v>13005</v>
      </c>
      <c r="N38" s="17" t="str">
        <f t="shared" si="3"/>
        <v>profit</v>
      </c>
    </row>
    <row r="39" spans="1:14" ht="15.6" thickTop="1" thickBot="1" x14ac:dyDescent="0.35">
      <c r="A39" s="15">
        <v>45562</v>
      </c>
      <c r="B39" s="15" t="s">
        <v>94</v>
      </c>
      <c r="C39" s="16" t="s">
        <v>107</v>
      </c>
      <c r="D39" s="16" t="s">
        <v>43</v>
      </c>
      <c r="E39" s="16" t="s">
        <v>44</v>
      </c>
      <c r="F39" s="16" t="s">
        <v>60</v>
      </c>
      <c r="G39" s="16" t="s">
        <v>12</v>
      </c>
      <c r="H39" s="16">
        <v>16</v>
      </c>
      <c r="I39" s="16">
        <v>963</v>
      </c>
      <c r="J39" s="16">
        <v>1186</v>
      </c>
      <c r="K39" s="17">
        <f t="shared" si="0"/>
        <v>15408</v>
      </c>
      <c r="L39" s="17">
        <f t="shared" si="1"/>
        <v>18976</v>
      </c>
      <c r="M39" s="17">
        <f t="shared" si="2"/>
        <v>3568</v>
      </c>
      <c r="N39" s="17" t="str">
        <f t="shared" si="3"/>
        <v>profit</v>
      </c>
    </row>
    <row r="40" spans="1:14" ht="15.6" thickTop="1" thickBot="1" x14ac:dyDescent="0.35">
      <c r="A40" s="15">
        <v>45564</v>
      </c>
      <c r="B40" s="15" t="s">
        <v>94</v>
      </c>
      <c r="C40" s="16" t="s">
        <v>108</v>
      </c>
      <c r="D40" s="16" t="s">
        <v>43</v>
      </c>
      <c r="E40" s="16" t="s">
        <v>44</v>
      </c>
      <c r="F40" s="16" t="s">
        <v>64</v>
      </c>
      <c r="G40" s="16" t="s">
        <v>8</v>
      </c>
      <c r="H40" s="16">
        <v>13</v>
      </c>
      <c r="I40" s="16">
        <v>762</v>
      </c>
      <c r="J40" s="16">
        <v>1311</v>
      </c>
      <c r="K40" s="17">
        <f t="shared" si="0"/>
        <v>9906</v>
      </c>
      <c r="L40" s="17">
        <f t="shared" si="1"/>
        <v>17043</v>
      </c>
      <c r="M40" s="17">
        <f t="shared" si="2"/>
        <v>7137</v>
      </c>
      <c r="N40" s="17" t="str">
        <f t="shared" si="3"/>
        <v>profit</v>
      </c>
    </row>
    <row r="41" spans="1:14" ht="15.6" thickTop="1" thickBot="1" x14ac:dyDescent="0.35">
      <c r="A41" s="15">
        <v>45566</v>
      </c>
      <c r="B41" s="15" t="s">
        <v>109</v>
      </c>
      <c r="C41" s="16" t="s">
        <v>110</v>
      </c>
      <c r="D41" s="16" t="s">
        <v>43</v>
      </c>
      <c r="E41" s="16" t="s">
        <v>44</v>
      </c>
      <c r="F41" s="16" t="s">
        <v>89</v>
      </c>
      <c r="G41" s="16" t="s">
        <v>8</v>
      </c>
      <c r="H41" s="16">
        <v>14</v>
      </c>
      <c r="I41" s="16">
        <v>909</v>
      </c>
      <c r="J41" s="16">
        <v>780</v>
      </c>
      <c r="K41" s="17">
        <f t="shared" si="0"/>
        <v>12726</v>
      </c>
      <c r="L41" s="17">
        <f t="shared" si="1"/>
        <v>10920</v>
      </c>
      <c r="M41" s="17">
        <f t="shared" si="2"/>
        <v>-1806</v>
      </c>
      <c r="N41" s="17" t="str">
        <f t="shared" si="3"/>
        <v>loss</v>
      </c>
    </row>
    <row r="42" spans="1:14" ht="15.6" thickTop="1" thickBot="1" x14ac:dyDescent="0.35">
      <c r="A42" s="15">
        <v>45567</v>
      </c>
      <c r="B42" s="15" t="s">
        <v>109</v>
      </c>
      <c r="C42" s="16" t="s">
        <v>111</v>
      </c>
      <c r="D42" s="16" t="s">
        <v>43</v>
      </c>
      <c r="E42" s="16" t="s">
        <v>44</v>
      </c>
      <c r="F42" s="16" t="s">
        <v>85</v>
      </c>
      <c r="G42" s="16" t="s">
        <v>8</v>
      </c>
      <c r="H42" s="16">
        <v>11</v>
      </c>
      <c r="I42" s="16">
        <v>858</v>
      </c>
      <c r="J42" s="16">
        <v>1080</v>
      </c>
      <c r="K42" s="17">
        <f t="shared" si="0"/>
        <v>9438</v>
      </c>
      <c r="L42" s="17">
        <f t="shared" si="1"/>
        <v>11880</v>
      </c>
      <c r="M42" s="17">
        <f t="shared" si="2"/>
        <v>2442</v>
      </c>
      <c r="N42" s="17" t="str">
        <f t="shared" si="3"/>
        <v>profit</v>
      </c>
    </row>
    <row r="43" spans="1:14" ht="15.6" thickTop="1" thickBot="1" x14ac:dyDescent="0.35">
      <c r="A43" s="15">
        <v>45568</v>
      </c>
      <c r="B43" s="15" t="s">
        <v>109</v>
      </c>
      <c r="C43" s="16" t="s">
        <v>112</v>
      </c>
      <c r="D43" s="16" t="s">
        <v>43</v>
      </c>
      <c r="E43" s="16" t="s">
        <v>44</v>
      </c>
      <c r="F43" s="16" t="s">
        <v>64</v>
      </c>
      <c r="G43" s="16" t="s">
        <v>8</v>
      </c>
      <c r="H43" s="16">
        <v>12</v>
      </c>
      <c r="I43" s="16">
        <v>516</v>
      </c>
      <c r="J43" s="16">
        <v>857</v>
      </c>
      <c r="K43" s="17">
        <f t="shared" si="0"/>
        <v>6192</v>
      </c>
      <c r="L43" s="17">
        <f t="shared" si="1"/>
        <v>10284</v>
      </c>
      <c r="M43" s="17">
        <f t="shared" si="2"/>
        <v>4092</v>
      </c>
      <c r="N43" s="17" t="str">
        <f t="shared" si="3"/>
        <v>profit</v>
      </c>
    </row>
    <row r="44" spans="1:14" ht="15.6" thickTop="1" thickBot="1" x14ac:dyDescent="0.35">
      <c r="A44" s="15">
        <v>45580</v>
      </c>
      <c r="B44" s="15" t="s">
        <v>109</v>
      </c>
      <c r="C44" s="16" t="s">
        <v>113</v>
      </c>
      <c r="D44" s="16" t="s">
        <v>43</v>
      </c>
      <c r="E44" s="16" t="s">
        <v>62</v>
      </c>
      <c r="F44" s="16" t="s">
        <v>55</v>
      </c>
      <c r="G44" s="16" t="s">
        <v>12</v>
      </c>
      <c r="H44" s="16">
        <v>20</v>
      </c>
      <c r="I44" s="16">
        <v>817</v>
      </c>
      <c r="J44" s="16">
        <v>1324</v>
      </c>
      <c r="K44" s="17">
        <f t="shared" si="0"/>
        <v>16340</v>
      </c>
      <c r="L44" s="17">
        <f t="shared" si="1"/>
        <v>26480</v>
      </c>
      <c r="M44" s="17">
        <f t="shared" si="2"/>
        <v>10140</v>
      </c>
      <c r="N44" s="17" t="str">
        <f t="shared" si="3"/>
        <v>profit</v>
      </c>
    </row>
    <row r="45" spans="1:14" ht="15.6" thickTop="1" thickBot="1" x14ac:dyDescent="0.35">
      <c r="A45" s="15">
        <v>45581</v>
      </c>
      <c r="B45" s="15" t="s">
        <v>109</v>
      </c>
      <c r="C45" s="16" t="s">
        <v>114</v>
      </c>
      <c r="D45" s="16" t="s">
        <v>43</v>
      </c>
      <c r="E45" s="16" t="s">
        <v>62</v>
      </c>
      <c r="F45" s="16" t="s">
        <v>51</v>
      </c>
      <c r="G45" s="16" t="s">
        <v>12</v>
      </c>
      <c r="H45" s="16">
        <v>16</v>
      </c>
      <c r="I45" s="16">
        <v>935</v>
      </c>
      <c r="J45" s="16">
        <v>980</v>
      </c>
      <c r="K45" s="17">
        <f t="shared" si="0"/>
        <v>14960</v>
      </c>
      <c r="L45" s="17">
        <f t="shared" si="1"/>
        <v>15680</v>
      </c>
      <c r="M45" s="17">
        <f t="shared" si="2"/>
        <v>720</v>
      </c>
      <c r="N45" s="17" t="str">
        <f t="shared" si="3"/>
        <v>profit</v>
      </c>
    </row>
    <row r="46" spans="1:14" ht="15.6" thickTop="1" thickBot="1" x14ac:dyDescent="0.35">
      <c r="A46" s="15">
        <v>45582</v>
      </c>
      <c r="B46" s="15" t="s">
        <v>109</v>
      </c>
      <c r="C46" s="16" t="s">
        <v>115</v>
      </c>
      <c r="D46" s="16" t="s">
        <v>43</v>
      </c>
      <c r="E46" s="16" t="s">
        <v>62</v>
      </c>
      <c r="F46" s="16" t="s">
        <v>100</v>
      </c>
      <c r="G46" s="16" t="s">
        <v>12</v>
      </c>
      <c r="H46" s="16">
        <v>17</v>
      </c>
      <c r="I46" s="16">
        <v>642</v>
      </c>
      <c r="J46" s="16">
        <v>1095</v>
      </c>
      <c r="K46" s="17">
        <f t="shared" si="0"/>
        <v>10914</v>
      </c>
      <c r="L46" s="17">
        <f t="shared" si="1"/>
        <v>18615</v>
      </c>
      <c r="M46" s="17">
        <f t="shared" si="2"/>
        <v>7701</v>
      </c>
      <c r="N46" s="17" t="str">
        <f t="shared" si="3"/>
        <v>profit</v>
      </c>
    </row>
    <row r="47" spans="1:14" ht="15.6" thickTop="1" thickBot="1" x14ac:dyDescent="0.35">
      <c r="A47" s="15">
        <v>45584</v>
      </c>
      <c r="B47" s="15" t="s">
        <v>109</v>
      </c>
      <c r="C47" s="16" t="s">
        <v>116</v>
      </c>
      <c r="D47" s="16" t="s">
        <v>43</v>
      </c>
      <c r="E47" s="16" t="s">
        <v>62</v>
      </c>
      <c r="F47" s="16" t="s">
        <v>60</v>
      </c>
      <c r="G47" s="16" t="s">
        <v>8</v>
      </c>
      <c r="H47" s="16">
        <v>18</v>
      </c>
      <c r="I47" s="16">
        <v>596</v>
      </c>
      <c r="J47" s="16">
        <v>817</v>
      </c>
      <c r="K47" s="17">
        <f t="shared" si="0"/>
        <v>10728</v>
      </c>
      <c r="L47" s="17">
        <f t="shared" si="1"/>
        <v>14706</v>
      </c>
      <c r="M47" s="17">
        <f t="shared" si="2"/>
        <v>3978</v>
      </c>
      <c r="N47" s="17" t="str">
        <f t="shared" si="3"/>
        <v>profit</v>
      </c>
    </row>
    <row r="48" spans="1:14" ht="15.6" thickTop="1" thickBot="1" x14ac:dyDescent="0.35">
      <c r="A48" s="15">
        <v>45585</v>
      </c>
      <c r="B48" s="15" t="s">
        <v>109</v>
      </c>
      <c r="C48" s="16" t="s">
        <v>117</v>
      </c>
      <c r="D48" s="16" t="s">
        <v>43</v>
      </c>
      <c r="E48" s="16" t="s">
        <v>62</v>
      </c>
      <c r="F48" s="16" t="s">
        <v>64</v>
      </c>
      <c r="G48" s="16" t="s">
        <v>8</v>
      </c>
      <c r="H48" s="16">
        <v>14</v>
      </c>
      <c r="I48" s="16">
        <v>533</v>
      </c>
      <c r="J48" s="16">
        <v>922</v>
      </c>
      <c r="K48" s="17">
        <f t="shared" si="0"/>
        <v>7462</v>
      </c>
      <c r="L48" s="17">
        <f t="shared" si="1"/>
        <v>12908</v>
      </c>
      <c r="M48" s="17">
        <f t="shared" si="2"/>
        <v>5446</v>
      </c>
      <c r="N48" s="17" t="str">
        <f t="shared" si="3"/>
        <v>profit</v>
      </c>
    </row>
    <row r="49" spans="1:14" ht="15.6" thickTop="1" thickBot="1" x14ac:dyDescent="0.35">
      <c r="A49" s="15">
        <v>45587</v>
      </c>
      <c r="B49" s="15" t="s">
        <v>109</v>
      </c>
      <c r="C49" s="16" t="s">
        <v>118</v>
      </c>
      <c r="D49" s="16" t="s">
        <v>43</v>
      </c>
      <c r="E49" s="16" t="s">
        <v>62</v>
      </c>
      <c r="F49" s="16" t="s">
        <v>89</v>
      </c>
      <c r="G49" s="16" t="s">
        <v>8</v>
      </c>
      <c r="H49" s="16">
        <v>19</v>
      </c>
      <c r="I49" s="16">
        <v>578</v>
      </c>
      <c r="J49" s="16">
        <v>1434</v>
      </c>
      <c r="K49" s="17">
        <f t="shared" si="0"/>
        <v>10982</v>
      </c>
      <c r="L49" s="17">
        <f t="shared" si="1"/>
        <v>27246</v>
      </c>
      <c r="M49" s="17">
        <f t="shared" si="2"/>
        <v>16264</v>
      </c>
      <c r="N49" s="17" t="str">
        <f t="shared" si="3"/>
        <v>profit</v>
      </c>
    </row>
    <row r="50" spans="1:14" ht="15.6" thickTop="1" thickBot="1" x14ac:dyDescent="0.35">
      <c r="A50" s="15">
        <v>45659</v>
      </c>
      <c r="B50" s="15" t="s">
        <v>119</v>
      </c>
      <c r="C50" s="16" t="s">
        <v>120</v>
      </c>
      <c r="D50" s="16" t="s">
        <v>43</v>
      </c>
      <c r="E50" s="16" t="s">
        <v>44</v>
      </c>
      <c r="F50" s="16" t="s">
        <v>51</v>
      </c>
      <c r="G50" s="16" t="s">
        <v>8</v>
      </c>
      <c r="H50" s="16">
        <v>14</v>
      </c>
      <c r="I50" s="16">
        <v>521</v>
      </c>
      <c r="J50" s="16">
        <v>974</v>
      </c>
      <c r="K50" s="17">
        <f t="shared" si="0"/>
        <v>7294</v>
      </c>
      <c r="L50" s="17">
        <f t="shared" si="1"/>
        <v>13636</v>
      </c>
      <c r="M50" s="17">
        <f t="shared" si="2"/>
        <v>6342</v>
      </c>
      <c r="N50" s="17" t="str">
        <f t="shared" si="3"/>
        <v>profit</v>
      </c>
    </row>
    <row r="51" spans="1:14" ht="15.6" thickTop="1" thickBot="1" x14ac:dyDescent="0.35">
      <c r="A51" s="15">
        <v>45432</v>
      </c>
      <c r="B51" s="15" t="s">
        <v>121</v>
      </c>
      <c r="C51" s="16" t="s">
        <v>122</v>
      </c>
      <c r="D51" s="16" t="s">
        <v>58</v>
      </c>
      <c r="E51" s="16" t="s">
        <v>123</v>
      </c>
      <c r="F51" s="16" t="s">
        <v>60</v>
      </c>
      <c r="G51" s="16" t="s">
        <v>12</v>
      </c>
      <c r="H51" s="16">
        <v>79</v>
      </c>
      <c r="I51" s="16">
        <v>616</v>
      </c>
      <c r="J51" s="16">
        <v>944</v>
      </c>
      <c r="K51" s="17">
        <f t="shared" si="0"/>
        <v>48664</v>
      </c>
      <c r="L51" s="17">
        <f t="shared" si="1"/>
        <v>74576</v>
      </c>
      <c r="M51" s="17">
        <f t="shared" si="2"/>
        <v>25912</v>
      </c>
      <c r="N51" s="17" t="str">
        <f t="shared" si="3"/>
        <v>profit</v>
      </c>
    </row>
    <row r="52" spans="1:14" ht="15.6" thickTop="1" thickBot="1" x14ac:dyDescent="0.35">
      <c r="A52" s="15">
        <v>45661</v>
      </c>
      <c r="B52" s="15" t="s">
        <v>119</v>
      </c>
      <c r="C52" s="16" t="s">
        <v>124</v>
      </c>
      <c r="D52" s="16" t="s">
        <v>43</v>
      </c>
      <c r="E52" s="16" t="s">
        <v>44</v>
      </c>
      <c r="F52" s="16" t="s">
        <v>7</v>
      </c>
      <c r="G52" s="16" t="s">
        <v>8</v>
      </c>
      <c r="H52" s="16">
        <v>14</v>
      </c>
      <c r="I52" s="16">
        <v>734</v>
      </c>
      <c r="J52" s="16">
        <v>1058</v>
      </c>
      <c r="K52" s="17">
        <f t="shared" si="0"/>
        <v>10276</v>
      </c>
      <c r="L52" s="17">
        <f t="shared" si="1"/>
        <v>14812</v>
      </c>
      <c r="M52" s="17">
        <f t="shared" si="2"/>
        <v>4536</v>
      </c>
      <c r="N52" s="17" t="str">
        <f t="shared" si="3"/>
        <v>profit</v>
      </c>
    </row>
    <row r="53" spans="1:14" ht="15.6" thickTop="1" thickBot="1" x14ac:dyDescent="0.35">
      <c r="A53" s="15">
        <v>45663</v>
      </c>
      <c r="B53" s="15" t="s">
        <v>119</v>
      </c>
      <c r="C53" s="16" t="s">
        <v>125</v>
      </c>
      <c r="D53" s="16" t="s">
        <v>43</v>
      </c>
      <c r="E53" s="16" t="s">
        <v>44</v>
      </c>
      <c r="F53" s="16" t="s">
        <v>47</v>
      </c>
      <c r="G53" s="16" t="s">
        <v>8</v>
      </c>
      <c r="H53" s="16">
        <v>20</v>
      </c>
      <c r="I53" s="16">
        <v>837</v>
      </c>
      <c r="J53" s="16">
        <v>1014</v>
      </c>
      <c r="K53" s="17">
        <f t="shared" si="0"/>
        <v>16740</v>
      </c>
      <c r="L53" s="17">
        <f t="shared" si="1"/>
        <v>20280</v>
      </c>
      <c r="M53" s="17">
        <f t="shared" si="2"/>
        <v>3540</v>
      </c>
      <c r="N53" s="17" t="str">
        <f t="shared" si="3"/>
        <v>profit</v>
      </c>
    </row>
    <row r="54" spans="1:14" ht="15.6" thickTop="1" thickBot="1" x14ac:dyDescent="0.35">
      <c r="A54" s="15">
        <v>45665</v>
      </c>
      <c r="B54" s="15" t="s">
        <v>119</v>
      </c>
      <c r="C54" s="16" t="s">
        <v>126</v>
      </c>
      <c r="D54" s="16" t="s">
        <v>43</v>
      </c>
      <c r="E54" s="16" t="s">
        <v>44</v>
      </c>
      <c r="F54" s="16" t="s">
        <v>51</v>
      </c>
      <c r="G54" s="16" t="s">
        <v>12</v>
      </c>
      <c r="H54" s="16">
        <v>11</v>
      </c>
      <c r="I54" s="16">
        <v>617</v>
      </c>
      <c r="J54" s="16">
        <v>1025</v>
      </c>
      <c r="K54" s="17">
        <f t="shared" si="0"/>
        <v>6787</v>
      </c>
      <c r="L54" s="17">
        <f t="shared" si="1"/>
        <v>11275</v>
      </c>
      <c r="M54" s="17">
        <f t="shared" si="2"/>
        <v>4488</v>
      </c>
      <c r="N54" s="17" t="str">
        <f t="shared" si="3"/>
        <v>profit</v>
      </c>
    </row>
    <row r="55" spans="1:14" ht="15.6" thickTop="1" thickBot="1" x14ac:dyDescent="0.35">
      <c r="A55" s="15">
        <v>45678</v>
      </c>
      <c r="B55" s="15" t="s">
        <v>119</v>
      </c>
      <c r="C55" s="16" t="s">
        <v>127</v>
      </c>
      <c r="D55" s="16" t="s">
        <v>43</v>
      </c>
      <c r="E55" s="16" t="s">
        <v>62</v>
      </c>
      <c r="F55" s="16" t="s">
        <v>45</v>
      </c>
      <c r="G55" s="16" t="s">
        <v>8</v>
      </c>
      <c r="H55" s="16">
        <v>20</v>
      </c>
      <c r="I55" s="16">
        <v>749</v>
      </c>
      <c r="J55" s="16">
        <v>753</v>
      </c>
      <c r="K55" s="17">
        <f t="shared" si="0"/>
        <v>14980</v>
      </c>
      <c r="L55" s="17">
        <f t="shared" si="1"/>
        <v>15060</v>
      </c>
      <c r="M55" s="17">
        <f t="shared" si="2"/>
        <v>80</v>
      </c>
      <c r="N55" s="17" t="str">
        <f t="shared" si="3"/>
        <v>profit</v>
      </c>
    </row>
    <row r="56" spans="1:14" ht="15.6" thickTop="1" thickBot="1" x14ac:dyDescent="0.35">
      <c r="A56" s="15">
        <v>45679</v>
      </c>
      <c r="B56" s="15" t="s">
        <v>119</v>
      </c>
      <c r="C56" s="16" t="s">
        <v>128</v>
      </c>
      <c r="D56" s="16" t="s">
        <v>43</v>
      </c>
      <c r="E56" s="16" t="s">
        <v>62</v>
      </c>
      <c r="F56" s="16" t="s">
        <v>47</v>
      </c>
      <c r="G56" s="16" t="s">
        <v>8</v>
      </c>
      <c r="H56" s="16">
        <v>15</v>
      </c>
      <c r="I56" s="16">
        <v>924</v>
      </c>
      <c r="J56" s="16">
        <v>1024</v>
      </c>
      <c r="K56" s="17">
        <f t="shared" si="0"/>
        <v>13860</v>
      </c>
      <c r="L56" s="17">
        <f t="shared" si="1"/>
        <v>15360</v>
      </c>
      <c r="M56" s="17">
        <f t="shared" si="2"/>
        <v>1500</v>
      </c>
      <c r="N56" s="17" t="str">
        <f t="shared" si="3"/>
        <v>profit</v>
      </c>
    </row>
    <row r="57" spans="1:14" ht="15.6" thickTop="1" thickBot="1" x14ac:dyDescent="0.35">
      <c r="A57" s="15">
        <v>45680</v>
      </c>
      <c r="B57" s="15" t="s">
        <v>119</v>
      </c>
      <c r="C57" s="16" t="s">
        <v>129</v>
      </c>
      <c r="D57" s="16" t="s">
        <v>43</v>
      </c>
      <c r="E57" s="16" t="s">
        <v>62</v>
      </c>
      <c r="F57" s="16" t="s">
        <v>49</v>
      </c>
      <c r="G57" s="16" t="s">
        <v>8</v>
      </c>
      <c r="H57" s="16">
        <v>18</v>
      </c>
      <c r="I57" s="16">
        <v>601</v>
      </c>
      <c r="J57" s="16">
        <v>1246</v>
      </c>
      <c r="K57" s="17">
        <f t="shared" si="0"/>
        <v>10818</v>
      </c>
      <c r="L57" s="17">
        <f t="shared" si="1"/>
        <v>22428</v>
      </c>
      <c r="M57" s="17">
        <f t="shared" si="2"/>
        <v>11610</v>
      </c>
      <c r="N57" s="17" t="str">
        <f t="shared" si="3"/>
        <v>profit</v>
      </c>
    </row>
    <row r="58" spans="1:14" ht="15.6" thickTop="1" thickBot="1" x14ac:dyDescent="0.35">
      <c r="A58" s="15">
        <v>45681</v>
      </c>
      <c r="B58" s="15" t="s">
        <v>119</v>
      </c>
      <c r="C58" s="16" t="s">
        <v>130</v>
      </c>
      <c r="D58" s="16" t="s">
        <v>43</v>
      </c>
      <c r="E58" s="16" t="s">
        <v>62</v>
      </c>
      <c r="F58" s="16" t="s">
        <v>51</v>
      </c>
      <c r="G58" s="16" t="s">
        <v>8</v>
      </c>
      <c r="H58" s="16">
        <v>17</v>
      </c>
      <c r="I58" s="16">
        <v>626</v>
      </c>
      <c r="J58" s="16">
        <v>1462</v>
      </c>
      <c r="K58" s="17">
        <f t="shared" si="0"/>
        <v>10642</v>
      </c>
      <c r="L58" s="17">
        <f t="shared" si="1"/>
        <v>24854</v>
      </c>
      <c r="M58" s="17">
        <f t="shared" si="2"/>
        <v>14212</v>
      </c>
      <c r="N58" s="17" t="str">
        <f t="shared" si="3"/>
        <v>profit</v>
      </c>
    </row>
    <row r="59" spans="1:14" ht="15.6" thickTop="1" thickBot="1" x14ac:dyDescent="0.35">
      <c r="A59" s="15">
        <v>45682</v>
      </c>
      <c r="B59" s="15" t="s">
        <v>119</v>
      </c>
      <c r="C59" s="16" t="s">
        <v>131</v>
      </c>
      <c r="D59" s="16" t="s">
        <v>43</v>
      </c>
      <c r="E59" s="16" t="s">
        <v>62</v>
      </c>
      <c r="F59" s="16" t="s">
        <v>51</v>
      </c>
      <c r="G59" s="16" t="s">
        <v>8</v>
      </c>
      <c r="H59" s="16">
        <v>13</v>
      </c>
      <c r="I59" s="16">
        <v>542</v>
      </c>
      <c r="J59" s="16">
        <v>853</v>
      </c>
      <c r="K59" s="17">
        <f t="shared" si="0"/>
        <v>7046</v>
      </c>
      <c r="L59" s="17">
        <f t="shared" si="1"/>
        <v>11089</v>
      </c>
      <c r="M59" s="17">
        <f t="shared" si="2"/>
        <v>4043</v>
      </c>
      <c r="N59" s="17" t="str">
        <f t="shared" si="3"/>
        <v>profit</v>
      </c>
    </row>
    <row r="60" spans="1:14" ht="15.6" thickTop="1" thickBot="1" x14ac:dyDescent="0.35">
      <c r="A60" s="15">
        <v>45441</v>
      </c>
      <c r="B60" s="15" t="s">
        <v>121</v>
      </c>
      <c r="C60" s="16" t="s">
        <v>132</v>
      </c>
      <c r="D60" s="16" t="s">
        <v>58</v>
      </c>
      <c r="E60" s="16" t="s">
        <v>123</v>
      </c>
      <c r="F60" s="16" t="s">
        <v>79</v>
      </c>
      <c r="G60" s="16" t="s">
        <v>12</v>
      </c>
      <c r="H60" s="16">
        <v>50</v>
      </c>
      <c r="I60" s="16">
        <v>639</v>
      </c>
      <c r="J60" s="16">
        <v>789</v>
      </c>
      <c r="K60" s="17">
        <f t="shared" si="0"/>
        <v>31950</v>
      </c>
      <c r="L60" s="17">
        <f t="shared" si="1"/>
        <v>39450</v>
      </c>
      <c r="M60" s="17">
        <f t="shared" si="2"/>
        <v>7500</v>
      </c>
      <c r="N60" s="17" t="str">
        <f t="shared" si="3"/>
        <v>profit</v>
      </c>
    </row>
    <row r="61" spans="1:14" ht="15.6" thickTop="1" thickBot="1" x14ac:dyDescent="0.35">
      <c r="A61" s="15">
        <v>45684</v>
      </c>
      <c r="B61" s="15" t="s">
        <v>119</v>
      </c>
      <c r="C61" s="16" t="s">
        <v>133</v>
      </c>
      <c r="D61" s="16" t="s">
        <v>43</v>
      </c>
      <c r="E61" s="16" t="s">
        <v>62</v>
      </c>
      <c r="F61" s="16" t="s">
        <v>55</v>
      </c>
      <c r="G61" s="16" t="s">
        <v>12</v>
      </c>
      <c r="H61" s="16">
        <v>19</v>
      </c>
      <c r="I61" s="16">
        <v>595</v>
      </c>
      <c r="J61" s="16">
        <v>1424</v>
      </c>
      <c r="K61" s="17">
        <f t="shared" si="0"/>
        <v>11305</v>
      </c>
      <c r="L61" s="17">
        <f t="shared" si="1"/>
        <v>27056</v>
      </c>
      <c r="M61" s="17">
        <f t="shared" si="2"/>
        <v>15751</v>
      </c>
      <c r="N61" s="17" t="str">
        <f t="shared" si="3"/>
        <v>profit</v>
      </c>
    </row>
    <row r="62" spans="1:14" ht="15.6" thickTop="1" thickBot="1" x14ac:dyDescent="0.35">
      <c r="A62" s="15">
        <v>45685</v>
      </c>
      <c r="B62" s="15" t="s">
        <v>119</v>
      </c>
      <c r="C62" s="16" t="s">
        <v>134</v>
      </c>
      <c r="D62" s="16" t="s">
        <v>43</v>
      </c>
      <c r="E62" s="16" t="s">
        <v>62</v>
      </c>
      <c r="F62" s="16" t="s">
        <v>51</v>
      </c>
      <c r="G62" s="16" t="s">
        <v>12</v>
      </c>
      <c r="H62" s="16">
        <v>17</v>
      </c>
      <c r="I62" s="16">
        <v>593</v>
      </c>
      <c r="J62" s="16">
        <v>895</v>
      </c>
      <c r="K62" s="17">
        <f t="shared" si="0"/>
        <v>10081</v>
      </c>
      <c r="L62" s="17">
        <f t="shared" si="1"/>
        <v>15215</v>
      </c>
      <c r="M62" s="17">
        <f t="shared" si="2"/>
        <v>5134</v>
      </c>
      <c r="N62" s="17" t="str">
        <f t="shared" si="3"/>
        <v>profit</v>
      </c>
    </row>
    <row r="63" spans="1:14" ht="15.6" thickTop="1" thickBot="1" x14ac:dyDescent="0.35">
      <c r="A63" s="15">
        <v>45686</v>
      </c>
      <c r="B63" s="15" t="s">
        <v>119</v>
      </c>
      <c r="C63" s="16" t="s">
        <v>135</v>
      </c>
      <c r="D63" s="16" t="s">
        <v>43</v>
      </c>
      <c r="E63" s="16" t="s">
        <v>62</v>
      </c>
      <c r="F63" s="16" t="s">
        <v>64</v>
      </c>
      <c r="G63" s="16" t="s">
        <v>12</v>
      </c>
      <c r="H63" s="16">
        <v>20</v>
      </c>
      <c r="I63" s="16">
        <v>735</v>
      </c>
      <c r="J63" s="16">
        <v>1277</v>
      </c>
      <c r="K63" s="17">
        <f t="shared" si="0"/>
        <v>14700</v>
      </c>
      <c r="L63" s="17">
        <f t="shared" si="1"/>
        <v>25540</v>
      </c>
      <c r="M63" s="17">
        <f t="shared" si="2"/>
        <v>10840</v>
      </c>
      <c r="N63" s="17" t="str">
        <f t="shared" si="3"/>
        <v>profit</v>
      </c>
    </row>
    <row r="64" spans="1:14" ht="15.6" thickTop="1" thickBot="1" x14ac:dyDescent="0.35">
      <c r="A64" s="15">
        <v>45688</v>
      </c>
      <c r="B64" s="15" t="s">
        <v>119</v>
      </c>
      <c r="C64" s="16" t="s">
        <v>136</v>
      </c>
      <c r="D64" s="16" t="s">
        <v>43</v>
      </c>
      <c r="E64" s="16" t="s">
        <v>62</v>
      </c>
      <c r="F64" s="16" t="s">
        <v>137</v>
      </c>
      <c r="G64" s="16" t="s">
        <v>12</v>
      </c>
      <c r="H64" s="16">
        <v>17</v>
      </c>
      <c r="I64" s="16">
        <v>750</v>
      </c>
      <c r="J64" s="16">
        <v>1253</v>
      </c>
      <c r="K64" s="17">
        <f t="shared" si="0"/>
        <v>12750</v>
      </c>
      <c r="L64" s="17">
        <f t="shared" si="1"/>
        <v>21301</v>
      </c>
      <c r="M64" s="17">
        <f t="shared" si="2"/>
        <v>8551</v>
      </c>
      <c r="N64" s="17" t="str">
        <f t="shared" si="3"/>
        <v>profit</v>
      </c>
    </row>
    <row r="65" spans="1:14" ht="15.6" thickTop="1" thickBot="1" x14ac:dyDescent="0.35">
      <c r="A65" s="15">
        <v>45454</v>
      </c>
      <c r="B65" s="15" t="s">
        <v>41</v>
      </c>
      <c r="C65" s="16" t="s">
        <v>42</v>
      </c>
      <c r="D65" s="16" t="s">
        <v>43</v>
      </c>
      <c r="E65" s="16" t="s">
        <v>44</v>
      </c>
      <c r="F65" s="16" t="s">
        <v>45</v>
      </c>
      <c r="G65" s="16" t="s">
        <v>8</v>
      </c>
      <c r="H65" s="16">
        <v>11</v>
      </c>
      <c r="I65" s="16">
        <v>601</v>
      </c>
      <c r="J65" s="16">
        <v>1323</v>
      </c>
      <c r="K65" s="17">
        <f t="shared" si="0"/>
        <v>6611</v>
      </c>
      <c r="L65" s="17">
        <f t="shared" si="1"/>
        <v>14553</v>
      </c>
      <c r="M65" s="17">
        <f t="shared" si="2"/>
        <v>7942</v>
      </c>
      <c r="N65" s="17" t="str">
        <f t="shared" si="3"/>
        <v>profit</v>
      </c>
    </row>
    <row r="66" spans="1:14" ht="15.6" thickTop="1" thickBot="1" x14ac:dyDescent="0.35">
      <c r="A66" s="15">
        <v>45455</v>
      </c>
      <c r="B66" s="15" t="s">
        <v>41</v>
      </c>
      <c r="C66" s="16" t="s">
        <v>46</v>
      </c>
      <c r="D66" s="16" t="s">
        <v>43</v>
      </c>
      <c r="E66" s="16" t="s">
        <v>44</v>
      </c>
      <c r="F66" s="16" t="s">
        <v>47</v>
      </c>
      <c r="G66" s="16" t="s">
        <v>8</v>
      </c>
      <c r="H66" s="16">
        <v>20</v>
      </c>
      <c r="I66" s="16">
        <v>857</v>
      </c>
      <c r="J66" s="16">
        <v>983</v>
      </c>
      <c r="K66" s="17">
        <f t="shared" ref="K66:K129" si="4">H66*I66</f>
        <v>17140</v>
      </c>
      <c r="L66" s="17">
        <f t="shared" ref="L66:L129" si="5">H66*J66</f>
        <v>19660</v>
      </c>
      <c r="M66" s="17">
        <f t="shared" ref="M66:M129" si="6">L66-K66</f>
        <v>2520</v>
      </c>
      <c r="N66" s="17" t="str">
        <f t="shared" ref="N66:N129" si="7">IF(M66&gt;0,"profit","loss")</f>
        <v>profit</v>
      </c>
    </row>
    <row r="67" spans="1:14" ht="15.6" thickTop="1" thickBot="1" x14ac:dyDescent="0.35">
      <c r="A67" s="15">
        <v>45456</v>
      </c>
      <c r="B67" s="15" t="s">
        <v>41</v>
      </c>
      <c r="C67" s="16" t="s">
        <v>48</v>
      </c>
      <c r="D67" s="16" t="s">
        <v>43</v>
      </c>
      <c r="E67" s="16" t="s">
        <v>44</v>
      </c>
      <c r="F67" s="16" t="s">
        <v>49</v>
      </c>
      <c r="G67" s="16" t="s">
        <v>8</v>
      </c>
      <c r="H67" s="16">
        <v>11</v>
      </c>
      <c r="I67" s="16">
        <v>774</v>
      </c>
      <c r="J67" s="16">
        <v>1363</v>
      </c>
      <c r="K67" s="17">
        <f t="shared" si="4"/>
        <v>8514</v>
      </c>
      <c r="L67" s="17">
        <f t="shared" si="5"/>
        <v>14993</v>
      </c>
      <c r="M67" s="17">
        <f t="shared" si="6"/>
        <v>6479</v>
      </c>
      <c r="N67" s="17" t="str">
        <f t="shared" si="7"/>
        <v>profit</v>
      </c>
    </row>
    <row r="68" spans="1:14" ht="15.6" thickTop="1" thickBot="1" x14ac:dyDescent="0.35">
      <c r="A68" s="15">
        <v>45457</v>
      </c>
      <c r="B68" s="15" t="s">
        <v>41</v>
      </c>
      <c r="C68" s="16" t="s">
        <v>50</v>
      </c>
      <c r="D68" s="16" t="s">
        <v>43</v>
      </c>
      <c r="E68" s="16" t="s">
        <v>44</v>
      </c>
      <c r="F68" s="16" t="s">
        <v>51</v>
      </c>
      <c r="G68" s="16" t="s">
        <v>8</v>
      </c>
      <c r="H68" s="16">
        <v>13</v>
      </c>
      <c r="I68" s="16">
        <v>986</v>
      </c>
      <c r="J68" s="16">
        <v>1073</v>
      </c>
      <c r="K68" s="17">
        <f t="shared" si="4"/>
        <v>12818</v>
      </c>
      <c r="L68" s="17">
        <f t="shared" si="5"/>
        <v>13949</v>
      </c>
      <c r="M68" s="17">
        <f t="shared" si="6"/>
        <v>1131</v>
      </c>
      <c r="N68" s="17" t="str">
        <f t="shared" si="7"/>
        <v>profit</v>
      </c>
    </row>
    <row r="69" spans="1:14" ht="15.6" thickTop="1" thickBot="1" x14ac:dyDescent="0.35">
      <c r="A69" s="15">
        <v>45459</v>
      </c>
      <c r="B69" s="15" t="s">
        <v>41</v>
      </c>
      <c r="C69" s="16" t="s">
        <v>52</v>
      </c>
      <c r="D69" s="16" t="s">
        <v>43</v>
      </c>
      <c r="E69" s="16" t="s">
        <v>44</v>
      </c>
      <c r="F69" s="16" t="s">
        <v>53</v>
      </c>
      <c r="G69" s="16" t="s">
        <v>12</v>
      </c>
      <c r="H69" s="16">
        <v>12</v>
      </c>
      <c r="I69" s="16">
        <v>997</v>
      </c>
      <c r="J69" s="16">
        <v>1445</v>
      </c>
      <c r="K69" s="17">
        <f t="shared" si="4"/>
        <v>11964</v>
      </c>
      <c r="L69" s="17">
        <f t="shared" si="5"/>
        <v>17340</v>
      </c>
      <c r="M69" s="17">
        <f t="shared" si="6"/>
        <v>5376</v>
      </c>
      <c r="N69" s="17" t="str">
        <f t="shared" si="7"/>
        <v>profit</v>
      </c>
    </row>
    <row r="70" spans="1:14" ht="15.6" thickTop="1" thickBot="1" x14ac:dyDescent="0.35">
      <c r="A70" s="15">
        <v>45460</v>
      </c>
      <c r="B70" s="15" t="s">
        <v>41</v>
      </c>
      <c r="C70" s="16" t="s">
        <v>54</v>
      </c>
      <c r="D70" s="16" t="s">
        <v>43</v>
      </c>
      <c r="E70" s="16" t="s">
        <v>44</v>
      </c>
      <c r="F70" s="16" t="s">
        <v>55</v>
      </c>
      <c r="G70" s="16" t="s">
        <v>12</v>
      </c>
      <c r="H70" s="16">
        <v>20</v>
      </c>
      <c r="I70" s="16">
        <v>941</v>
      </c>
      <c r="J70" s="16">
        <v>1053</v>
      </c>
      <c r="K70" s="17">
        <f t="shared" si="4"/>
        <v>18820</v>
      </c>
      <c r="L70" s="17">
        <f t="shared" si="5"/>
        <v>21060</v>
      </c>
      <c r="M70" s="17">
        <f t="shared" si="6"/>
        <v>2240</v>
      </c>
      <c r="N70" s="17" t="str">
        <f t="shared" si="7"/>
        <v>profit</v>
      </c>
    </row>
    <row r="71" spans="1:14" ht="15.6" thickTop="1" thickBot="1" x14ac:dyDescent="0.35">
      <c r="A71" s="15">
        <v>45472</v>
      </c>
      <c r="B71" s="15" t="s">
        <v>41</v>
      </c>
      <c r="C71" s="16" t="s">
        <v>61</v>
      </c>
      <c r="D71" s="16" t="s">
        <v>43</v>
      </c>
      <c r="E71" s="16" t="s">
        <v>62</v>
      </c>
      <c r="F71" s="16" t="s">
        <v>60</v>
      </c>
      <c r="G71" s="16" t="s">
        <v>8</v>
      </c>
      <c r="H71" s="16">
        <v>19</v>
      </c>
      <c r="I71" s="16">
        <v>952</v>
      </c>
      <c r="J71" s="16">
        <v>1486</v>
      </c>
      <c r="K71" s="17">
        <f t="shared" si="4"/>
        <v>18088</v>
      </c>
      <c r="L71" s="17">
        <f t="shared" si="5"/>
        <v>28234</v>
      </c>
      <c r="M71" s="17">
        <f t="shared" si="6"/>
        <v>10146</v>
      </c>
      <c r="N71" s="17" t="str">
        <f t="shared" si="7"/>
        <v>profit</v>
      </c>
    </row>
    <row r="72" spans="1:14" ht="15.6" thickTop="1" thickBot="1" x14ac:dyDescent="0.35">
      <c r="A72" s="15">
        <v>45473</v>
      </c>
      <c r="B72" s="15" t="s">
        <v>41</v>
      </c>
      <c r="C72" s="16" t="s">
        <v>63</v>
      </c>
      <c r="D72" s="16" t="s">
        <v>43</v>
      </c>
      <c r="E72" s="16" t="s">
        <v>62</v>
      </c>
      <c r="F72" s="16" t="s">
        <v>64</v>
      </c>
      <c r="G72" s="16" t="s">
        <v>8</v>
      </c>
      <c r="H72" s="16">
        <v>11</v>
      </c>
      <c r="I72" s="16">
        <v>503</v>
      </c>
      <c r="J72" s="16">
        <v>762</v>
      </c>
      <c r="K72" s="17">
        <f t="shared" si="4"/>
        <v>5533</v>
      </c>
      <c r="L72" s="17">
        <f t="shared" si="5"/>
        <v>8382</v>
      </c>
      <c r="M72" s="17">
        <f t="shared" si="6"/>
        <v>2849</v>
      </c>
      <c r="N72" s="17" t="str">
        <f t="shared" si="7"/>
        <v>profit</v>
      </c>
    </row>
    <row r="73" spans="1:14" ht="15.6" thickTop="1" thickBot="1" x14ac:dyDescent="0.35">
      <c r="A73" s="15">
        <v>45474</v>
      </c>
      <c r="B73" s="15" t="s">
        <v>65</v>
      </c>
      <c r="C73" s="16" t="s">
        <v>66</v>
      </c>
      <c r="D73" s="16" t="s">
        <v>43</v>
      </c>
      <c r="E73" s="16" t="s">
        <v>62</v>
      </c>
      <c r="F73" s="16" t="s">
        <v>64</v>
      </c>
      <c r="G73" s="16" t="s">
        <v>8</v>
      </c>
      <c r="H73" s="16">
        <v>10</v>
      </c>
      <c r="I73" s="16">
        <v>719</v>
      </c>
      <c r="J73" s="16">
        <v>862</v>
      </c>
      <c r="K73" s="17">
        <f t="shared" si="4"/>
        <v>7190</v>
      </c>
      <c r="L73" s="17">
        <f t="shared" si="5"/>
        <v>8620</v>
      </c>
      <c r="M73" s="17">
        <f t="shared" si="6"/>
        <v>1430</v>
      </c>
      <c r="N73" s="17" t="str">
        <f t="shared" si="7"/>
        <v>profit</v>
      </c>
    </row>
    <row r="74" spans="1:14" ht="15.6" thickTop="1" thickBot="1" x14ac:dyDescent="0.35">
      <c r="A74" s="15">
        <v>45476</v>
      </c>
      <c r="B74" s="15" t="s">
        <v>65</v>
      </c>
      <c r="C74" s="16" t="s">
        <v>67</v>
      </c>
      <c r="D74" s="16" t="s">
        <v>43</v>
      </c>
      <c r="E74" s="16" t="s">
        <v>62</v>
      </c>
      <c r="F74" s="16" t="s">
        <v>53</v>
      </c>
      <c r="G74" s="16" t="s">
        <v>8</v>
      </c>
      <c r="H74" s="16">
        <v>15</v>
      </c>
      <c r="I74" s="16">
        <v>941</v>
      </c>
      <c r="J74" s="16">
        <v>913</v>
      </c>
      <c r="K74" s="17">
        <f t="shared" si="4"/>
        <v>14115</v>
      </c>
      <c r="L74" s="17">
        <f t="shared" si="5"/>
        <v>13695</v>
      </c>
      <c r="M74" s="17">
        <f t="shared" si="6"/>
        <v>-420</v>
      </c>
      <c r="N74" s="17" t="str">
        <f t="shared" si="7"/>
        <v>loss</v>
      </c>
    </row>
    <row r="75" spans="1:14" ht="15.6" thickTop="1" thickBot="1" x14ac:dyDescent="0.35">
      <c r="A75" s="15">
        <v>45477</v>
      </c>
      <c r="B75" s="15" t="s">
        <v>65</v>
      </c>
      <c r="C75" s="16" t="s">
        <v>68</v>
      </c>
      <c r="D75" s="16" t="s">
        <v>43</v>
      </c>
      <c r="E75" s="16" t="s">
        <v>62</v>
      </c>
      <c r="F75" s="16" t="s">
        <v>69</v>
      </c>
      <c r="G75" s="16" t="s">
        <v>8</v>
      </c>
      <c r="H75" s="16">
        <v>15</v>
      </c>
      <c r="I75" s="16">
        <v>937</v>
      </c>
      <c r="J75" s="16">
        <v>1427</v>
      </c>
      <c r="K75" s="17">
        <f t="shared" si="4"/>
        <v>14055</v>
      </c>
      <c r="L75" s="17">
        <f t="shared" si="5"/>
        <v>21405</v>
      </c>
      <c r="M75" s="17">
        <f t="shared" si="6"/>
        <v>7350</v>
      </c>
      <c r="N75" s="17" t="str">
        <f t="shared" si="7"/>
        <v>profit</v>
      </c>
    </row>
    <row r="76" spans="1:14" ht="15.6" thickTop="1" thickBot="1" x14ac:dyDescent="0.35">
      <c r="A76" s="15">
        <v>45478</v>
      </c>
      <c r="B76" s="15" t="s">
        <v>65</v>
      </c>
      <c r="C76" s="16" t="s">
        <v>73</v>
      </c>
      <c r="D76" s="16" t="s">
        <v>43</v>
      </c>
      <c r="E76" s="16" t="s">
        <v>62</v>
      </c>
      <c r="F76" s="16" t="s">
        <v>74</v>
      </c>
      <c r="G76" s="16" t="s">
        <v>8</v>
      </c>
      <c r="H76" s="16">
        <v>11</v>
      </c>
      <c r="I76" s="16">
        <v>674</v>
      </c>
      <c r="J76" s="16">
        <v>1415</v>
      </c>
      <c r="K76" s="17">
        <f t="shared" si="4"/>
        <v>7414</v>
      </c>
      <c r="L76" s="17">
        <f t="shared" si="5"/>
        <v>15565</v>
      </c>
      <c r="M76" s="17">
        <f t="shared" si="6"/>
        <v>8151</v>
      </c>
      <c r="N76" s="17" t="str">
        <f t="shared" si="7"/>
        <v>profit</v>
      </c>
    </row>
    <row r="77" spans="1:14" ht="15.6" thickTop="1" thickBot="1" x14ac:dyDescent="0.35">
      <c r="A77" s="15">
        <v>45458</v>
      </c>
      <c r="B77" s="15" t="s">
        <v>41</v>
      </c>
      <c r="C77" s="16" t="s">
        <v>138</v>
      </c>
      <c r="D77" s="16" t="s">
        <v>43</v>
      </c>
      <c r="E77" s="16" t="s">
        <v>44</v>
      </c>
      <c r="F77" s="16" t="s">
        <v>51</v>
      </c>
      <c r="G77" s="16" t="s">
        <v>8</v>
      </c>
      <c r="H77" s="16">
        <v>20</v>
      </c>
      <c r="I77" s="16">
        <v>827</v>
      </c>
      <c r="J77" s="16">
        <v>816</v>
      </c>
      <c r="K77" s="17">
        <f t="shared" si="4"/>
        <v>16540</v>
      </c>
      <c r="L77" s="17">
        <f t="shared" si="5"/>
        <v>16320</v>
      </c>
      <c r="M77" s="17">
        <f t="shared" si="6"/>
        <v>-220</v>
      </c>
      <c r="N77" s="17" t="str">
        <f t="shared" si="7"/>
        <v>loss</v>
      </c>
    </row>
    <row r="78" spans="1:14" ht="15.6" thickTop="1" thickBot="1" x14ac:dyDescent="0.35">
      <c r="A78" s="15">
        <v>45479</v>
      </c>
      <c r="B78" s="15" t="s">
        <v>65</v>
      </c>
      <c r="C78" s="16" t="s">
        <v>75</v>
      </c>
      <c r="D78" s="16" t="s">
        <v>43</v>
      </c>
      <c r="E78" s="16" t="s">
        <v>62</v>
      </c>
      <c r="F78" s="16" t="s">
        <v>53</v>
      </c>
      <c r="G78" s="16" t="s">
        <v>12</v>
      </c>
      <c r="H78" s="16">
        <v>20</v>
      </c>
      <c r="I78" s="16">
        <v>596</v>
      </c>
      <c r="J78" s="16">
        <v>1255</v>
      </c>
      <c r="K78" s="17">
        <f t="shared" si="4"/>
        <v>11920</v>
      </c>
      <c r="L78" s="17">
        <f t="shared" si="5"/>
        <v>25100</v>
      </c>
      <c r="M78" s="17">
        <f t="shared" si="6"/>
        <v>13180</v>
      </c>
      <c r="N78" s="17" t="str">
        <f t="shared" si="7"/>
        <v>profit</v>
      </c>
    </row>
    <row r="79" spans="1:14" ht="15.6" thickTop="1" thickBot="1" x14ac:dyDescent="0.35">
      <c r="A79" s="15">
        <v>45480</v>
      </c>
      <c r="B79" s="15" t="s">
        <v>65</v>
      </c>
      <c r="C79" s="16" t="s">
        <v>76</v>
      </c>
      <c r="D79" s="16" t="s">
        <v>43</v>
      </c>
      <c r="E79" s="16" t="s">
        <v>62</v>
      </c>
      <c r="F79" s="16" t="s">
        <v>77</v>
      </c>
      <c r="G79" s="16" t="s">
        <v>12</v>
      </c>
      <c r="H79" s="16">
        <v>20</v>
      </c>
      <c r="I79" s="16">
        <v>689</v>
      </c>
      <c r="J79" s="16">
        <v>939</v>
      </c>
      <c r="K79" s="17">
        <f t="shared" si="4"/>
        <v>13780</v>
      </c>
      <c r="L79" s="17">
        <f t="shared" si="5"/>
        <v>18780</v>
      </c>
      <c r="M79" s="17">
        <f t="shared" si="6"/>
        <v>5000</v>
      </c>
      <c r="N79" s="17" t="str">
        <f t="shared" si="7"/>
        <v>profit</v>
      </c>
    </row>
    <row r="80" spans="1:14" ht="15.6" thickTop="1" thickBot="1" x14ac:dyDescent="0.35">
      <c r="A80" s="15">
        <v>45481</v>
      </c>
      <c r="B80" s="15" t="s">
        <v>65</v>
      </c>
      <c r="C80" s="16" t="s">
        <v>78</v>
      </c>
      <c r="D80" s="16" t="s">
        <v>43</v>
      </c>
      <c r="E80" s="16" t="s">
        <v>62</v>
      </c>
      <c r="F80" s="16" t="s">
        <v>79</v>
      </c>
      <c r="G80" s="16" t="s">
        <v>12</v>
      </c>
      <c r="H80" s="16">
        <v>17</v>
      </c>
      <c r="I80" s="16">
        <v>990</v>
      </c>
      <c r="J80" s="16">
        <v>1391</v>
      </c>
      <c r="K80" s="17">
        <f t="shared" si="4"/>
        <v>16830</v>
      </c>
      <c r="L80" s="17">
        <f t="shared" si="5"/>
        <v>23647</v>
      </c>
      <c r="M80" s="17">
        <f t="shared" si="6"/>
        <v>6817</v>
      </c>
      <c r="N80" s="17" t="str">
        <f t="shared" si="7"/>
        <v>profit</v>
      </c>
    </row>
    <row r="81" spans="1:14" ht="15.6" thickTop="1" thickBot="1" x14ac:dyDescent="0.35">
      <c r="A81" s="15">
        <v>45482</v>
      </c>
      <c r="B81" s="15" t="s">
        <v>65</v>
      </c>
      <c r="C81" s="16" t="s">
        <v>80</v>
      </c>
      <c r="D81" s="16" t="s">
        <v>43</v>
      </c>
      <c r="E81" s="16" t="s">
        <v>62</v>
      </c>
      <c r="F81" s="16" t="s">
        <v>60</v>
      </c>
      <c r="G81" s="16" t="s">
        <v>12</v>
      </c>
      <c r="H81" s="16">
        <v>20</v>
      </c>
      <c r="I81" s="16">
        <v>589</v>
      </c>
      <c r="J81" s="16">
        <v>773</v>
      </c>
      <c r="K81" s="17">
        <f t="shared" si="4"/>
        <v>11780</v>
      </c>
      <c r="L81" s="17">
        <f t="shared" si="5"/>
        <v>15460</v>
      </c>
      <c r="M81" s="17">
        <f t="shared" si="6"/>
        <v>3680</v>
      </c>
      <c r="N81" s="17" t="str">
        <f t="shared" si="7"/>
        <v>profit</v>
      </c>
    </row>
    <row r="82" spans="1:14" ht="15.6" thickTop="1" thickBot="1" x14ac:dyDescent="0.35">
      <c r="A82" s="15">
        <v>45483</v>
      </c>
      <c r="B82" s="15" t="s">
        <v>65</v>
      </c>
      <c r="C82" s="16" t="s">
        <v>81</v>
      </c>
      <c r="D82" s="16" t="s">
        <v>43</v>
      </c>
      <c r="E82" s="16" t="s">
        <v>62</v>
      </c>
      <c r="F82" s="16" t="s">
        <v>64</v>
      </c>
      <c r="G82" s="16" t="s">
        <v>8</v>
      </c>
      <c r="H82" s="16">
        <v>17</v>
      </c>
      <c r="I82" s="16">
        <v>773</v>
      </c>
      <c r="J82" s="16">
        <v>1266</v>
      </c>
      <c r="K82" s="17">
        <f t="shared" si="4"/>
        <v>13141</v>
      </c>
      <c r="L82" s="17">
        <f t="shared" si="5"/>
        <v>21522</v>
      </c>
      <c r="M82" s="17">
        <f t="shared" si="6"/>
        <v>8381</v>
      </c>
      <c r="N82" s="17" t="str">
        <f t="shared" si="7"/>
        <v>profit</v>
      </c>
    </row>
    <row r="83" spans="1:14" ht="15.6" thickTop="1" thickBot="1" x14ac:dyDescent="0.35">
      <c r="A83" s="15">
        <v>45464</v>
      </c>
      <c r="B83" s="15" t="s">
        <v>41</v>
      </c>
      <c r="C83" s="16" t="s">
        <v>139</v>
      </c>
      <c r="D83" s="16" t="s">
        <v>58</v>
      </c>
      <c r="E83" s="16" t="s">
        <v>123</v>
      </c>
      <c r="F83" s="16" t="s">
        <v>69</v>
      </c>
      <c r="G83" s="16" t="s">
        <v>8</v>
      </c>
      <c r="H83" s="16">
        <v>75</v>
      </c>
      <c r="I83" s="16">
        <v>859</v>
      </c>
      <c r="J83" s="16">
        <v>1486</v>
      </c>
      <c r="K83" s="17">
        <f t="shared" si="4"/>
        <v>64425</v>
      </c>
      <c r="L83" s="17">
        <f t="shared" si="5"/>
        <v>111450</v>
      </c>
      <c r="M83" s="17">
        <f t="shared" si="6"/>
        <v>47025</v>
      </c>
      <c r="N83" s="17" t="str">
        <f t="shared" si="7"/>
        <v>profit</v>
      </c>
    </row>
    <row r="84" spans="1:14" ht="15.6" thickTop="1" thickBot="1" x14ac:dyDescent="0.35">
      <c r="A84" s="15">
        <v>45510</v>
      </c>
      <c r="B84" s="15" t="s">
        <v>82</v>
      </c>
      <c r="C84" s="16" t="s">
        <v>83</v>
      </c>
      <c r="D84" s="16" t="s">
        <v>43</v>
      </c>
      <c r="E84" s="16" t="s">
        <v>62</v>
      </c>
      <c r="F84" s="16" t="s">
        <v>69</v>
      </c>
      <c r="G84" s="16" t="s">
        <v>8</v>
      </c>
      <c r="H84" s="16">
        <v>11</v>
      </c>
      <c r="I84" s="16">
        <v>830</v>
      </c>
      <c r="J84" s="16">
        <v>1386</v>
      </c>
      <c r="K84" s="17">
        <f t="shared" si="4"/>
        <v>9130</v>
      </c>
      <c r="L84" s="17">
        <f t="shared" si="5"/>
        <v>15246</v>
      </c>
      <c r="M84" s="17">
        <f t="shared" si="6"/>
        <v>6116</v>
      </c>
      <c r="N84" s="17" t="str">
        <f t="shared" si="7"/>
        <v>profit</v>
      </c>
    </row>
    <row r="85" spans="1:14" ht="15.6" thickTop="1" thickBot="1" x14ac:dyDescent="0.35">
      <c r="A85" s="15">
        <v>45511</v>
      </c>
      <c r="B85" s="15" t="s">
        <v>82</v>
      </c>
      <c r="C85" s="16" t="s">
        <v>84</v>
      </c>
      <c r="D85" s="16" t="s">
        <v>43</v>
      </c>
      <c r="E85" s="16" t="s">
        <v>62</v>
      </c>
      <c r="F85" s="16" t="s">
        <v>85</v>
      </c>
      <c r="G85" s="16" t="s">
        <v>8</v>
      </c>
      <c r="H85" s="16">
        <v>11</v>
      </c>
      <c r="I85" s="16">
        <v>930</v>
      </c>
      <c r="J85" s="16">
        <v>876</v>
      </c>
      <c r="K85" s="17">
        <f t="shared" si="4"/>
        <v>10230</v>
      </c>
      <c r="L85" s="17">
        <f t="shared" si="5"/>
        <v>9636</v>
      </c>
      <c r="M85" s="17">
        <f t="shared" si="6"/>
        <v>-594</v>
      </c>
      <c r="N85" s="17" t="str">
        <f t="shared" si="7"/>
        <v>loss</v>
      </c>
    </row>
    <row r="86" spans="1:14" ht="15.6" thickTop="1" thickBot="1" x14ac:dyDescent="0.35">
      <c r="A86" s="15">
        <v>45513</v>
      </c>
      <c r="B86" s="15" t="s">
        <v>82</v>
      </c>
      <c r="C86" s="16" t="s">
        <v>86</v>
      </c>
      <c r="D86" s="16" t="s">
        <v>43</v>
      </c>
      <c r="E86" s="16" t="s">
        <v>62</v>
      </c>
      <c r="F86" s="16" t="s">
        <v>64</v>
      </c>
      <c r="G86" s="16" t="s">
        <v>8</v>
      </c>
      <c r="H86" s="16">
        <v>19</v>
      </c>
      <c r="I86" s="16">
        <v>654</v>
      </c>
      <c r="J86" s="16">
        <v>1295</v>
      </c>
      <c r="K86" s="17">
        <f t="shared" si="4"/>
        <v>12426</v>
      </c>
      <c r="L86" s="17">
        <f t="shared" si="5"/>
        <v>24605</v>
      </c>
      <c r="M86" s="17">
        <f t="shared" si="6"/>
        <v>12179</v>
      </c>
      <c r="N86" s="17" t="str">
        <f t="shared" si="7"/>
        <v>profit</v>
      </c>
    </row>
    <row r="87" spans="1:14" ht="15.6" thickTop="1" thickBot="1" x14ac:dyDescent="0.35">
      <c r="A87" s="15">
        <v>45514</v>
      </c>
      <c r="B87" s="15" t="s">
        <v>82</v>
      </c>
      <c r="C87" s="16" t="s">
        <v>90</v>
      </c>
      <c r="D87" s="16" t="s">
        <v>43</v>
      </c>
      <c r="E87" s="16" t="s">
        <v>62</v>
      </c>
      <c r="F87" s="16" t="s">
        <v>64</v>
      </c>
      <c r="G87" s="16" t="s">
        <v>8</v>
      </c>
      <c r="H87" s="16">
        <v>18</v>
      </c>
      <c r="I87" s="16">
        <v>767</v>
      </c>
      <c r="J87" s="16">
        <v>988</v>
      </c>
      <c r="K87" s="17">
        <f t="shared" si="4"/>
        <v>13806</v>
      </c>
      <c r="L87" s="17">
        <f t="shared" si="5"/>
        <v>17784</v>
      </c>
      <c r="M87" s="17">
        <f t="shared" si="6"/>
        <v>3978</v>
      </c>
      <c r="N87" s="17" t="str">
        <f t="shared" si="7"/>
        <v>profit</v>
      </c>
    </row>
    <row r="88" spans="1:14" ht="15.6" thickTop="1" thickBot="1" x14ac:dyDescent="0.35">
      <c r="A88" s="15">
        <v>45515</v>
      </c>
      <c r="B88" s="15" t="s">
        <v>82</v>
      </c>
      <c r="C88" s="16" t="s">
        <v>92</v>
      </c>
      <c r="D88" s="16" t="s">
        <v>43</v>
      </c>
      <c r="E88" s="16" t="s">
        <v>62</v>
      </c>
      <c r="F88" s="16" t="s">
        <v>69</v>
      </c>
      <c r="G88" s="16" t="s">
        <v>12</v>
      </c>
      <c r="H88" s="16">
        <v>12</v>
      </c>
      <c r="I88" s="16">
        <v>654</v>
      </c>
      <c r="J88" s="16">
        <v>788</v>
      </c>
      <c r="K88" s="17">
        <f t="shared" si="4"/>
        <v>7848</v>
      </c>
      <c r="L88" s="17">
        <f t="shared" si="5"/>
        <v>9456</v>
      </c>
      <c r="M88" s="17">
        <f t="shared" si="6"/>
        <v>1608</v>
      </c>
      <c r="N88" s="17" t="str">
        <f t="shared" si="7"/>
        <v>profit</v>
      </c>
    </row>
    <row r="89" spans="1:14" ht="15.6" thickTop="1" thickBot="1" x14ac:dyDescent="0.35">
      <c r="A89" s="15">
        <v>45516</v>
      </c>
      <c r="B89" s="15" t="s">
        <v>82</v>
      </c>
      <c r="C89" s="16" t="s">
        <v>93</v>
      </c>
      <c r="D89" s="16" t="s">
        <v>43</v>
      </c>
      <c r="E89" s="16" t="s">
        <v>62</v>
      </c>
      <c r="F89" s="16" t="s">
        <v>53</v>
      </c>
      <c r="G89" s="16" t="s">
        <v>12</v>
      </c>
      <c r="H89" s="16">
        <v>11</v>
      </c>
      <c r="I89" s="16">
        <v>827</v>
      </c>
      <c r="J89" s="16">
        <v>765</v>
      </c>
      <c r="K89" s="17">
        <f t="shared" si="4"/>
        <v>9097</v>
      </c>
      <c r="L89" s="17">
        <f t="shared" si="5"/>
        <v>8415</v>
      </c>
      <c r="M89" s="17">
        <f t="shared" si="6"/>
        <v>-682</v>
      </c>
      <c r="N89" s="17" t="str">
        <f t="shared" si="7"/>
        <v>loss</v>
      </c>
    </row>
    <row r="90" spans="1:14" ht="15.6" thickTop="1" thickBot="1" x14ac:dyDescent="0.35">
      <c r="A90" s="15">
        <v>45543</v>
      </c>
      <c r="B90" s="15" t="s">
        <v>94</v>
      </c>
      <c r="C90" s="16" t="s">
        <v>95</v>
      </c>
      <c r="D90" s="16" t="s">
        <v>43</v>
      </c>
      <c r="E90" s="16" t="s">
        <v>62</v>
      </c>
      <c r="F90" s="16" t="s">
        <v>7</v>
      </c>
      <c r="G90" s="16" t="s">
        <v>12</v>
      </c>
      <c r="H90" s="16">
        <v>12</v>
      </c>
      <c r="I90" s="16">
        <v>561</v>
      </c>
      <c r="J90" s="16">
        <v>1162</v>
      </c>
      <c r="K90" s="17">
        <f t="shared" si="4"/>
        <v>6732</v>
      </c>
      <c r="L90" s="17">
        <f t="shared" si="5"/>
        <v>13944</v>
      </c>
      <c r="M90" s="17">
        <f t="shared" si="6"/>
        <v>7212</v>
      </c>
      <c r="N90" s="17" t="str">
        <f t="shared" si="7"/>
        <v>profit</v>
      </c>
    </row>
    <row r="91" spans="1:14" ht="15.6" thickTop="1" thickBot="1" x14ac:dyDescent="0.35">
      <c r="A91" s="15">
        <v>45544</v>
      </c>
      <c r="B91" s="15" t="s">
        <v>94</v>
      </c>
      <c r="C91" s="16" t="s">
        <v>96</v>
      </c>
      <c r="D91" s="16" t="s">
        <v>43</v>
      </c>
      <c r="E91" s="16" t="s">
        <v>62</v>
      </c>
      <c r="F91" s="16" t="s">
        <v>69</v>
      </c>
      <c r="G91" s="16" t="s">
        <v>12</v>
      </c>
      <c r="H91" s="16">
        <v>12</v>
      </c>
      <c r="I91" s="16">
        <v>879</v>
      </c>
      <c r="J91" s="16">
        <v>1428</v>
      </c>
      <c r="K91" s="17">
        <f t="shared" si="4"/>
        <v>10548</v>
      </c>
      <c r="L91" s="17">
        <f t="shared" si="5"/>
        <v>17136</v>
      </c>
      <c r="M91" s="17">
        <f t="shared" si="6"/>
        <v>6588</v>
      </c>
      <c r="N91" s="17" t="str">
        <f t="shared" si="7"/>
        <v>profit</v>
      </c>
    </row>
    <row r="92" spans="1:14" ht="15.6" thickTop="1" thickBot="1" x14ac:dyDescent="0.35">
      <c r="A92" s="15">
        <v>45545</v>
      </c>
      <c r="B92" s="15" t="s">
        <v>94</v>
      </c>
      <c r="C92" s="16" t="s">
        <v>97</v>
      </c>
      <c r="D92" s="16" t="s">
        <v>43</v>
      </c>
      <c r="E92" s="16" t="s">
        <v>62</v>
      </c>
      <c r="F92" s="16" t="s">
        <v>51</v>
      </c>
      <c r="G92" s="16" t="s">
        <v>12</v>
      </c>
      <c r="H92" s="16">
        <v>13</v>
      </c>
      <c r="I92" s="16">
        <v>523</v>
      </c>
      <c r="J92" s="16">
        <v>1326</v>
      </c>
      <c r="K92" s="17">
        <f t="shared" si="4"/>
        <v>6799</v>
      </c>
      <c r="L92" s="17">
        <f t="shared" si="5"/>
        <v>17238</v>
      </c>
      <c r="M92" s="17">
        <f t="shared" si="6"/>
        <v>10439</v>
      </c>
      <c r="N92" s="17" t="str">
        <f t="shared" si="7"/>
        <v>profit</v>
      </c>
    </row>
    <row r="93" spans="1:14" ht="15.6" thickTop="1" thickBot="1" x14ac:dyDescent="0.35">
      <c r="A93" s="15">
        <v>45546</v>
      </c>
      <c r="B93" s="15" t="s">
        <v>94</v>
      </c>
      <c r="C93" s="16" t="s">
        <v>98</v>
      </c>
      <c r="D93" s="16" t="s">
        <v>43</v>
      </c>
      <c r="E93" s="16" t="s">
        <v>62</v>
      </c>
      <c r="F93" s="16" t="s">
        <v>89</v>
      </c>
      <c r="G93" s="16" t="s">
        <v>12</v>
      </c>
      <c r="H93" s="16">
        <v>10</v>
      </c>
      <c r="I93" s="16">
        <v>990</v>
      </c>
      <c r="J93" s="16">
        <v>1030</v>
      </c>
      <c r="K93" s="17">
        <f t="shared" si="4"/>
        <v>9900</v>
      </c>
      <c r="L93" s="17">
        <f t="shared" si="5"/>
        <v>10300</v>
      </c>
      <c r="M93" s="17">
        <f t="shared" si="6"/>
        <v>400</v>
      </c>
      <c r="N93" s="17" t="str">
        <f t="shared" si="7"/>
        <v>profit</v>
      </c>
    </row>
    <row r="94" spans="1:14" ht="15.6" thickTop="1" thickBot="1" x14ac:dyDescent="0.35">
      <c r="A94" s="15">
        <v>45475</v>
      </c>
      <c r="B94" s="15" t="s">
        <v>65</v>
      </c>
      <c r="C94" s="16" t="s">
        <v>140</v>
      </c>
      <c r="D94" s="16" t="s">
        <v>43</v>
      </c>
      <c r="E94" s="16" t="s">
        <v>62</v>
      </c>
      <c r="F94" s="16" t="s">
        <v>69</v>
      </c>
      <c r="G94" s="16" t="s">
        <v>8</v>
      </c>
      <c r="H94" s="16">
        <v>15</v>
      </c>
      <c r="I94" s="16">
        <v>910</v>
      </c>
      <c r="J94" s="16">
        <v>916</v>
      </c>
      <c r="K94" s="17">
        <f t="shared" si="4"/>
        <v>13650</v>
      </c>
      <c r="L94" s="17">
        <f t="shared" si="5"/>
        <v>13740</v>
      </c>
      <c r="M94" s="17">
        <f t="shared" si="6"/>
        <v>90</v>
      </c>
      <c r="N94" s="17" t="str">
        <f t="shared" si="7"/>
        <v>profit</v>
      </c>
    </row>
    <row r="95" spans="1:14" ht="15.6" thickTop="1" thickBot="1" x14ac:dyDescent="0.35">
      <c r="A95" s="15">
        <v>45547</v>
      </c>
      <c r="B95" s="15" t="s">
        <v>94</v>
      </c>
      <c r="C95" s="16" t="s">
        <v>99</v>
      </c>
      <c r="D95" s="16" t="s">
        <v>43</v>
      </c>
      <c r="E95" s="16" t="s">
        <v>62</v>
      </c>
      <c r="F95" s="16" t="s">
        <v>100</v>
      </c>
      <c r="G95" s="16" t="s">
        <v>8</v>
      </c>
      <c r="H95" s="16">
        <v>12</v>
      </c>
      <c r="I95" s="16">
        <v>707</v>
      </c>
      <c r="J95" s="16">
        <v>1203</v>
      </c>
      <c r="K95" s="17">
        <f t="shared" si="4"/>
        <v>8484</v>
      </c>
      <c r="L95" s="17">
        <f t="shared" si="5"/>
        <v>14436</v>
      </c>
      <c r="M95" s="17">
        <f t="shared" si="6"/>
        <v>5952</v>
      </c>
      <c r="N95" s="17" t="str">
        <f t="shared" si="7"/>
        <v>profit</v>
      </c>
    </row>
    <row r="96" spans="1:14" ht="15.6" thickTop="1" thickBot="1" x14ac:dyDescent="0.35">
      <c r="A96" s="15">
        <v>45548</v>
      </c>
      <c r="B96" s="15" t="s">
        <v>94</v>
      </c>
      <c r="C96" s="16" t="s">
        <v>101</v>
      </c>
      <c r="D96" s="16" t="s">
        <v>43</v>
      </c>
      <c r="E96" s="16" t="s">
        <v>62</v>
      </c>
      <c r="F96" s="16" t="s">
        <v>102</v>
      </c>
      <c r="G96" s="16" t="s">
        <v>8</v>
      </c>
      <c r="H96" s="16">
        <v>13</v>
      </c>
      <c r="I96" s="16">
        <v>515</v>
      </c>
      <c r="J96" s="16">
        <v>1095</v>
      </c>
      <c r="K96" s="17">
        <f t="shared" si="4"/>
        <v>6695</v>
      </c>
      <c r="L96" s="17">
        <f t="shared" si="5"/>
        <v>14235</v>
      </c>
      <c r="M96" s="17">
        <f t="shared" si="6"/>
        <v>7540</v>
      </c>
      <c r="N96" s="17" t="str">
        <f t="shared" si="7"/>
        <v>profit</v>
      </c>
    </row>
    <row r="97" spans="1:14" ht="15.6" thickTop="1" thickBot="1" x14ac:dyDescent="0.35">
      <c r="A97" s="15">
        <v>45550</v>
      </c>
      <c r="B97" s="15" t="s">
        <v>94</v>
      </c>
      <c r="C97" s="16" t="s">
        <v>103</v>
      </c>
      <c r="D97" s="16" t="s">
        <v>43</v>
      </c>
      <c r="E97" s="16" t="s">
        <v>62</v>
      </c>
      <c r="F97" s="16" t="s">
        <v>69</v>
      </c>
      <c r="G97" s="16" t="s">
        <v>8</v>
      </c>
      <c r="H97" s="16">
        <v>12</v>
      </c>
      <c r="I97" s="16">
        <v>671</v>
      </c>
      <c r="J97" s="16">
        <v>850</v>
      </c>
      <c r="K97" s="17">
        <f t="shared" si="4"/>
        <v>8052</v>
      </c>
      <c r="L97" s="17">
        <f t="shared" si="5"/>
        <v>10200</v>
      </c>
      <c r="M97" s="17">
        <f t="shared" si="6"/>
        <v>2148</v>
      </c>
      <c r="N97" s="17" t="str">
        <f t="shared" si="7"/>
        <v>profit</v>
      </c>
    </row>
    <row r="98" spans="1:14" ht="15.6" thickTop="1" thickBot="1" x14ac:dyDescent="0.35">
      <c r="A98" s="15">
        <v>45551</v>
      </c>
      <c r="B98" s="15" t="s">
        <v>94</v>
      </c>
      <c r="C98" s="16" t="s">
        <v>104</v>
      </c>
      <c r="D98" s="16" t="s">
        <v>43</v>
      </c>
      <c r="E98" s="16" t="s">
        <v>62</v>
      </c>
      <c r="F98" s="16" t="s">
        <v>85</v>
      </c>
      <c r="G98" s="16" t="s">
        <v>8</v>
      </c>
      <c r="H98" s="16">
        <v>12</v>
      </c>
      <c r="I98" s="16">
        <v>500</v>
      </c>
      <c r="J98" s="16">
        <v>1276</v>
      </c>
      <c r="K98" s="17">
        <f t="shared" si="4"/>
        <v>6000</v>
      </c>
      <c r="L98" s="17">
        <f t="shared" si="5"/>
        <v>15312</v>
      </c>
      <c r="M98" s="17">
        <f t="shared" si="6"/>
        <v>9312</v>
      </c>
      <c r="N98" s="17" t="str">
        <f t="shared" si="7"/>
        <v>profit</v>
      </c>
    </row>
    <row r="99" spans="1:14" ht="15.6" thickTop="1" thickBot="1" x14ac:dyDescent="0.35">
      <c r="A99" s="15">
        <v>45552</v>
      </c>
      <c r="B99" s="15" t="s">
        <v>94</v>
      </c>
      <c r="C99" s="16" t="s">
        <v>105</v>
      </c>
      <c r="D99" s="16" t="s">
        <v>43</v>
      </c>
      <c r="E99" s="16" t="s">
        <v>62</v>
      </c>
      <c r="F99" s="16" t="s">
        <v>60</v>
      </c>
      <c r="G99" s="16" t="s">
        <v>8</v>
      </c>
      <c r="H99" s="16">
        <v>18</v>
      </c>
      <c r="I99" s="16">
        <v>602</v>
      </c>
      <c r="J99" s="16">
        <v>1401</v>
      </c>
      <c r="K99" s="17">
        <f t="shared" si="4"/>
        <v>10836</v>
      </c>
      <c r="L99" s="17">
        <f t="shared" si="5"/>
        <v>25218</v>
      </c>
      <c r="M99" s="17">
        <f t="shared" si="6"/>
        <v>14382</v>
      </c>
      <c r="N99" s="17" t="str">
        <f t="shared" si="7"/>
        <v>profit</v>
      </c>
    </row>
    <row r="100" spans="1:14" ht="15.6" thickTop="1" thickBot="1" x14ac:dyDescent="0.35">
      <c r="A100" s="15">
        <v>45553</v>
      </c>
      <c r="B100" s="15" t="s">
        <v>94</v>
      </c>
      <c r="C100" s="16" t="s">
        <v>106</v>
      </c>
      <c r="D100" s="16" t="s">
        <v>43</v>
      </c>
      <c r="E100" s="16" t="s">
        <v>62</v>
      </c>
      <c r="F100" s="16" t="s">
        <v>64</v>
      </c>
      <c r="G100" s="16" t="s">
        <v>8</v>
      </c>
      <c r="H100" s="16">
        <v>18</v>
      </c>
      <c r="I100" s="16">
        <v>629</v>
      </c>
      <c r="J100" s="16">
        <v>945</v>
      </c>
      <c r="K100" s="17">
        <f t="shared" si="4"/>
        <v>11322</v>
      </c>
      <c r="L100" s="17">
        <f t="shared" si="5"/>
        <v>17010</v>
      </c>
      <c r="M100" s="17">
        <f t="shared" si="6"/>
        <v>5688</v>
      </c>
      <c r="N100" s="17" t="str">
        <f t="shared" si="7"/>
        <v>profit</v>
      </c>
    </row>
    <row r="101" spans="1:14" ht="15.6" thickTop="1" thickBot="1" x14ac:dyDescent="0.35">
      <c r="A101" s="15">
        <v>45562</v>
      </c>
      <c r="B101" s="15" t="s">
        <v>94</v>
      </c>
      <c r="C101" s="16" t="s">
        <v>107</v>
      </c>
      <c r="D101" s="16" t="s">
        <v>43</v>
      </c>
      <c r="E101" s="16" t="s">
        <v>44</v>
      </c>
      <c r="F101" s="16" t="s">
        <v>60</v>
      </c>
      <c r="G101" s="16" t="s">
        <v>12</v>
      </c>
      <c r="H101" s="16">
        <v>17</v>
      </c>
      <c r="I101" s="16">
        <v>565</v>
      </c>
      <c r="J101" s="16">
        <v>1281</v>
      </c>
      <c r="K101" s="17">
        <f t="shared" si="4"/>
        <v>9605</v>
      </c>
      <c r="L101" s="17">
        <f t="shared" si="5"/>
        <v>21777</v>
      </c>
      <c r="M101" s="17">
        <f t="shared" si="6"/>
        <v>12172</v>
      </c>
      <c r="N101" s="17" t="str">
        <f t="shared" si="7"/>
        <v>profit</v>
      </c>
    </row>
    <row r="102" spans="1:14" ht="15.6" thickTop="1" thickBot="1" x14ac:dyDescent="0.35">
      <c r="A102" s="15">
        <v>45564</v>
      </c>
      <c r="B102" s="15" t="s">
        <v>94</v>
      </c>
      <c r="C102" s="16" t="s">
        <v>108</v>
      </c>
      <c r="D102" s="16" t="s">
        <v>43</v>
      </c>
      <c r="E102" s="16" t="s">
        <v>44</v>
      </c>
      <c r="F102" s="16" t="s">
        <v>64</v>
      </c>
      <c r="G102" s="16" t="s">
        <v>8</v>
      </c>
      <c r="H102" s="16">
        <v>10</v>
      </c>
      <c r="I102" s="16">
        <v>917</v>
      </c>
      <c r="J102" s="16">
        <v>1107</v>
      </c>
      <c r="K102" s="17">
        <f t="shared" si="4"/>
        <v>9170</v>
      </c>
      <c r="L102" s="17">
        <f t="shared" si="5"/>
        <v>11070</v>
      </c>
      <c r="M102" s="17">
        <f t="shared" si="6"/>
        <v>1900</v>
      </c>
      <c r="N102" s="17" t="str">
        <f t="shared" si="7"/>
        <v>profit</v>
      </c>
    </row>
    <row r="103" spans="1:14" ht="15.6" thickTop="1" thickBot="1" x14ac:dyDescent="0.35">
      <c r="A103" s="15">
        <v>45566</v>
      </c>
      <c r="B103" s="15" t="s">
        <v>109</v>
      </c>
      <c r="C103" s="16" t="s">
        <v>110</v>
      </c>
      <c r="D103" s="16" t="s">
        <v>43</v>
      </c>
      <c r="E103" s="16" t="s">
        <v>44</v>
      </c>
      <c r="F103" s="16" t="s">
        <v>89</v>
      </c>
      <c r="G103" s="16" t="s">
        <v>8</v>
      </c>
      <c r="H103" s="16">
        <v>18</v>
      </c>
      <c r="I103" s="16">
        <v>867</v>
      </c>
      <c r="J103" s="16">
        <v>875</v>
      </c>
      <c r="K103" s="17">
        <f t="shared" si="4"/>
        <v>15606</v>
      </c>
      <c r="L103" s="17">
        <f t="shared" si="5"/>
        <v>15750</v>
      </c>
      <c r="M103" s="17">
        <f t="shared" si="6"/>
        <v>144</v>
      </c>
      <c r="N103" s="17" t="str">
        <f t="shared" si="7"/>
        <v>profit</v>
      </c>
    </row>
    <row r="104" spans="1:14" ht="15.6" thickTop="1" thickBot="1" x14ac:dyDescent="0.35">
      <c r="A104" s="15">
        <v>45567</v>
      </c>
      <c r="B104" s="15" t="s">
        <v>109</v>
      </c>
      <c r="C104" s="16" t="s">
        <v>111</v>
      </c>
      <c r="D104" s="16" t="s">
        <v>43</v>
      </c>
      <c r="E104" s="16" t="s">
        <v>44</v>
      </c>
      <c r="F104" s="16" t="s">
        <v>85</v>
      </c>
      <c r="G104" s="16" t="s">
        <v>8</v>
      </c>
      <c r="H104" s="16">
        <v>10</v>
      </c>
      <c r="I104" s="16">
        <v>757</v>
      </c>
      <c r="J104" s="16">
        <v>885</v>
      </c>
      <c r="K104" s="17">
        <f t="shared" si="4"/>
        <v>7570</v>
      </c>
      <c r="L104" s="17">
        <f t="shared" si="5"/>
        <v>8850</v>
      </c>
      <c r="M104" s="17">
        <f t="shared" si="6"/>
        <v>1280</v>
      </c>
      <c r="N104" s="17" t="str">
        <f t="shared" si="7"/>
        <v>profit</v>
      </c>
    </row>
    <row r="105" spans="1:14" ht="15.6" thickTop="1" thickBot="1" x14ac:dyDescent="0.35">
      <c r="A105" s="15">
        <v>45568</v>
      </c>
      <c r="B105" s="15" t="s">
        <v>109</v>
      </c>
      <c r="C105" s="16" t="s">
        <v>112</v>
      </c>
      <c r="D105" s="16" t="s">
        <v>43</v>
      </c>
      <c r="E105" s="16" t="s">
        <v>44</v>
      </c>
      <c r="F105" s="16" t="s">
        <v>64</v>
      </c>
      <c r="G105" s="16" t="s">
        <v>8</v>
      </c>
      <c r="H105" s="16">
        <v>18</v>
      </c>
      <c r="I105" s="16">
        <v>668</v>
      </c>
      <c r="J105" s="16">
        <v>1366</v>
      </c>
      <c r="K105" s="17">
        <f t="shared" si="4"/>
        <v>12024</v>
      </c>
      <c r="L105" s="17">
        <f t="shared" si="5"/>
        <v>24588</v>
      </c>
      <c r="M105" s="17">
        <f t="shared" si="6"/>
        <v>12564</v>
      </c>
      <c r="N105" s="17" t="str">
        <f t="shared" si="7"/>
        <v>profit</v>
      </c>
    </row>
    <row r="106" spans="1:14" ht="15.6" thickTop="1" thickBot="1" x14ac:dyDescent="0.35">
      <c r="A106" s="15">
        <v>45580</v>
      </c>
      <c r="B106" s="15" t="s">
        <v>109</v>
      </c>
      <c r="C106" s="16" t="s">
        <v>113</v>
      </c>
      <c r="D106" s="16" t="s">
        <v>43</v>
      </c>
      <c r="E106" s="16" t="s">
        <v>62</v>
      </c>
      <c r="F106" s="16" t="s">
        <v>55</v>
      </c>
      <c r="G106" s="16" t="s">
        <v>12</v>
      </c>
      <c r="H106" s="16">
        <v>20</v>
      </c>
      <c r="I106" s="16">
        <v>882</v>
      </c>
      <c r="J106" s="16">
        <v>1193</v>
      </c>
      <c r="K106" s="17">
        <f t="shared" si="4"/>
        <v>17640</v>
      </c>
      <c r="L106" s="17">
        <f t="shared" si="5"/>
        <v>23860</v>
      </c>
      <c r="M106" s="17">
        <f t="shared" si="6"/>
        <v>6220</v>
      </c>
      <c r="N106" s="17" t="str">
        <f t="shared" si="7"/>
        <v>profit</v>
      </c>
    </row>
    <row r="107" spans="1:14" ht="15.6" thickTop="1" thickBot="1" x14ac:dyDescent="0.35">
      <c r="A107" s="15">
        <v>45488</v>
      </c>
      <c r="B107" s="15" t="s">
        <v>65</v>
      </c>
      <c r="C107" s="16" t="s">
        <v>141</v>
      </c>
      <c r="D107" s="16" t="s">
        <v>71</v>
      </c>
      <c r="E107" s="16" t="s">
        <v>10</v>
      </c>
      <c r="F107" s="16" t="s">
        <v>64</v>
      </c>
      <c r="G107" s="16" t="s">
        <v>8</v>
      </c>
      <c r="H107" s="16">
        <v>26</v>
      </c>
      <c r="I107" s="16">
        <v>627</v>
      </c>
      <c r="J107" s="16">
        <v>1416</v>
      </c>
      <c r="K107" s="17">
        <f t="shared" si="4"/>
        <v>16302</v>
      </c>
      <c r="L107" s="17">
        <f t="shared" si="5"/>
        <v>36816</v>
      </c>
      <c r="M107" s="17">
        <f t="shared" si="6"/>
        <v>20514</v>
      </c>
      <c r="N107" s="17" t="str">
        <f t="shared" si="7"/>
        <v>profit</v>
      </c>
    </row>
    <row r="108" spans="1:14" ht="15.6" thickTop="1" thickBot="1" x14ac:dyDescent="0.35">
      <c r="A108" s="15">
        <v>45581</v>
      </c>
      <c r="B108" s="15" t="s">
        <v>109</v>
      </c>
      <c r="C108" s="16" t="s">
        <v>114</v>
      </c>
      <c r="D108" s="16" t="s">
        <v>43</v>
      </c>
      <c r="E108" s="16" t="s">
        <v>62</v>
      </c>
      <c r="F108" s="16" t="s">
        <v>51</v>
      </c>
      <c r="G108" s="16" t="s">
        <v>12</v>
      </c>
      <c r="H108" s="16">
        <v>17</v>
      </c>
      <c r="I108" s="16">
        <v>739</v>
      </c>
      <c r="J108" s="16">
        <v>826</v>
      </c>
      <c r="K108" s="17">
        <f t="shared" si="4"/>
        <v>12563</v>
      </c>
      <c r="L108" s="17">
        <f t="shared" si="5"/>
        <v>14042</v>
      </c>
      <c r="M108" s="17">
        <f t="shared" si="6"/>
        <v>1479</v>
      </c>
      <c r="N108" s="17" t="str">
        <f t="shared" si="7"/>
        <v>profit</v>
      </c>
    </row>
    <row r="109" spans="1:14" ht="15.6" thickTop="1" thickBot="1" x14ac:dyDescent="0.35">
      <c r="A109" s="15">
        <v>45582</v>
      </c>
      <c r="B109" s="15" t="s">
        <v>109</v>
      </c>
      <c r="C109" s="16" t="s">
        <v>115</v>
      </c>
      <c r="D109" s="16" t="s">
        <v>43</v>
      </c>
      <c r="E109" s="16" t="s">
        <v>62</v>
      </c>
      <c r="F109" s="16" t="s">
        <v>100</v>
      </c>
      <c r="G109" s="16" t="s">
        <v>12</v>
      </c>
      <c r="H109" s="16">
        <v>15</v>
      </c>
      <c r="I109" s="16">
        <v>563</v>
      </c>
      <c r="J109" s="16">
        <v>1069</v>
      </c>
      <c r="K109" s="17">
        <f t="shared" si="4"/>
        <v>8445</v>
      </c>
      <c r="L109" s="17">
        <f t="shared" si="5"/>
        <v>16035</v>
      </c>
      <c r="M109" s="17">
        <f t="shared" si="6"/>
        <v>7590</v>
      </c>
      <c r="N109" s="17" t="str">
        <f t="shared" si="7"/>
        <v>profit</v>
      </c>
    </row>
    <row r="110" spans="1:14" ht="15.6" thickTop="1" thickBot="1" x14ac:dyDescent="0.35">
      <c r="A110" s="15">
        <v>45584</v>
      </c>
      <c r="B110" s="15" t="s">
        <v>109</v>
      </c>
      <c r="C110" s="16" t="s">
        <v>116</v>
      </c>
      <c r="D110" s="16" t="s">
        <v>43</v>
      </c>
      <c r="E110" s="16" t="s">
        <v>62</v>
      </c>
      <c r="F110" s="16" t="s">
        <v>60</v>
      </c>
      <c r="G110" s="16" t="s">
        <v>8</v>
      </c>
      <c r="H110" s="16">
        <v>15</v>
      </c>
      <c r="I110" s="16">
        <v>662</v>
      </c>
      <c r="J110" s="16">
        <v>1183</v>
      </c>
      <c r="K110" s="17">
        <f t="shared" si="4"/>
        <v>9930</v>
      </c>
      <c r="L110" s="17">
        <f t="shared" si="5"/>
        <v>17745</v>
      </c>
      <c r="M110" s="17">
        <f t="shared" si="6"/>
        <v>7815</v>
      </c>
      <c r="N110" s="17" t="str">
        <f t="shared" si="7"/>
        <v>profit</v>
      </c>
    </row>
    <row r="111" spans="1:14" ht="15.6" thickTop="1" thickBot="1" x14ac:dyDescent="0.35">
      <c r="A111" s="15">
        <v>45585</v>
      </c>
      <c r="B111" s="15" t="s">
        <v>109</v>
      </c>
      <c r="C111" s="16" t="s">
        <v>117</v>
      </c>
      <c r="D111" s="16" t="s">
        <v>43</v>
      </c>
      <c r="E111" s="16" t="s">
        <v>62</v>
      </c>
      <c r="F111" s="16" t="s">
        <v>64</v>
      </c>
      <c r="G111" s="16" t="s">
        <v>8</v>
      </c>
      <c r="H111" s="16">
        <v>16</v>
      </c>
      <c r="I111" s="16">
        <v>846</v>
      </c>
      <c r="J111" s="16">
        <v>1375</v>
      </c>
      <c r="K111" s="17">
        <f t="shared" si="4"/>
        <v>13536</v>
      </c>
      <c r="L111" s="17">
        <f t="shared" si="5"/>
        <v>22000</v>
      </c>
      <c r="M111" s="17">
        <f t="shared" si="6"/>
        <v>8464</v>
      </c>
      <c r="N111" s="17" t="str">
        <f t="shared" si="7"/>
        <v>profit</v>
      </c>
    </row>
    <row r="112" spans="1:14" ht="15.6" thickTop="1" thickBot="1" x14ac:dyDescent="0.35">
      <c r="A112" s="15">
        <v>45587</v>
      </c>
      <c r="B112" s="15" t="s">
        <v>109</v>
      </c>
      <c r="C112" s="16" t="s">
        <v>118</v>
      </c>
      <c r="D112" s="16" t="s">
        <v>43</v>
      </c>
      <c r="E112" s="16" t="s">
        <v>62</v>
      </c>
      <c r="F112" s="16" t="s">
        <v>89</v>
      </c>
      <c r="G112" s="16" t="s">
        <v>8</v>
      </c>
      <c r="H112" s="16">
        <v>14</v>
      </c>
      <c r="I112" s="16">
        <v>777</v>
      </c>
      <c r="J112" s="16">
        <v>1192</v>
      </c>
      <c r="K112" s="17">
        <f t="shared" si="4"/>
        <v>10878</v>
      </c>
      <c r="L112" s="17">
        <f t="shared" si="5"/>
        <v>16688</v>
      </c>
      <c r="M112" s="17">
        <f t="shared" si="6"/>
        <v>5810</v>
      </c>
      <c r="N112" s="17" t="str">
        <f t="shared" si="7"/>
        <v>profit</v>
      </c>
    </row>
    <row r="113" spans="1:14" ht="15.6" thickTop="1" thickBot="1" x14ac:dyDescent="0.35">
      <c r="A113" s="15">
        <v>45659</v>
      </c>
      <c r="B113" s="15" t="s">
        <v>119</v>
      </c>
      <c r="C113" s="16" t="s">
        <v>120</v>
      </c>
      <c r="D113" s="16" t="s">
        <v>43</v>
      </c>
      <c r="E113" s="16" t="s">
        <v>44</v>
      </c>
      <c r="F113" s="16" t="s">
        <v>51</v>
      </c>
      <c r="G113" s="16" t="s">
        <v>8</v>
      </c>
      <c r="H113" s="16">
        <v>16</v>
      </c>
      <c r="I113" s="16">
        <v>632</v>
      </c>
      <c r="J113" s="16">
        <v>835</v>
      </c>
      <c r="K113" s="17">
        <f t="shared" si="4"/>
        <v>10112</v>
      </c>
      <c r="L113" s="17">
        <f t="shared" si="5"/>
        <v>13360</v>
      </c>
      <c r="M113" s="17">
        <f t="shared" si="6"/>
        <v>3248</v>
      </c>
      <c r="N113" s="17" t="str">
        <f t="shared" si="7"/>
        <v>profit</v>
      </c>
    </row>
    <row r="114" spans="1:14" ht="15.6" thickTop="1" thickBot="1" x14ac:dyDescent="0.35">
      <c r="A114" s="15">
        <v>45661</v>
      </c>
      <c r="B114" s="15" t="s">
        <v>119</v>
      </c>
      <c r="C114" s="16" t="s">
        <v>124</v>
      </c>
      <c r="D114" s="16" t="s">
        <v>43</v>
      </c>
      <c r="E114" s="16" t="s">
        <v>44</v>
      </c>
      <c r="F114" s="16" t="s">
        <v>7</v>
      </c>
      <c r="G114" s="16" t="s">
        <v>8</v>
      </c>
      <c r="H114" s="16">
        <v>11</v>
      </c>
      <c r="I114" s="16">
        <v>731</v>
      </c>
      <c r="J114" s="16">
        <v>1311</v>
      </c>
      <c r="K114" s="17">
        <f t="shared" si="4"/>
        <v>8041</v>
      </c>
      <c r="L114" s="17">
        <f t="shared" si="5"/>
        <v>14421</v>
      </c>
      <c r="M114" s="17">
        <f t="shared" si="6"/>
        <v>6380</v>
      </c>
      <c r="N114" s="17" t="str">
        <f t="shared" si="7"/>
        <v>profit</v>
      </c>
    </row>
    <row r="115" spans="1:14" ht="15.6" thickTop="1" thickBot="1" x14ac:dyDescent="0.35">
      <c r="A115" s="15">
        <v>45663</v>
      </c>
      <c r="B115" s="15" t="s">
        <v>119</v>
      </c>
      <c r="C115" s="16" t="s">
        <v>125</v>
      </c>
      <c r="D115" s="16" t="s">
        <v>43</v>
      </c>
      <c r="E115" s="16" t="s">
        <v>44</v>
      </c>
      <c r="F115" s="16" t="s">
        <v>47</v>
      </c>
      <c r="G115" s="16" t="s">
        <v>8</v>
      </c>
      <c r="H115" s="16">
        <v>10</v>
      </c>
      <c r="I115" s="16">
        <v>774</v>
      </c>
      <c r="J115" s="16">
        <v>1472</v>
      </c>
      <c r="K115" s="17">
        <f t="shared" si="4"/>
        <v>7740</v>
      </c>
      <c r="L115" s="17">
        <f t="shared" si="5"/>
        <v>14720</v>
      </c>
      <c r="M115" s="17">
        <f t="shared" si="6"/>
        <v>6980</v>
      </c>
      <c r="N115" s="17" t="str">
        <f t="shared" si="7"/>
        <v>profit</v>
      </c>
    </row>
    <row r="116" spans="1:14" ht="15.6" thickTop="1" thickBot="1" x14ac:dyDescent="0.35">
      <c r="A116" s="15">
        <v>45665</v>
      </c>
      <c r="B116" s="15" t="s">
        <v>119</v>
      </c>
      <c r="C116" s="16" t="s">
        <v>126</v>
      </c>
      <c r="D116" s="16" t="s">
        <v>43</v>
      </c>
      <c r="E116" s="16" t="s">
        <v>44</v>
      </c>
      <c r="F116" s="16" t="s">
        <v>51</v>
      </c>
      <c r="G116" s="16" t="s">
        <v>12</v>
      </c>
      <c r="H116" s="16">
        <v>11</v>
      </c>
      <c r="I116" s="16">
        <v>986</v>
      </c>
      <c r="J116" s="16">
        <v>1228</v>
      </c>
      <c r="K116" s="17">
        <f t="shared" si="4"/>
        <v>10846</v>
      </c>
      <c r="L116" s="17">
        <f t="shared" si="5"/>
        <v>13508</v>
      </c>
      <c r="M116" s="17">
        <f t="shared" si="6"/>
        <v>2662</v>
      </c>
      <c r="N116" s="17" t="str">
        <f t="shared" si="7"/>
        <v>profit</v>
      </c>
    </row>
    <row r="117" spans="1:14" ht="15.6" thickTop="1" thickBot="1" x14ac:dyDescent="0.35">
      <c r="A117" s="15">
        <v>45678</v>
      </c>
      <c r="B117" s="15" t="s">
        <v>119</v>
      </c>
      <c r="C117" s="16" t="s">
        <v>127</v>
      </c>
      <c r="D117" s="16" t="s">
        <v>43</v>
      </c>
      <c r="E117" s="16" t="s">
        <v>62</v>
      </c>
      <c r="F117" s="16" t="s">
        <v>45</v>
      </c>
      <c r="G117" s="16" t="s">
        <v>8</v>
      </c>
      <c r="H117" s="16">
        <v>11</v>
      </c>
      <c r="I117" s="16">
        <v>519</v>
      </c>
      <c r="J117" s="16">
        <v>1143</v>
      </c>
      <c r="K117" s="17">
        <f t="shared" si="4"/>
        <v>5709</v>
      </c>
      <c r="L117" s="17">
        <f t="shared" si="5"/>
        <v>12573</v>
      </c>
      <c r="M117" s="17">
        <f t="shared" si="6"/>
        <v>6864</v>
      </c>
      <c r="N117" s="17" t="str">
        <f t="shared" si="7"/>
        <v>profit</v>
      </c>
    </row>
    <row r="118" spans="1:14" ht="15.6" thickTop="1" thickBot="1" x14ac:dyDescent="0.35">
      <c r="A118" s="15">
        <v>45679</v>
      </c>
      <c r="B118" s="15" t="s">
        <v>119</v>
      </c>
      <c r="C118" s="16" t="s">
        <v>128</v>
      </c>
      <c r="D118" s="16" t="s">
        <v>43</v>
      </c>
      <c r="E118" s="16" t="s">
        <v>62</v>
      </c>
      <c r="F118" s="16" t="s">
        <v>47</v>
      </c>
      <c r="G118" s="16" t="s">
        <v>8</v>
      </c>
      <c r="H118" s="16">
        <v>20</v>
      </c>
      <c r="I118" s="16">
        <v>597</v>
      </c>
      <c r="J118" s="16">
        <v>1175</v>
      </c>
      <c r="K118" s="17">
        <f t="shared" si="4"/>
        <v>11940</v>
      </c>
      <c r="L118" s="17">
        <f t="shared" si="5"/>
        <v>23500</v>
      </c>
      <c r="M118" s="17">
        <f t="shared" si="6"/>
        <v>11560</v>
      </c>
      <c r="N118" s="17" t="str">
        <f t="shared" si="7"/>
        <v>profit</v>
      </c>
    </row>
    <row r="119" spans="1:14" ht="15.6" thickTop="1" thickBot="1" x14ac:dyDescent="0.35">
      <c r="A119" s="15">
        <v>45680</v>
      </c>
      <c r="B119" s="15" t="s">
        <v>119</v>
      </c>
      <c r="C119" s="16" t="s">
        <v>129</v>
      </c>
      <c r="D119" s="16" t="s">
        <v>43</v>
      </c>
      <c r="E119" s="16" t="s">
        <v>62</v>
      </c>
      <c r="F119" s="16" t="s">
        <v>49</v>
      </c>
      <c r="G119" s="16" t="s">
        <v>8</v>
      </c>
      <c r="H119" s="16">
        <v>18</v>
      </c>
      <c r="I119" s="16">
        <v>632</v>
      </c>
      <c r="J119" s="16">
        <v>1384</v>
      </c>
      <c r="K119" s="17">
        <f t="shared" si="4"/>
        <v>11376</v>
      </c>
      <c r="L119" s="17">
        <f t="shared" si="5"/>
        <v>24912</v>
      </c>
      <c r="M119" s="17">
        <f t="shared" si="6"/>
        <v>13536</v>
      </c>
      <c r="N119" s="17" t="str">
        <f t="shared" si="7"/>
        <v>profit</v>
      </c>
    </row>
    <row r="120" spans="1:14" ht="15.6" thickTop="1" thickBot="1" x14ac:dyDescent="0.35">
      <c r="A120" s="15">
        <v>45681</v>
      </c>
      <c r="B120" s="15" t="s">
        <v>119</v>
      </c>
      <c r="C120" s="16" t="s">
        <v>130</v>
      </c>
      <c r="D120" s="16" t="s">
        <v>43</v>
      </c>
      <c r="E120" s="16" t="s">
        <v>62</v>
      </c>
      <c r="F120" s="16" t="s">
        <v>51</v>
      </c>
      <c r="G120" s="16" t="s">
        <v>8</v>
      </c>
      <c r="H120" s="16">
        <v>17</v>
      </c>
      <c r="I120" s="16">
        <v>649</v>
      </c>
      <c r="J120" s="16">
        <v>1392</v>
      </c>
      <c r="K120" s="17">
        <f t="shared" si="4"/>
        <v>11033</v>
      </c>
      <c r="L120" s="17">
        <f t="shared" si="5"/>
        <v>23664</v>
      </c>
      <c r="M120" s="17">
        <f t="shared" si="6"/>
        <v>12631</v>
      </c>
      <c r="N120" s="17" t="str">
        <f t="shared" si="7"/>
        <v>profit</v>
      </c>
    </row>
    <row r="121" spans="1:14" ht="15.6" thickTop="1" thickBot="1" x14ac:dyDescent="0.35">
      <c r="A121" s="15">
        <v>45682</v>
      </c>
      <c r="B121" s="15" t="s">
        <v>119</v>
      </c>
      <c r="C121" s="16" t="s">
        <v>131</v>
      </c>
      <c r="D121" s="16" t="s">
        <v>43</v>
      </c>
      <c r="E121" s="16" t="s">
        <v>62</v>
      </c>
      <c r="F121" s="16" t="s">
        <v>51</v>
      </c>
      <c r="G121" s="16" t="s">
        <v>8</v>
      </c>
      <c r="H121" s="16">
        <v>18</v>
      </c>
      <c r="I121" s="16">
        <v>587</v>
      </c>
      <c r="J121" s="16">
        <v>905</v>
      </c>
      <c r="K121" s="17">
        <f t="shared" si="4"/>
        <v>10566</v>
      </c>
      <c r="L121" s="17">
        <f t="shared" si="5"/>
        <v>16290</v>
      </c>
      <c r="M121" s="17">
        <f t="shared" si="6"/>
        <v>5724</v>
      </c>
      <c r="N121" s="17" t="str">
        <f t="shared" si="7"/>
        <v>profit</v>
      </c>
    </row>
    <row r="122" spans="1:14" ht="15.6" thickTop="1" thickBot="1" x14ac:dyDescent="0.35">
      <c r="A122" s="15">
        <v>45684</v>
      </c>
      <c r="B122" s="15" t="s">
        <v>119</v>
      </c>
      <c r="C122" s="16" t="s">
        <v>133</v>
      </c>
      <c r="D122" s="16" t="s">
        <v>43</v>
      </c>
      <c r="E122" s="16" t="s">
        <v>62</v>
      </c>
      <c r="F122" s="16" t="s">
        <v>55</v>
      </c>
      <c r="G122" s="16" t="s">
        <v>12</v>
      </c>
      <c r="H122" s="16">
        <v>19</v>
      </c>
      <c r="I122" s="16">
        <v>701</v>
      </c>
      <c r="J122" s="16">
        <v>1136</v>
      </c>
      <c r="K122" s="17">
        <f t="shared" si="4"/>
        <v>13319</v>
      </c>
      <c r="L122" s="17">
        <f t="shared" si="5"/>
        <v>21584</v>
      </c>
      <c r="M122" s="17">
        <f t="shared" si="6"/>
        <v>8265</v>
      </c>
      <c r="N122" s="17" t="str">
        <f t="shared" si="7"/>
        <v>profit</v>
      </c>
    </row>
    <row r="123" spans="1:14" ht="15.6" thickTop="1" thickBot="1" x14ac:dyDescent="0.35">
      <c r="A123" s="15">
        <v>45685</v>
      </c>
      <c r="B123" s="15" t="s">
        <v>119</v>
      </c>
      <c r="C123" s="16" t="s">
        <v>134</v>
      </c>
      <c r="D123" s="16" t="s">
        <v>43</v>
      </c>
      <c r="E123" s="16" t="s">
        <v>62</v>
      </c>
      <c r="F123" s="16" t="s">
        <v>51</v>
      </c>
      <c r="G123" s="16" t="s">
        <v>12</v>
      </c>
      <c r="H123" s="16">
        <v>19</v>
      </c>
      <c r="I123" s="16">
        <v>972</v>
      </c>
      <c r="J123" s="16">
        <v>1314</v>
      </c>
      <c r="K123" s="17">
        <f t="shared" si="4"/>
        <v>18468</v>
      </c>
      <c r="L123" s="17">
        <f t="shared" si="5"/>
        <v>24966</v>
      </c>
      <c r="M123" s="17">
        <f t="shared" si="6"/>
        <v>6498</v>
      </c>
      <c r="N123" s="17" t="str">
        <f t="shared" si="7"/>
        <v>profit</v>
      </c>
    </row>
    <row r="124" spans="1:14" ht="15.6" thickTop="1" thickBot="1" x14ac:dyDescent="0.35">
      <c r="A124" s="15">
        <v>45686</v>
      </c>
      <c r="B124" s="15" t="s">
        <v>119</v>
      </c>
      <c r="C124" s="16" t="s">
        <v>135</v>
      </c>
      <c r="D124" s="16" t="s">
        <v>43</v>
      </c>
      <c r="E124" s="16" t="s">
        <v>62</v>
      </c>
      <c r="F124" s="16" t="s">
        <v>64</v>
      </c>
      <c r="G124" s="16" t="s">
        <v>12</v>
      </c>
      <c r="H124" s="16">
        <v>13</v>
      </c>
      <c r="I124" s="16">
        <v>615</v>
      </c>
      <c r="J124" s="16">
        <v>1010</v>
      </c>
      <c r="K124" s="17">
        <f t="shared" si="4"/>
        <v>7995</v>
      </c>
      <c r="L124" s="17">
        <f t="shared" si="5"/>
        <v>13130</v>
      </c>
      <c r="M124" s="17">
        <f t="shared" si="6"/>
        <v>5135</v>
      </c>
      <c r="N124" s="17" t="str">
        <f t="shared" si="7"/>
        <v>profit</v>
      </c>
    </row>
    <row r="125" spans="1:14" ht="15.6" thickTop="1" thickBot="1" x14ac:dyDescent="0.35">
      <c r="A125" s="15">
        <v>45688</v>
      </c>
      <c r="B125" s="15" t="s">
        <v>119</v>
      </c>
      <c r="C125" s="16" t="s">
        <v>136</v>
      </c>
      <c r="D125" s="16" t="s">
        <v>43</v>
      </c>
      <c r="E125" s="16" t="s">
        <v>62</v>
      </c>
      <c r="F125" s="16" t="s">
        <v>137</v>
      </c>
      <c r="G125" s="16" t="s">
        <v>12</v>
      </c>
      <c r="H125" s="16">
        <v>19</v>
      </c>
      <c r="I125" s="16">
        <v>864</v>
      </c>
      <c r="J125" s="16">
        <v>1147</v>
      </c>
      <c r="K125" s="17">
        <f t="shared" si="4"/>
        <v>16416</v>
      </c>
      <c r="L125" s="17">
        <f t="shared" si="5"/>
        <v>21793</v>
      </c>
      <c r="M125" s="17">
        <f t="shared" si="6"/>
        <v>5377</v>
      </c>
      <c r="N125" s="17" t="str">
        <f t="shared" si="7"/>
        <v>profit</v>
      </c>
    </row>
    <row r="126" spans="1:14" ht="15.6" thickTop="1" thickBot="1" x14ac:dyDescent="0.35">
      <c r="A126" s="15">
        <v>45507</v>
      </c>
      <c r="B126" s="15" t="s">
        <v>82</v>
      </c>
      <c r="C126" s="16" t="s">
        <v>142</v>
      </c>
      <c r="D126" s="16" t="s">
        <v>58</v>
      </c>
      <c r="E126" s="16" t="s">
        <v>143</v>
      </c>
      <c r="F126" s="16" t="s">
        <v>100</v>
      </c>
      <c r="G126" s="16" t="s">
        <v>12</v>
      </c>
      <c r="H126" s="16">
        <v>86</v>
      </c>
      <c r="I126" s="16">
        <v>540</v>
      </c>
      <c r="J126" s="16">
        <v>1460</v>
      </c>
      <c r="K126" s="17">
        <f t="shared" si="4"/>
        <v>46440</v>
      </c>
      <c r="L126" s="17">
        <f t="shared" si="5"/>
        <v>125560</v>
      </c>
      <c r="M126" s="17">
        <f t="shared" si="6"/>
        <v>79120</v>
      </c>
      <c r="N126" s="17" t="str">
        <f t="shared" si="7"/>
        <v>profit</v>
      </c>
    </row>
    <row r="127" spans="1:14" ht="15.6" thickTop="1" thickBot="1" x14ac:dyDescent="0.35">
      <c r="A127" s="15">
        <v>45454</v>
      </c>
      <c r="B127" s="15" t="s">
        <v>41</v>
      </c>
      <c r="C127" s="16" t="s">
        <v>42</v>
      </c>
      <c r="D127" s="16" t="s">
        <v>43</v>
      </c>
      <c r="E127" s="16" t="s">
        <v>44</v>
      </c>
      <c r="F127" s="16" t="s">
        <v>45</v>
      </c>
      <c r="G127" s="16" t="s">
        <v>8</v>
      </c>
      <c r="H127" s="16">
        <v>13</v>
      </c>
      <c r="I127" s="16">
        <v>643</v>
      </c>
      <c r="J127" s="16">
        <v>1432</v>
      </c>
      <c r="K127" s="17">
        <f t="shared" si="4"/>
        <v>8359</v>
      </c>
      <c r="L127" s="17">
        <f t="shared" si="5"/>
        <v>18616</v>
      </c>
      <c r="M127" s="17">
        <f t="shared" si="6"/>
        <v>10257</v>
      </c>
      <c r="N127" s="17" t="str">
        <f t="shared" si="7"/>
        <v>profit</v>
      </c>
    </row>
    <row r="128" spans="1:14" ht="15.6" thickTop="1" thickBot="1" x14ac:dyDescent="0.35">
      <c r="A128" s="15">
        <v>45455</v>
      </c>
      <c r="B128" s="15" t="s">
        <v>41</v>
      </c>
      <c r="C128" s="16" t="s">
        <v>46</v>
      </c>
      <c r="D128" s="16" t="s">
        <v>43</v>
      </c>
      <c r="E128" s="16" t="s">
        <v>44</v>
      </c>
      <c r="F128" s="16" t="s">
        <v>47</v>
      </c>
      <c r="G128" s="16" t="s">
        <v>8</v>
      </c>
      <c r="H128" s="16">
        <v>16</v>
      </c>
      <c r="I128" s="16">
        <v>848</v>
      </c>
      <c r="J128" s="16">
        <v>1211</v>
      </c>
      <c r="K128" s="17">
        <f t="shared" si="4"/>
        <v>13568</v>
      </c>
      <c r="L128" s="17">
        <f t="shared" si="5"/>
        <v>19376</v>
      </c>
      <c r="M128" s="17">
        <f t="shared" si="6"/>
        <v>5808</v>
      </c>
      <c r="N128" s="17" t="str">
        <f t="shared" si="7"/>
        <v>profit</v>
      </c>
    </row>
    <row r="129" spans="1:14" ht="15.6" thickTop="1" thickBot="1" x14ac:dyDescent="0.35">
      <c r="A129" s="15">
        <v>45456</v>
      </c>
      <c r="B129" s="15" t="s">
        <v>41</v>
      </c>
      <c r="C129" s="16" t="s">
        <v>48</v>
      </c>
      <c r="D129" s="16" t="s">
        <v>43</v>
      </c>
      <c r="E129" s="16" t="s">
        <v>44</v>
      </c>
      <c r="F129" s="16" t="s">
        <v>49</v>
      </c>
      <c r="G129" s="16" t="s">
        <v>8</v>
      </c>
      <c r="H129" s="16">
        <v>19</v>
      </c>
      <c r="I129" s="16">
        <v>982</v>
      </c>
      <c r="J129" s="16">
        <v>1457</v>
      </c>
      <c r="K129" s="17">
        <f t="shared" si="4"/>
        <v>18658</v>
      </c>
      <c r="L129" s="17">
        <f t="shared" si="5"/>
        <v>27683</v>
      </c>
      <c r="M129" s="17">
        <f t="shared" si="6"/>
        <v>9025</v>
      </c>
      <c r="N129" s="17" t="str">
        <f t="shared" si="7"/>
        <v>profit</v>
      </c>
    </row>
    <row r="130" spans="1:14" ht="15.6" thickTop="1" thickBot="1" x14ac:dyDescent="0.35">
      <c r="A130" s="15">
        <v>45457</v>
      </c>
      <c r="B130" s="15" t="s">
        <v>41</v>
      </c>
      <c r="C130" s="16" t="s">
        <v>50</v>
      </c>
      <c r="D130" s="16" t="s">
        <v>43</v>
      </c>
      <c r="E130" s="16" t="s">
        <v>44</v>
      </c>
      <c r="F130" s="16" t="s">
        <v>51</v>
      </c>
      <c r="G130" s="16" t="s">
        <v>8</v>
      </c>
      <c r="H130" s="16">
        <v>19</v>
      </c>
      <c r="I130" s="16">
        <v>918</v>
      </c>
      <c r="J130" s="16">
        <v>864</v>
      </c>
      <c r="K130" s="17">
        <f t="shared" ref="K130:K193" si="8">H130*I130</f>
        <v>17442</v>
      </c>
      <c r="L130" s="17">
        <f t="shared" ref="L130:L193" si="9">H130*J130</f>
        <v>16416</v>
      </c>
      <c r="M130" s="17">
        <f t="shared" ref="M130:M193" si="10">L130-K130</f>
        <v>-1026</v>
      </c>
      <c r="N130" s="17" t="str">
        <f t="shared" ref="N130:N193" si="11">IF(M130&gt;0,"profit","loss")</f>
        <v>loss</v>
      </c>
    </row>
    <row r="131" spans="1:14" ht="15.6" thickTop="1" thickBot="1" x14ac:dyDescent="0.35">
      <c r="A131" s="15">
        <v>45512</v>
      </c>
      <c r="B131" s="15" t="s">
        <v>82</v>
      </c>
      <c r="C131" s="16" t="s">
        <v>144</v>
      </c>
      <c r="D131" s="16" t="s">
        <v>43</v>
      </c>
      <c r="E131" s="16" t="s">
        <v>62</v>
      </c>
      <c r="F131" s="16" t="s">
        <v>60</v>
      </c>
      <c r="G131" s="16" t="s">
        <v>8</v>
      </c>
      <c r="H131" s="16">
        <v>10</v>
      </c>
      <c r="I131" s="16">
        <v>863</v>
      </c>
      <c r="J131" s="16">
        <v>1386</v>
      </c>
      <c r="K131" s="17">
        <f t="shared" si="8"/>
        <v>8630</v>
      </c>
      <c r="L131" s="17">
        <f t="shared" si="9"/>
        <v>13860</v>
      </c>
      <c r="M131" s="17">
        <f t="shared" si="10"/>
        <v>5230</v>
      </c>
      <c r="N131" s="17" t="str">
        <f t="shared" si="11"/>
        <v>profit</v>
      </c>
    </row>
    <row r="132" spans="1:14" ht="15.6" thickTop="1" thickBot="1" x14ac:dyDescent="0.35">
      <c r="A132" s="15">
        <v>45459</v>
      </c>
      <c r="B132" s="15" t="s">
        <v>41</v>
      </c>
      <c r="C132" s="16" t="s">
        <v>52</v>
      </c>
      <c r="D132" s="16" t="s">
        <v>43</v>
      </c>
      <c r="E132" s="16" t="s">
        <v>44</v>
      </c>
      <c r="F132" s="16" t="s">
        <v>53</v>
      </c>
      <c r="G132" s="16" t="s">
        <v>12</v>
      </c>
      <c r="H132" s="16">
        <v>17</v>
      </c>
      <c r="I132" s="16">
        <v>787</v>
      </c>
      <c r="J132" s="16">
        <v>1108</v>
      </c>
      <c r="K132" s="17">
        <f t="shared" si="8"/>
        <v>13379</v>
      </c>
      <c r="L132" s="17">
        <f t="shared" si="9"/>
        <v>18836</v>
      </c>
      <c r="M132" s="17">
        <f t="shared" si="10"/>
        <v>5457</v>
      </c>
      <c r="N132" s="17" t="str">
        <f t="shared" si="11"/>
        <v>profit</v>
      </c>
    </row>
    <row r="133" spans="1:14" ht="15.6" thickTop="1" thickBot="1" x14ac:dyDescent="0.35">
      <c r="A133" s="15">
        <v>45460</v>
      </c>
      <c r="B133" s="15" t="s">
        <v>41</v>
      </c>
      <c r="C133" s="16" t="s">
        <v>54</v>
      </c>
      <c r="D133" s="16" t="s">
        <v>43</v>
      </c>
      <c r="E133" s="16" t="s">
        <v>44</v>
      </c>
      <c r="F133" s="16" t="s">
        <v>55</v>
      </c>
      <c r="G133" s="16" t="s">
        <v>12</v>
      </c>
      <c r="H133" s="16">
        <v>15</v>
      </c>
      <c r="I133" s="16">
        <v>545</v>
      </c>
      <c r="J133" s="16">
        <v>1182</v>
      </c>
      <c r="K133" s="17">
        <f t="shared" si="8"/>
        <v>8175</v>
      </c>
      <c r="L133" s="17">
        <f t="shared" si="9"/>
        <v>17730</v>
      </c>
      <c r="M133" s="17">
        <f t="shared" si="10"/>
        <v>9555</v>
      </c>
      <c r="N133" s="17" t="str">
        <f t="shared" si="11"/>
        <v>profit</v>
      </c>
    </row>
    <row r="134" spans="1:14" ht="15.6" thickTop="1" thickBot="1" x14ac:dyDescent="0.35">
      <c r="A134" s="15">
        <v>45472</v>
      </c>
      <c r="B134" s="15" t="s">
        <v>41</v>
      </c>
      <c r="C134" s="16" t="s">
        <v>61</v>
      </c>
      <c r="D134" s="16" t="s">
        <v>43</v>
      </c>
      <c r="E134" s="16" t="s">
        <v>62</v>
      </c>
      <c r="F134" s="16" t="s">
        <v>60</v>
      </c>
      <c r="G134" s="16" t="s">
        <v>8</v>
      </c>
      <c r="H134" s="16">
        <v>11</v>
      </c>
      <c r="I134" s="16">
        <v>616</v>
      </c>
      <c r="J134" s="16">
        <v>1015</v>
      </c>
      <c r="K134" s="17">
        <f t="shared" si="8"/>
        <v>6776</v>
      </c>
      <c r="L134" s="17">
        <f t="shared" si="9"/>
        <v>11165</v>
      </c>
      <c r="M134" s="17">
        <f t="shared" si="10"/>
        <v>4389</v>
      </c>
      <c r="N134" s="17" t="str">
        <f t="shared" si="11"/>
        <v>profit</v>
      </c>
    </row>
    <row r="135" spans="1:14" ht="15.6" thickTop="1" thickBot="1" x14ac:dyDescent="0.35">
      <c r="A135" s="15">
        <v>45473</v>
      </c>
      <c r="B135" s="15" t="s">
        <v>41</v>
      </c>
      <c r="C135" s="16" t="s">
        <v>63</v>
      </c>
      <c r="D135" s="16" t="s">
        <v>43</v>
      </c>
      <c r="E135" s="16" t="s">
        <v>62</v>
      </c>
      <c r="F135" s="16" t="s">
        <v>64</v>
      </c>
      <c r="G135" s="16" t="s">
        <v>8</v>
      </c>
      <c r="H135" s="16">
        <v>16</v>
      </c>
      <c r="I135" s="16">
        <v>911</v>
      </c>
      <c r="J135" s="16">
        <v>1299</v>
      </c>
      <c r="K135" s="17">
        <f t="shared" si="8"/>
        <v>14576</v>
      </c>
      <c r="L135" s="17">
        <f t="shared" si="9"/>
        <v>20784</v>
      </c>
      <c r="M135" s="17">
        <f t="shared" si="10"/>
        <v>6208</v>
      </c>
      <c r="N135" s="17" t="str">
        <f t="shared" si="11"/>
        <v>profit</v>
      </c>
    </row>
    <row r="136" spans="1:14" ht="15.6" thickTop="1" thickBot="1" x14ac:dyDescent="0.35">
      <c r="A136" s="15">
        <v>45474</v>
      </c>
      <c r="B136" s="15" t="s">
        <v>65</v>
      </c>
      <c r="C136" s="16" t="s">
        <v>66</v>
      </c>
      <c r="D136" s="16" t="s">
        <v>43</v>
      </c>
      <c r="E136" s="16" t="s">
        <v>62</v>
      </c>
      <c r="F136" s="16" t="s">
        <v>64</v>
      </c>
      <c r="G136" s="16" t="s">
        <v>8</v>
      </c>
      <c r="H136" s="16">
        <v>19</v>
      </c>
      <c r="I136" s="16">
        <v>816</v>
      </c>
      <c r="J136" s="16">
        <v>1285</v>
      </c>
      <c r="K136" s="17">
        <f t="shared" si="8"/>
        <v>15504</v>
      </c>
      <c r="L136" s="17">
        <f t="shared" si="9"/>
        <v>24415</v>
      </c>
      <c r="M136" s="17">
        <f t="shared" si="10"/>
        <v>8911</v>
      </c>
      <c r="N136" s="17" t="str">
        <f t="shared" si="11"/>
        <v>profit</v>
      </c>
    </row>
    <row r="137" spans="1:14" ht="15.6" thickTop="1" thickBot="1" x14ac:dyDescent="0.35">
      <c r="A137" s="15">
        <v>45476</v>
      </c>
      <c r="B137" s="15" t="s">
        <v>65</v>
      </c>
      <c r="C137" s="16" t="s">
        <v>67</v>
      </c>
      <c r="D137" s="16" t="s">
        <v>43</v>
      </c>
      <c r="E137" s="16" t="s">
        <v>62</v>
      </c>
      <c r="F137" s="16" t="s">
        <v>53</v>
      </c>
      <c r="G137" s="16" t="s">
        <v>8</v>
      </c>
      <c r="H137" s="16">
        <v>16</v>
      </c>
      <c r="I137" s="16">
        <v>693</v>
      </c>
      <c r="J137" s="16">
        <v>1042</v>
      </c>
      <c r="K137" s="17">
        <f t="shared" si="8"/>
        <v>11088</v>
      </c>
      <c r="L137" s="17">
        <f t="shared" si="9"/>
        <v>16672</v>
      </c>
      <c r="M137" s="17">
        <f t="shared" si="10"/>
        <v>5584</v>
      </c>
      <c r="N137" s="17" t="str">
        <f t="shared" si="11"/>
        <v>profit</v>
      </c>
    </row>
    <row r="138" spans="1:14" ht="15.6" thickTop="1" thickBot="1" x14ac:dyDescent="0.35">
      <c r="A138" s="15">
        <v>45477</v>
      </c>
      <c r="B138" s="15" t="s">
        <v>65</v>
      </c>
      <c r="C138" s="16" t="s">
        <v>68</v>
      </c>
      <c r="D138" s="16" t="s">
        <v>43</v>
      </c>
      <c r="E138" s="16" t="s">
        <v>62</v>
      </c>
      <c r="F138" s="16" t="s">
        <v>69</v>
      </c>
      <c r="G138" s="16" t="s">
        <v>8</v>
      </c>
      <c r="H138" s="16">
        <v>14</v>
      </c>
      <c r="I138" s="16">
        <v>965</v>
      </c>
      <c r="J138" s="16">
        <v>1212</v>
      </c>
      <c r="K138" s="17">
        <f t="shared" si="8"/>
        <v>13510</v>
      </c>
      <c r="L138" s="17">
        <f t="shared" si="9"/>
        <v>16968</v>
      </c>
      <c r="M138" s="17">
        <f t="shared" si="10"/>
        <v>3458</v>
      </c>
      <c r="N138" s="17" t="str">
        <f t="shared" si="11"/>
        <v>profit</v>
      </c>
    </row>
    <row r="139" spans="1:14" ht="15.6" thickTop="1" thickBot="1" x14ac:dyDescent="0.35">
      <c r="A139" s="15">
        <v>45520</v>
      </c>
      <c r="B139" s="15" t="s">
        <v>82</v>
      </c>
      <c r="C139" s="16" t="s">
        <v>145</v>
      </c>
      <c r="D139" s="16" t="s">
        <v>71</v>
      </c>
      <c r="E139" s="16" t="s">
        <v>10</v>
      </c>
      <c r="F139" s="16" t="s">
        <v>77</v>
      </c>
      <c r="G139" s="16" t="s">
        <v>12</v>
      </c>
      <c r="H139" s="16">
        <v>26</v>
      </c>
      <c r="I139" s="16">
        <v>715</v>
      </c>
      <c r="J139" s="16">
        <v>840</v>
      </c>
      <c r="K139" s="17">
        <f t="shared" si="8"/>
        <v>18590</v>
      </c>
      <c r="L139" s="17">
        <f t="shared" si="9"/>
        <v>21840</v>
      </c>
      <c r="M139" s="17">
        <f t="shared" si="10"/>
        <v>3250</v>
      </c>
      <c r="N139" s="17" t="str">
        <f t="shared" si="11"/>
        <v>profit</v>
      </c>
    </row>
    <row r="140" spans="1:14" ht="15.6" thickTop="1" thickBot="1" x14ac:dyDescent="0.35">
      <c r="A140" s="15">
        <v>45478</v>
      </c>
      <c r="B140" s="15" t="s">
        <v>65</v>
      </c>
      <c r="C140" s="16" t="s">
        <v>73</v>
      </c>
      <c r="D140" s="16" t="s">
        <v>43</v>
      </c>
      <c r="E140" s="16" t="s">
        <v>62</v>
      </c>
      <c r="F140" s="16" t="s">
        <v>74</v>
      </c>
      <c r="G140" s="16" t="s">
        <v>8</v>
      </c>
      <c r="H140" s="16">
        <v>20</v>
      </c>
      <c r="I140" s="16">
        <v>960</v>
      </c>
      <c r="J140" s="16">
        <v>1170</v>
      </c>
      <c r="K140" s="17">
        <f t="shared" si="8"/>
        <v>19200</v>
      </c>
      <c r="L140" s="17">
        <f t="shared" si="9"/>
        <v>23400</v>
      </c>
      <c r="M140" s="17">
        <f t="shared" si="10"/>
        <v>4200</v>
      </c>
      <c r="N140" s="17" t="str">
        <f t="shared" si="11"/>
        <v>profit</v>
      </c>
    </row>
    <row r="141" spans="1:14" ht="15.6" thickTop="1" thickBot="1" x14ac:dyDescent="0.35">
      <c r="A141" s="15">
        <v>45479</v>
      </c>
      <c r="B141" s="15" t="s">
        <v>65</v>
      </c>
      <c r="C141" s="16" t="s">
        <v>75</v>
      </c>
      <c r="D141" s="16" t="s">
        <v>43</v>
      </c>
      <c r="E141" s="16" t="s">
        <v>62</v>
      </c>
      <c r="F141" s="16" t="s">
        <v>53</v>
      </c>
      <c r="G141" s="16" t="s">
        <v>12</v>
      </c>
      <c r="H141" s="16">
        <v>16</v>
      </c>
      <c r="I141" s="16">
        <v>734</v>
      </c>
      <c r="J141" s="16">
        <v>1330</v>
      </c>
      <c r="K141" s="17">
        <f t="shared" si="8"/>
        <v>11744</v>
      </c>
      <c r="L141" s="17">
        <f t="shared" si="9"/>
        <v>21280</v>
      </c>
      <c r="M141" s="17">
        <f t="shared" si="10"/>
        <v>9536</v>
      </c>
      <c r="N141" s="17" t="str">
        <f t="shared" si="11"/>
        <v>profit</v>
      </c>
    </row>
    <row r="142" spans="1:14" ht="15.6" thickTop="1" thickBot="1" x14ac:dyDescent="0.35">
      <c r="A142" s="15">
        <v>45480</v>
      </c>
      <c r="B142" s="15" t="s">
        <v>65</v>
      </c>
      <c r="C142" s="16" t="s">
        <v>76</v>
      </c>
      <c r="D142" s="16" t="s">
        <v>43</v>
      </c>
      <c r="E142" s="16" t="s">
        <v>62</v>
      </c>
      <c r="F142" s="16" t="s">
        <v>77</v>
      </c>
      <c r="G142" s="16" t="s">
        <v>12</v>
      </c>
      <c r="H142" s="16">
        <v>16</v>
      </c>
      <c r="I142" s="16">
        <v>673</v>
      </c>
      <c r="J142" s="16">
        <v>1233</v>
      </c>
      <c r="K142" s="17">
        <f t="shared" si="8"/>
        <v>10768</v>
      </c>
      <c r="L142" s="17">
        <f t="shared" si="9"/>
        <v>19728</v>
      </c>
      <c r="M142" s="17">
        <f t="shared" si="10"/>
        <v>8960</v>
      </c>
      <c r="N142" s="17" t="str">
        <f t="shared" si="11"/>
        <v>profit</v>
      </c>
    </row>
    <row r="143" spans="1:14" ht="15.6" thickTop="1" thickBot="1" x14ac:dyDescent="0.35">
      <c r="A143" s="15">
        <v>45481</v>
      </c>
      <c r="B143" s="15" t="s">
        <v>65</v>
      </c>
      <c r="C143" s="16" t="s">
        <v>78</v>
      </c>
      <c r="D143" s="16" t="s">
        <v>43</v>
      </c>
      <c r="E143" s="16" t="s">
        <v>62</v>
      </c>
      <c r="F143" s="16" t="s">
        <v>79</v>
      </c>
      <c r="G143" s="16" t="s">
        <v>12</v>
      </c>
      <c r="H143" s="16">
        <v>14</v>
      </c>
      <c r="I143" s="16">
        <v>782</v>
      </c>
      <c r="J143" s="16">
        <v>835</v>
      </c>
      <c r="K143" s="17">
        <f t="shared" si="8"/>
        <v>10948</v>
      </c>
      <c r="L143" s="17">
        <f t="shared" si="9"/>
        <v>11690</v>
      </c>
      <c r="M143" s="17">
        <f t="shared" si="10"/>
        <v>742</v>
      </c>
      <c r="N143" s="17" t="str">
        <f t="shared" si="11"/>
        <v>profit</v>
      </c>
    </row>
    <row r="144" spans="1:14" ht="15.6" thickTop="1" thickBot="1" x14ac:dyDescent="0.35">
      <c r="A144" s="15">
        <v>45482</v>
      </c>
      <c r="B144" s="15" t="s">
        <v>65</v>
      </c>
      <c r="C144" s="16" t="s">
        <v>80</v>
      </c>
      <c r="D144" s="16" t="s">
        <v>43</v>
      </c>
      <c r="E144" s="16" t="s">
        <v>62</v>
      </c>
      <c r="F144" s="16" t="s">
        <v>60</v>
      </c>
      <c r="G144" s="16" t="s">
        <v>12</v>
      </c>
      <c r="H144" s="16">
        <v>19</v>
      </c>
      <c r="I144" s="16">
        <v>536</v>
      </c>
      <c r="J144" s="16">
        <v>927</v>
      </c>
      <c r="K144" s="17">
        <f t="shared" si="8"/>
        <v>10184</v>
      </c>
      <c r="L144" s="17">
        <f t="shared" si="9"/>
        <v>17613</v>
      </c>
      <c r="M144" s="17">
        <f t="shared" si="10"/>
        <v>7429</v>
      </c>
      <c r="N144" s="17" t="str">
        <f t="shared" si="11"/>
        <v>profit</v>
      </c>
    </row>
    <row r="145" spans="1:14" ht="15.6" thickTop="1" thickBot="1" x14ac:dyDescent="0.35">
      <c r="A145" s="15">
        <v>45526</v>
      </c>
      <c r="B145" s="15" t="s">
        <v>82</v>
      </c>
      <c r="C145" s="16" t="s">
        <v>146</v>
      </c>
      <c r="D145" s="16" t="s">
        <v>71</v>
      </c>
      <c r="E145" s="16" t="s">
        <v>10</v>
      </c>
      <c r="F145" s="16" t="s">
        <v>89</v>
      </c>
      <c r="G145" s="16" t="s">
        <v>8</v>
      </c>
      <c r="H145" s="16">
        <v>23</v>
      </c>
      <c r="I145" s="16">
        <v>923</v>
      </c>
      <c r="J145" s="16">
        <v>897</v>
      </c>
      <c r="K145" s="17">
        <f t="shared" si="8"/>
        <v>21229</v>
      </c>
      <c r="L145" s="17">
        <f t="shared" si="9"/>
        <v>20631</v>
      </c>
      <c r="M145" s="17">
        <f t="shared" si="10"/>
        <v>-598</v>
      </c>
      <c r="N145" s="17" t="str">
        <f t="shared" si="11"/>
        <v>loss</v>
      </c>
    </row>
    <row r="146" spans="1:14" ht="15.6" thickTop="1" thickBot="1" x14ac:dyDescent="0.35">
      <c r="A146" s="15">
        <v>45483</v>
      </c>
      <c r="B146" s="15" t="s">
        <v>65</v>
      </c>
      <c r="C146" s="16" t="s">
        <v>81</v>
      </c>
      <c r="D146" s="16" t="s">
        <v>43</v>
      </c>
      <c r="E146" s="16" t="s">
        <v>62</v>
      </c>
      <c r="F146" s="16" t="s">
        <v>64</v>
      </c>
      <c r="G146" s="16" t="s">
        <v>8</v>
      </c>
      <c r="H146" s="16">
        <v>11</v>
      </c>
      <c r="I146" s="16">
        <v>991</v>
      </c>
      <c r="J146" s="16">
        <v>803</v>
      </c>
      <c r="K146" s="17">
        <f t="shared" si="8"/>
        <v>10901</v>
      </c>
      <c r="L146" s="17">
        <f t="shared" si="9"/>
        <v>8833</v>
      </c>
      <c r="M146" s="17">
        <f t="shared" si="10"/>
        <v>-2068</v>
      </c>
      <c r="N146" s="17" t="str">
        <f t="shared" si="11"/>
        <v>loss</v>
      </c>
    </row>
    <row r="147" spans="1:14" ht="15.6" thickTop="1" thickBot="1" x14ac:dyDescent="0.35">
      <c r="A147" s="15">
        <v>45510</v>
      </c>
      <c r="B147" s="15" t="s">
        <v>82</v>
      </c>
      <c r="C147" s="16" t="s">
        <v>83</v>
      </c>
      <c r="D147" s="16" t="s">
        <v>43</v>
      </c>
      <c r="E147" s="16" t="s">
        <v>62</v>
      </c>
      <c r="F147" s="16" t="s">
        <v>69</v>
      </c>
      <c r="G147" s="16" t="s">
        <v>8</v>
      </c>
      <c r="H147" s="16">
        <v>10</v>
      </c>
      <c r="I147" s="16">
        <v>844</v>
      </c>
      <c r="J147" s="16">
        <v>865</v>
      </c>
      <c r="K147" s="17">
        <f t="shared" si="8"/>
        <v>8440</v>
      </c>
      <c r="L147" s="17">
        <f t="shared" si="9"/>
        <v>8650</v>
      </c>
      <c r="M147" s="17">
        <f t="shared" si="10"/>
        <v>210</v>
      </c>
      <c r="N147" s="17" t="str">
        <f t="shared" si="11"/>
        <v>profit</v>
      </c>
    </row>
    <row r="148" spans="1:14" ht="15.6" thickTop="1" thickBot="1" x14ac:dyDescent="0.35">
      <c r="A148" s="15">
        <v>45511</v>
      </c>
      <c r="B148" s="15" t="s">
        <v>82</v>
      </c>
      <c r="C148" s="16" t="s">
        <v>84</v>
      </c>
      <c r="D148" s="16" t="s">
        <v>43</v>
      </c>
      <c r="E148" s="16" t="s">
        <v>62</v>
      </c>
      <c r="F148" s="16" t="s">
        <v>85</v>
      </c>
      <c r="G148" s="16" t="s">
        <v>8</v>
      </c>
      <c r="H148" s="16">
        <v>20</v>
      </c>
      <c r="I148" s="16">
        <v>803</v>
      </c>
      <c r="J148" s="16">
        <v>1377</v>
      </c>
      <c r="K148" s="17">
        <f t="shared" si="8"/>
        <v>16060</v>
      </c>
      <c r="L148" s="17">
        <f t="shared" si="9"/>
        <v>27540</v>
      </c>
      <c r="M148" s="17">
        <f t="shared" si="10"/>
        <v>11480</v>
      </c>
      <c r="N148" s="17" t="str">
        <f t="shared" si="11"/>
        <v>profit</v>
      </c>
    </row>
    <row r="149" spans="1:14" ht="15.6" thickTop="1" thickBot="1" x14ac:dyDescent="0.35">
      <c r="A149" s="15">
        <v>45513</v>
      </c>
      <c r="B149" s="15" t="s">
        <v>82</v>
      </c>
      <c r="C149" s="16" t="s">
        <v>86</v>
      </c>
      <c r="D149" s="16" t="s">
        <v>43</v>
      </c>
      <c r="E149" s="16" t="s">
        <v>62</v>
      </c>
      <c r="F149" s="16" t="s">
        <v>64</v>
      </c>
      <c r="G149" s="16" t="s">
        <v>8</v>
      </c>
      <c r="H149" s="16">
        <v>12</v>
      </c>
      <c r="I149" s="16">
        <v>606</v>
      </c>
      <c r="J149" s="16">
        <v>1154</v>
      </c>
      <c r="K149" s="17">
        <f t="shared" si="8"/>
        <v>7272</v>
      </c>
      <c r="L149" s="17">
        <f t="shared" si="9"/>
        <v>13848</v>
      </c>
      <c r="M149" s="17">
        <f t="shared" si="10"/>
        <v>6576</v>
      </c>
      <c r="N149" s="17" t="str">
        <f t="shared" si="11"/>
        <v>profit</v>
      </c>
    </row>
    <row r="150" spans="1:14" ht="15.6" thickTop="1" thickBot="1" x14ac:dyDescent="0.35">
      <c r="A150" s="15">
        <v>45514</v>
      </c>
      <c r="B150" s="15" t="s">
        <v>82</v>
      </c>
      <c r="C150" s="16" t="s">
        <v>90</v>
      </c>
      <c r="D150" s="16" t="s">
        <v>43</v>
      </c>
      <c r="E150" s="16" t="s">
        <v>62</v>
      </c>
      <c r="F150" s="16" t="s">
        <v>64</v>
      </c>
      <c r="G150" s="16" t="s">
        <v>8</v>
      </c>
      <c r="H150" s="16">
        <v>11</v>
      </c>
      <c r="I150" s="16">
        <v>622</v>
      </c>
      <c r="J150" s="16">
        <v>767</v>
      </c>
      <c r="K150" s="17">
        <f t="shared" si="8"/>
        <v>6842</v>
      </c>
      <c r="L150" s="17">
        <f t="shared" si="9"/>
        <v>8437</v>
      </c>
      <c r="M150" s="17">
        <f t="shared" si="10"/>
        <v>1595</v>
      </c>
      <c r="N150" s="17" t="str">
        <f t="shared" si="11"/>
        <v>profit</v>
      </c>
    </row>
    <row r="151" spans="1:14" ht="15.6" thickTop="1" thickBot="1" x14ac:dyDescent="0.35">
      <c r="A151" s="15">
        <v>45515</v>
      </c>
      <c r="B151" s="15" t="s">
        <v>82</v>
      </c>
      <c r="C151" s="16" t="s">
        <v>92</v>
      </c>
      <c r="D151" s="16" t="s">
        <v>43</v>
      </c>
      <c r="E151" s="16" t="s">
        <v>62</v>
      </c>
      <c r="F151" s="16" t="s">
        <v>69</v>
      </c>
      <c r="G151" s="16" t="s">
        <v>12</v>
      </c>
      <c r="H151" s="16">
        <v>17</v>
      </c>
      <c r="I151" s="16">
        <v>671</v>
      </c>
      <c r="J151" s="16">
        <v>906</v>
      </c>
      <c r="K151" s="17">
        <f t="shared" si="8"/>
        <v>11407</v>
      </c>
      <c r="L151" s="17">
        <f t="shared" si="9"/>
        <v>15402</v>
      </c>
      <c r="M151" s="17">
        <f t="shared" si="10"/>
        <v>3995</v>
      </c>
      <c r="N151" s="17" t="str">
        <f t="shared" si="11"/>
        <v>profit</v>
      </c>
    </row>
    <row r="152" spans="1:14" ht="15.6" thickTop="1" thickBot="1" x14ac:dyDescent="0.35">
      <c r="A152" s="15">
        <v>45516</v>
      </c>
      <c r="B152" s="15" t="s">
        <v>82</v>
      </c>
      <c r="C152" s="16" t="s">
        <v>93</v>
      </c>
      <c r="D152" s="16" t="s">
        <v>43</v>
      </c>
      <c r="E152" s="16" t="s">
        <v>62</v>
      </c>
      <c r="F152" s="16" t="s">
        <v>53</v>
      </c>
      <c r="G152" s="16" t="s">
        <v>12</v>
      </c>
      <c r="H152" s="16">
        <v>12</v>
      </c>
      <c r="I152" s="16">
        <v>814</v>
      </c>
      <c r="J152" s="16">
        <v>1392</v>
      </c>
      <c r="K152" s="17">
        <f t="shared" si="8"/>
        <v>9768</v>
      </c>
      <c r="L152" s="17">
        <f t="shared" si="9"/>
        <v>16704</v>
      </c>
      <c r="M152" s="17">
        <f t="shared" si="10"/>
        <v>6936</v>
      </c>
      <c r="N152" s="17" t="str">
        <f t="shared" si="11"/>
        <v>profit</v>
      </c>
    </row>
    <row r="153" spans="1:14" ht="15.6" thickTop="1" thickBot="1" x14ac:dyDescent="0.35">
      <c r="A153" s="15">
        <v>45543</v>
      </c>
      <c r="B153" s="15" t="s">
        <v>94</v>
      </c>
      <c r="C153" s="16" t="s">
        <v>95</v>
      </c>
      <c r="D153" s="16" t="s">
        <v>43</v>
      </c>
      <c r="E153" s="16" t="s">
        <v>62</v>
      </c>
      <c r="F153" s="16" t="s">
        <v>7</v>
      </c>
      <c r="G153" s="16" t="s">
        <v>12</v>
      </c>
      <c r="H153" s="16">
        <v>11</v>
      </c>
      <c r="I153" s="16">
        <v>960</v>
      </c>
      <c r="J153" s="16">
        <v>939</v>
      </c>
      <c r="K153" s="17">
        <f t="shared" si="8"/>
        <v>10560</v>
      </c>
      <c r="L153" s="17">
        <f t="shared" si="9"/>
        <v>10329</v>
      </c>
      <c r="M153" s="17">
        <f t="shared" si="10"/>
        <v>-231</v>
      </c>
      <c r="N153" s="17" t="str">
        <f t="shared" si="11"/>
        <v>loss</v>
      </c>
    </row>
    <row r="154" spans="1:14" ht="15.6" thickTop="1" thickBot="1" x14ac:dyDescent="0.35">
      <c r="A154" s="15">
        <v>45535</v>
      </c>
      <c r="B154" s="15" t="s">
        <v>82</v>
      </c>
      <c r="C154" s="16" t="s">
        <v>147</v>
      </c>
      <c r="D154" s="16" t="s">
        <v>58</v>
      </c>
      <c r="E154" s="16" t="s">
        <v>123</v>
      </c>
      <c r="F154" s="16" t="s">
        <v>47</v>
      </c>
      <c r="G154" s="16" t="s">
        <v>12</v>
      </c>
      <c r="H154" s="16">
        <v>89</v>
      </c>
      <c r="I154" s="16">
        <v>910</v>
      </c>
      <c r="J154" s="16">
        <v>1261</v>
      </c>
      <c r="K154" s="17">
        <f t="shared" si="8"/>
        <v>80990</v>
      </c>
      <c r="L154" s="17">
        <f t="shared" si="9"/>
        <v>112229</v>
      </c>
      <c r="M154" s="17">
        <f t="shared" si="10"/>
        <v>31239</v>
      </c>
      <c r="N154" s="17" t="str">
        <f t="shared" si="11"/>
        <v>profit</v>
      </c>
    </row>
    <row r="155" spans="1:14" ht="15.6" thickTop="1" thickBot="1" x14ac:dyDescent="0.35">
      <c r="A155" s="15">
        <v>45544</v>
      </c>
      <c r="B155" s="15" t="s">
        <v>94</v>
      </c>
      <c r="C155" s="16" t="s">
        <v>96</v>
      </c>
      <c r="D155" s="16" t="s">
        <v>43</v>
      </c>
      <c r="E155" s="16" t="s">
        <v>62</v>
      </c>
      <c r="F155" s="16" t="s">
        <v>69</v>
      </c>
      <c r="G155" s="16" t="s">
        <v>12</v>
      </c>
      <c r="H155" s="16">
        <v>10</v>
      </c>
      <c r="I155" s="16">
        <v>654</v>
      </c>
      <c r="J155" s="16">
        <v>1029</v>
      </c>
      <c r="K155" s="17">
        <f t="shared" si="8"/>
        <v>6540</v>
      </c>
      <c r="L155" s="17">
        <f t="shared" si="9"/>
        <v>10290</v>
      </c>
      <c r="M155" s="17">
        <f t="shared" si="10"/>
        <v>3750</v>
      </c>
      <c r="N155" s="17" t="str">
        <f t="shared" si="11"/>
        <v>profit</v>
      </c>
    </row>
    <row r="156" spans="1:14" ht="15.6" thickTop="1" thickBot="1" x14ac:dyDescent="0.35">
      <c r="A156" s="15">
        <v>45545</v>
      </c>
      <c r="B156" s="15" t="s">
        <v>94</v>
      </c>
      <c r="C156" s="16" t="s">
        <v>97</v>
      </c>
      <c r="D156" s="16" t="s">
        <v>43</v>
      </c>
      <c r="E156" s="16" t="s">
        <v>62</v>
      </c>
      <c r="F156" s="16" t="s">
        <v>51</v>
      </c>
      <c r="G156" s="16" t="s">
        <v>12</v>
      </c>
      <c r="H156" s="16">
        <v>14</v>
      </c>
      <c r="I156" s="16">
        <v>504</v>
      </c>
      <c r="J156" s="16">
        <v>1130</v>
      </c>
      <c r="K156" s="17">
        <f t="shared" si="8"/>
        <v>7056</v>
      </c>
      <c r="L156" s="17">
        <f t="shared" si="9"/>
        <v>15820</v>
      </c>
      <c r="M156" s="17">
        <f t="shared" si="10"/>
        <v>8764</v>
      </c>
      <c r="N156" s="17" t="str">
        <f t="shared" si="11"/>
        <v>profit</v>
      </c>
    </row>
    <row r="157" spans="1:14" ht="15.6" thickTop="1" thickBot="1" x14ac:dyDescent="0.35">
      <c r="A157" s="15">
        <v>45546</v>
      </c>
      <c r="B157" s="15" t="s">
        <v>94</v>
      </c>
      <c r="C157" s="16" t="s">
        <v>98</v>
      </c>
      <c r="D157" s="16" t="s">
        <v>43</v>
      </c>
      <c r="E157" s="16" t="s">
        <v>62</v>
      </c>
      <c r="F157" s="16" t="s">
        <v>89</v>
      </c>
      <c r="G157" s="16" t="s">
        <v>12</v>
      </c>
      <c r="H157" s="16">
        <v>12</v>
      </c>
      <c r="I157" s="16">
        <v>886</v>
      </c>
      <c r="J157" s="16">
        <v>1233</v>
      </c>
      <c r="K157" s="17">
        <f t="shared" si="8"/>
        <v>10632</v>
      </c>
      <c r="L157" s="17">
        <f t="shared" si="9"/>
        <v>14796</v>
      </c>
      <c r="M157" s="17">
        <f t="shared" si="10"/>
        <v>4164</v>
      </c>
      <c r="N157" s="17" t="str">
        <f t="shared" si="11"/>
        <v>profit</v>
      </c>
    </row>
    <row r="158" spans="1:14" ht="15.6" thickTop="1" thickBot="1" x14ac:dyDescent="0.35">
      <c r="A158" s="15">
        <v>45547</v>
      </c>
      <c r="B158" s="15" t="s">
        <v>94</v>
      </c>
      <c r="C158" s="16" t="s">
        <v>99</v>
      </c>
      <c r="D158" s="16" t="s">
        <v>43</v>
      </c>
      <c r="E158" s="16" t="s">
        <v>62</v>
      </c>
      <c r="F158" s="16" t="s">
        <v>100</v>
      </c>
      <c r="G158" s="16" t="s">
        <v>8</v>
      </c>
      <c r="H158" s="16">
        <v>10</v>
      </c>
      <c r="I158" s="16">
        <v>554</v>
      </c>
      <c r="J158" s="16">
        <v>1210</v>
      </c>
      <c r="K158" s="17">
        <f t="shared" si="8"/>
        <v>5540</v>
      </c>
      <c r="L158" s="17">
        <f t="shared" si="9"/>
        <v>12100</v>
      </c>
      <c r="M158" s="17">
        <f t="shared" si="10"/>
        <v>6560</v>
      </c>
      <c r="N158" s="17" t="str">
        <f t="shared" si="11"/>
        <v>profit</v>
      </c>
    </row>
    <row r="159" spans="1:14" ht="15.6" thickTop="1" thickBot="1" x14ac:dyDescent="0.35">
      <c r="A159" s="15">
        <v>45540</v>
      </c>
      <c r="B159" s="15" t="s">
        <v>94</v>
      </c>
      <c r="C159" s="16" t="s">
        <v>148</v>
      </c>
      <c r="D159" s="16" t="s">
        <v>58</v>
      </c>
      <c r="E159" s="16" t="s">
        <v>143</v>
      </c>
      <c r="F159" s="16" t="s">
        <v>55</v>
      </c>
      <c r="G159" s="16" t="s">
        <v>8</v>
      </c>
      <c r="H159" s="16">
        <v>59</v>
      </c>
      <c r="I159" s="16">
        <v>764</v>
      </c>
      <c r="J159" s="16">
        <v>1365</v>
      </c>
      <c r="K159" s="17">
        <f t="shared" si="8"/>
        <v>45076</v>
      </c>
      <c r="L159" s="17">
        <f t="shared" si="9"/>
        <v>80535</v>
      </c>
      <c r="M159" s="17">
        <f t="shared" si="10"/>
        <v>35459</v>
      </c>
      <c r="N159" s="17" t="str">
        <f t="shared" si="11"/>
        <v>profit</v>
      </c>
    </row>
    <row r="160" spans="1:14" ht="15.6" thickTop="1" thickBot="1" x14ac:dyDescent="0.35">
      <c r="A160" s="15">
        <v>45548</v>
      </c>
      <c r="B160" s="15" t="s">
        <v>94</v>
      </c>
      <c r="C160" s="16" t="s">
        <v>101</v>
      </c>
      <c r="D160" s="16" t="s">
        <v>43</v>
      </c>
      <c r="E160" s="16" t="s">
        <v>62</v>
      </c>
      <c r="F160" s="16" t="s">
        <v>102</v>
      </c>
      <c r="G160" s="16" t="s">
        <v>8</v>
      </c>
      <c r="H160" s="16">
        <v>14</v>
      </c>
      <c r="I160" s="16">
        <v>933</v>
      </c>
      <c r="J160" s="16">
        <v>1064</v>
      </c>
      <c r="K160" s="17">
        <f t="shared" si="8"/>
        <v>13062</v>
      </c>
      <c r="L160" s="17">
        <f t="shared" si="9"/>
        <v>14896</v>
      </c>
      <c r="M160" s="17">
        <f t="shared" si="10"/>
        <v>1834</v>
      </c>
      <c r="N160" s="17" t="str">
        <f t="shared" si="11"/>
        <v>profit</v>
      </c>
    </row>
    <row r="161" spans="1:14" ht="15.6" thickTop="1" thickBot="1" x14ac:dyDescent="0.35">
      <c r="A161" s="15">
        <v>45550</v>
      </c>
      <c r="B161" s="15" t="s">
        <v>94</v>
      </c>
      <c r="C161" s="16" t="s">
        <v>103</v>
      </c>
      <c r="D161" s="16" t="s">
        <v>43</v>
      </c>
      <c r="E161" s="16" t="s">
        <v>62</v>
      </c>
      <c r="F161" s="16" t="s">
        <v>69</v>
      </c>
      <c r="G161" s="16" t="s">
        <v>8</v>
      </c>
      <c r="H161" s="16">
        <v>15</v>
      </c>
      <c r="I161" s="16">
        <v>674</v>
      </c>
      <c r="J161" s="16">
        <v>1125</v>
      </c>
      <c r="K161" s="17">
        <f t="shared" si="8"/>
        <v>10110</v>
      </c>
      <c r="L161" s="17">
        <f t="shared" si="9"/>
        <v>16875</v>
      </c>
      <c r="M161" s="17">
        <f t="shared" si="10"/>
        <v>6765</v>
      </c>
      <c r="N161" s="17" t="str">
        <f t="shared" si="11"/>
        <v>profit</v>
      </c>
    </row>
    <row r="162" spans="1:14" ht="15.6" thickTop="1" thickBot="1" x14ac:dyDescent="0.35">
      <c r="A162" s="15">
        <v>45551</v>
      </c>
      <c r="B162" s="15" t="s">
        <v>94</v>
      </c>
      <c r="C162" s="16" t="s">
        <v>104</v>
      </c>
      <c r="D162" s="16" t="s">
        <v>43</v>
      </c>
      <c r="E162" s="16" t="s">
        <v>62</v>
      </c>
      <c r="F162" s="16" t="s">
        <v>85</v>
      </c>
      <c r="G162" s="16" t="s">
        <v>8</v>
      </c>
      <c r="H162" s="16">
        <v>20</v>
      </c>
      <c r="I162" s="16">
        <v>529</v>
      </c>
      <c r="J162" s="16">
        <v>1455</v>
      </c>
      <c r="K162" s="17">
        <f t="shared" si="8"/>
        <v>10580</v>
      </c>
      <c r="L162" s="17">
        <f t="shared" si="9"/>
        <v>29100</v>
      </c>
      <c r="M162" s="17">
        <f t="shared" si="10"/>
        <v>18520</v>
      </c>
      <c r="N162" s="17" t="str">
        <f t="shared" si="11"/>
        <v>profit</v>
      </c>
    </row>
    <row r="163" spans="1:14" ht="15.6" thickTop="1" thickBot="1" x14ac:dyDescent="0.35">
      <c r="A163" s="15">
        <v>45552</v>
      </c>
      <c r="B163" s="15" t="s">
        <v>94</v>
      </c>
      <c r="C163" s="16" t="s">
        <v>105</v>
      </c>
      <c r="D163" s="16" t="s">
        <v>43</v>
      </c>
      <c r="E163" s="16" t="s">
        <v>62</v>
      </c>
      <c r="F163" s="16" t="s">
        <v>60</v>
      </c>
      <c r="G163" s="16" t="s">
        <v>8</v>
      </c>
      <c r="H163" s="16">
        <v>18</v>
      </c>
      <c r="I163" s="16">
        <v>717</v>
      </c>
      <c r="J163" s="16">
        <v>833</v>
      </c>
      <c r="K163" s="17">
        <f t="shared" si="8"/>
        <v>12906</v>
      </c>
      <c r="L163" s="17">
        <f t="shared" si="9"/>
        <v>14994</v>
      </c>
      <c r="M163" s="17">
        <f t="shared" si="10"/>
        <v>2088</v>
      </c>
      <c r="N163" s="17" t="str">
        <f t="shared" si="11"/>
        <v>profit</v>
      </c>
    </row>
    <row r="164" spans="1:14" ht="15.6" thickTop="1" thickBot="1" x14ac:dyDescent="0.35">
      <c r="A164" s="15">
        <v>45553</v>
      </c>
      <c r="B164" s="15" t="s">
        <v>94</v>
      </c>
      <c r="C164" s="16" t="s">
        <v>106</v>
      </c>
      <c r="D164" s="16" t="s">
        <v>43</v>
      </c>
      <c r="E164" s="16" t="s">
        <v>62</v>
      </c>
      <c r="F164" s="16" t="s">
        <v>64</v>
      </c>
      <c r="G164" s="16" t="s">
        <v>8</v>
      </c>
      <c r="H164" s="16">
        <v>17</v>
      </c>
      <c r="I164" s="16">
        <v>966</v>
      </c>
      <c r="J164" s="16">
        <v>1044</v>
      </c>
      <c r="K164" s="17">
        <f t="shared" si="8"/>
        <v>16422</v>
      </c>
      <c r="L164" s="17">
        <f t="shared" si="9"/>
        <v>17748</v>
      </c>
      <c r="M164" s="17">
        <f t="shared" si="10"/>
        <v>1326</v>
      </c>
      <c r="N164" s="17" t="str">
        <f t="shared" si="11"/>
        <v>profit</v>
      </c>
    </row>
    <row r="165" spans="1:14" ht="15.6" thickTop="1" thickBot="1" x14ac:dyDescent="0.35">
      <c r="A165" s="15">
        <v>45562</v>
      </c>
      <c r="B165" s="15" t="s">
        <v>94</v>
      </c>
      <c r="C165" s="16" t="s">
        <v>107</v>
      </c>
      <c r="D165" s="16" t="s">
        <v>43</v>
      </c>
      <c r="E165" s="16" t="s">
        <v>44</v>
      </c>
      <c r="F165" s="16" t="s">
        <v>60</v>
      </c>
      <c r="G165" s="16" t="s">
        <v>12</v>
      </c>
      <c r="H165" s="16">
        <v>16</v>
      </c>
      <c r="I165" s="16">
        <v>599</v>
      </c>
      <c r="J165" s="16">
        <v>1490</v>
      </c>
      <c r="K165" s="17">
        <f t="shared" si="8"/>
        <v>9584</v>
      </c>
      <c r="L165" s="17">
        <f t="shared" si="9"/>
        <v>23840</v>
      </c>
      <c r="M165" s="17">
        <f t="shared" si="10"/>
        <v>14256</v>
      </c>
      <c r="N165" s="17" t="str">
        <f t="shared" si="11"/>
        <v>profit</v>
      </c>
    </row>
    <row r="166" spans="1:14" ht="15.6" thickTop="1" thickBot="1" x14ac:dyDescent="0.35">
      <c r="A166" s="15">
        <v>45564</v>
      </c>
      <c r="B166" s="15" t="s">
        <v>94</v>
      </c>
      <c r="C166" s="16" t="s">
        <v>108</v>
      </c>
      <c r="D166" s="16" t="s">
        <v>43</v>
      </c>
      <c r="E166" s="16" t="s">
        <v>44</v>
      </c>
      <c r="F166" s="16" t="s">
        <v>64</v>
      </c>
      <c r="G166" s="16" t="s">
        <v>8</v>
      </c>
      <c r="H166" s="16">
        <v>12</v>
      </c>
      <c r="I166" s="16">
        <v>827</v>
      </c>
      <c r="J166" s="16">
        <v>955</v>
      </c>
      <c r="K166" s="17">
        <f t="shared" si="8"/>
        <v>9924</v>
      </c>
      <c r="L166" s="17">
        <f t="shared" si="9"/>
        <v>11460</v>
      </c>
      <c r="M166" s="17">
        <f t="shared" si="10"/>
        <v>1536</v>
      </c>
      <c r="N166" s="17" t="str">
        <f t="shared" si="11"/>
        <v>profit</v>
      </c>
    </row>
    <row r="167" spans="1:14" ht="15.6" thickTop="1" thickBot="1" x14ac:dyDescent="0.35">
      <c r="A167" s="15">
        <v>45566</v>
      </c>
      <c r="B167" s="15" t="s">
        <v>109</v>
      </c>
      <c r="C167" s="16" t="s">
        <v>110</v>
      </c>
      <c r="D167" s="16" t="s">
        <v>43</v>
      </c>
      <c r="E167" s="16" t="s">
        <v>44</v>
      </c>
      <c r="F167" s="16" t="s">
        <v>89</v>
      </c>
      <c r="G167" s="16" t="s">
        <v>8</v>
      </c>
      <c r="H167" s="16">
        <v>17</v>
      </c>
      <c r="I167" s="16">
        <v>932</v>
      </c>
      <c r="J167" s="16">
        <v>808</v>
      </c>
      <c r="K167" s="17">
        <f t="shared" si="8"/>
        <v>15844</v>
      </c>
      <c r="L167" s="17">
        <f t="shared" si="9"/>
        <v>13736</v>
      </c>
      <c r="M167" s="17">
        <f t="shared" si="10"/>
        <v>-2108</v>
      </c>
      <c r="N167" s="17" t="str">
        <f t="shared" si="11"/>
        <v>loss</v>
      </c>
    </row>
    <row r="168" spans="1:14" ht="15.6" thickTop="1" thickBot="1" x14ac:dyDescent="0.35">
      <c r="A168" s="15">
        <v>45549</v>
      </c>
      <c r="B168" s="15" t="s">
        <v>94</v>
      </c>
      <c r="C168" s="16" t="s">
        <v>149</v>
      </c>
      <c r="D168" s="16" t="s">
        <v>43</v>
      </c>
      <c r="E168" s="16" t="s">
        <v>62</v>
      </c>
      <c r="F168" s="16" t="s">
        <v>60</v>
      </c>
      <c r="G168" s="16" t="s">
        <v>8</v>
      </c>
      <c r="H168" s="16">
        <v>14</v>
      </c>
      <c r="I168" s="16">
        <v>857</v>
      </c>
      <c r="J168" s="16">
        <v>767</v>
      </c>
      <c r="K168" s="17">
        <f t="shared" si="8"/>
        <v>11998</v>
      </c>
      <c r="L168" s="17">
        <f t="shared" si="9"/>
        <v>10738</v>
      </c>
      <c r="M168" s="17">
        <f t="shared" si="10"/>
        <v>-1260</v>
      </c>
      <c r="N168" s="17" t="str">
        <f t="shared" si="11"/>
        <v>loss</v>
      </c>
    </row>
    <row r="169" spans="1:14" ht="15.6" thickTop="1" thickBot="1" x14ac:dyDescent="0.35">
      <c r="A169" s="15">
        <v>45567</v>
      </c>
      <c r="B169" s="15" t="s">
        <v>109</v>
      </c>
      <c r="C169" s="16" t="s">
        <v>111</v>
      </c>
      <c r="D169" s="16" t="s">
        <v>43</v>
      </c>
      <c r="E169" s="16" t="s">
        <v>44</v>
      </c>
      <c r="F169" s="16" t="s">
        <v>85</v>
      </c>
      <c r="G169" s="16" t="s">
        <v>8</v>
      </c>
      <c r="H169" s="16">
        <v>11</v>
      </c>
      <c r="I169" s="16">
        <v>654</v>
      </c>
      <c r="J169" s="16">
        <v>767</v>
      </c>
      <c r="K169" s="17">
        <f t="shared" si="8"/>
        <v>7194</v>
      </c>
      <c r="L169" s="17">
        <f t="shared" si="9"/>
        <v>8437</v>
      </c>
      <c r="M169" s="17">
        <f t="shared" si="10"/>
        <v>1243</v>
      </c>
      <c r="N169" s="17" t="str">
        <f t="shared" si="11"/>
        <v>profit</v>
      </c>
    </row>
    <row r="170" spans="1:14" ht="15.6" thickTop="1" thickBot="1" x14ac:dyDescent="0.35">
      <c r="A170" s="15">
        <v>45568</v>
      </c>
      <c r="B170" s="15" t="s">
        <v>109</v>
      </c>
      <c r="C170" s="16" t="s">
        <v>112</v>
      </c>
      <c r="D170" s="16" t="s">
        <v>43</v>
      </c>
      <c r="E170" s="16" t="s">
        <v>44</v>
      </c>
      <c r="F170" s="16" t="s">
        <v>64</v>
      </c>
      <c r="G170" s="16" t="s">
        <v>8</v>
      </c>
      <c r="H170" s="16">
        <v>19</v>
      </c>
      <c r="I170" s="16">
        <v>764</v>
      </c>
      <c r="J170" s="16">
        <v>1069</v>
      </c>
      <c r="K170" s="17">
        <f t="shared" si="8"/>
        <v>14516</v>
      </c>
      <c r="L170" s="17">
        <f t="shared" si="9"/>
        <v>20311</v>
      </c>
      <c r="M170" s="17">
        <f t="shared" si="10"/>
        <v>5795</v>
      </c>
      <c r="N170" s="17" t="str">
        <f t="shared" si="11"/>
        <v>profit</v>
      </c>
    </row>
    <row r="171" spans="1:14" ht="15.6" thickTop="1" thickBot="1" x14ac:dyDescent="0.35">
      <c r="A171" s="15">
        <v>45580</v>
      </c>
      <c r="B171" s="15" t="s">
        <v>109</v>
      </c>
      <c r="C171" s="16" t="s">
        <v>113</v>
      </c>
      <c r="D171" s="16" t="s">
        <v>43</v>
      </c>
      <c r="E171" s="16" t="s">
        <v>62</v>
      </c>
      <c r="F171" s="16" t="s">
        <v>55</v>
      </c>
      <c r="G171" s="16" t="s">
        <v>12</v>
      </c>
      <c r="H171" s="16">
        <v>15</v>
      </c>
      <c r="I171" s="16">
        <v>906</v>
      </c>
      <c r="J171" s="16">
        <v>1485</v>
      </c>
      <c r="K171" s="17">
        <f t="shared" si="8"/>
        <v>13590</v>
      </c>
      <c r="L171" s="17">
        <f t="shared" si="9"/>
        <v>22275</v>
      </c>
      <c r="M171" s="17">
        <f t="shared" si="10"/>
        <v>8685</v>
      </c>
      <c r="N171" s="17" t="str">
        <f t="shared" si="11"/>
        <v>profit</v>
      </c>
    </row>
    <row r="172" spans="1:14" ht="15.6" thickTop="1" thickBot="1" x14ac:dyDescent="0.35">
      <c r="A172" s="15">
        <v>45581</v>
      </c>
      <c r="B172" s="15" t="s">
        <v>109</v>
      </c>
      <c r="C172" s="16" t="s">
        <v>114</v>
      </c>
      <c r="D172" s="16" t="s">
        <v>43</v>
      </c>
      <c r="E172" s="16" t="s">
        <v>62</v>
      </c>
      <c r="F172" s="16" t="s">
        <v>51</v>
      </c>
      <c r="G172" s="16" t="s">
        <v>12</v>
      </c>
      <c r="H172" s="16">
        <v>20</v>
      </c>
      <c r="I172" s="16">
        <v>780</v>
      </c>
      <c r="J172" s="16">
        <v>783</v>
      </c>
      <c r="K172" s="17">
        <f t="shared" si="8"/>
        <v>15600</v>
      </c>
      <c r="L172" s="17">
        <f t="shared" si="9"/>
        <v>15660</v>
      </c>
      <c r="M172" s="17">
        <f t="shared" si="10"/>
        <v>60</v>
      </c>
      <c r="N172" s="17" t="str">
        <f t="shared" si="11"/>
        <v>profit</v>
      </c>
    </row>
    <row r="173" spans="1:14" ht="15.6" thickTop="1" thickBot="1" x14ac:dyDescent="0.35">
      <c r="A173" s="15">
        <v>45554</v>
      </c>
      <c r="B173" s="15" t="s">
        <v>94</v>
      </c>
      <c r="C173" s="16" t="s">
        <v>150</v>
      </c>
      <c r="D173" s="16" t="s">
        <v>43</v>
      </c>
      <c r="E173" s="16" t="s">
        <v>62</v>
      </c>
      <c r="F173" s="16" t="s">
        <v>64</v>
      </c>
      <c r="G173" s="16" t="s">
        <v>12</v>
      </c>
      <c r="H173" s="16">
        <v>14</v>
      </c>
      <c r="I173" s="16">
        <v>515</v>
      </c>
      <c r="J173" s="16">
        <v>1230</v>
      </c>
      <c r="K173" s="17">
        <f t="shared" si="8"/>
        <v>7210</v>
      </c>
      <c r="L173" s="17">
        <f t="shared" si="9"/>
        <v>17220</v>
      </c>
      <c r="M173" s="17">
        <f t="shared" si="10"/>
        <v>10010</v>
      </c>
      <c r="N173" s="17" t="str">
        <f t="shared" si="11"/>
        <v>profit</v>
      </c>
    </row>
    <row r="174" spans="1:14" ht="15.6" thickTop="1" thickBot="1" x14ac:dyDescent="0.35">
      <c r="A174" s="15">
        <v>45582</v>
      </c>
      <c r="B174" s="15" t="s">
        <v>109</v>
      </c>
      <c r="C174" s="16" t="s">
        <v>115</v>
      </c>
      <c r="D174" s="16" t="s">
        <v>43</v>
      </c>
      <c r="E174" s="16" t="s">
        <v>62</v>
      </c>
      <c r="F174" s="16" t="s">
        <v>100</v>
      </c>
      <c r="G174" s="16" t="s">
        <v>12</v>
      </c>
      <c r="H174" s="16">
        <v>17</v>
      </c>
      <c r="I174" s="16">
        <v>747</v>
      </c>
      <c r="J174" s="16">
        <v>1190</v>
      </c>
      <c r="K174" s="17">
        <f t="shared" si="8"/>
        <v>12699</v>
      </c>
      <c r="L174" s="17">
        <f t="shared" si="9"/>
        <v>20230</v>
      </c>
      <c r="M174" s="17">
        <f t="shared" si="10"/>
        <v>7531</v>
      </c>
      <c r="N174" s="17" t="str">
        <f t="shared" si="11"/>
        <v>profit</v>
      </c>
    </row>
    <row r="175" spans="1:14" ht="15.6" thickTop="1" thickBot="1" x14ac:dyDescent="0.35">
      <c r="A175" s="15">
        <v>45584</v>
      </c>
      <c r="B175" s="15" t="s">
        <v>109</v>
      </c>
      <c r="C175" s="16" t="s">
        <v>116</v>
      </c>
      <c r="D175" s="16" t="s">
        <v>43</v>
      </c>
      <c r="E175" s="16" t="s">
        <v>62</v>
      </c>
      <c r="F175" s="16" t="s">
        <v>60</v>
      </c>
      <c r="G175" s="16" t="s">
        <v>8</v>
      </c>
      <c r="H175" s="16">
        <v>15</v>
      </c>
      <c r="I175" s="16">
        <v>747</v>
      </c>
      <c r="J175" s="16">
        <v>966</v>
      </c>
      <c r="K175" s="17">
        <f t="shared" si="8"/>
        <v>11205</v>
      </c>
      <c r="L175" s="17">
        <f t="shared" si="9"/>
        <v>14490</v>
      </c>
      <c r="M175" s="17">
        <f t="shared" si="10"/>
        <v>3285</v>
      </c>
      <c r="N175" s="17" t="str">
        <f t="shared" si="11"/>
        <v>profit</v>
      </c>
    </row>
    <row r="176" spans="1:14" ht="15.6" thickTop="1" thickBot="1" x14ac:dyDescent="0.35">
      <c r="A176" s="15">
        <v>45585</v>
      </c>
      <c r="B176" s="15" t="s">
        <v>109</v>
      </c>
      <c r="C176" s="16" t="s">
        <v>117</v>
      </c>
      <c r="D176" s="16" t="s">
        <v>43</v>
      </c>
      <c r="E176" s="16" t="s">
        <v>62</v>
      </c>
      <c r="F176" s="16" t="s">
        <v>64</v>
      </c>
      <c r="G176" s="16" t="s">
        <v>8</v>
      </c>
      <c r="H176" s="16">
        <v>20</v>
      </c>
      <c r="I176" s="16">
        <v>844</v>
      </c>
      <c r="J176" s="16">
        <v>1010</v>
      </c>
      <c r="K176" s="17">
        <f t="shared" si="8"/>
        <v>16880</v>
      </c>
      <c r="L176" s="17">
        <f t="shared" si="9"/>
        <v>20200</v>
      </c>
      <c r="M176" s="17">
        <f t="shared" si="10"/>
        <v>3320</v>
      </c>
      <c r="N176" s="17" t="str">
        <f t="shared" si="11"/>
        <v>profit</v>
      </c>
    </row>
    <row r="177" spans="1:14" ht="15.6" thickTop="1" thickBot="1" x14ac:dyDescent="0.35">
      <c r="A177" s="15">
        <v>45587</v>
      </c>
      <c r="B177" s="15" t="s">
        <v>109</v>
      </c>
      <c r="C177" s="16" t="s">
        <v>118</v>
      </c>
      <c r="D177" s="16" t="s">
        <v>43</v>
      </c>
      <c r="E177" s="16" t="s">
        <v>62</v>
      </c>
      <c r="F177" s="16" t="s">
        <v>89</v>
      </c>
      <c r="G177" s="16" t="s">
        <v>8</v>
      </c>
      <c r="H177" s="16">
        <v>14</v>
      </c>
      <c r="I177" s="16">
        <v>799</v>
      </c>
      <c r="J177" s="16">
        <v>1154</v>
      </c>
      <c r="K177" s="17">
        <f t="shared" si="8"/>
        <v>11186</v>
      </c>
      <c r="L177" s="17">
        <f t="shared" si="9"/>
        <v>16156</v>
      </c>
      <c r="M177" s="17">
        <f t="shared" si="10"/>
        <v>4970</v>
      </c>
      <c r="N177" s="17" t="str">
        <f t="shared" si="11"/>
        <v>profit</v>
      </c>
    </row>
    <row r="178" spans="1:14" ht="15.6" thickTop="1" thickBot="1" x14ac:dyDescent="0.35">
      <c r="A178" s="15">
        <v>45659</v>
      </c>
      <c r="B178" s="15" t="s">
        <v>119</v>
      </c>
      <c r="C178" s="16" t="s">
        <v>120</v>
      </c>
      <c r="D178" s="16" t="s">
        <v>43</v>
      </c>
      <c r="E178" s="16" t="s">
        <v>44</v>
      </c>
      <c r="F178" s="16" t="s">
        <v>51</v>
      </c>
      <c r="G178" s="16" t="s">
        <v>8</v>
      </c>
      <c r="H178" s="16">
        <v>19</v>
      </c>
      <c r="I178" s="16">
        <v>608</v>
      </c>
      <c r="J178" s="16">
        <v>1032</v>
      </c>
      <c r="K178" s="17">
        <f t="shared" si="8"/>
        <v>11552</v>
      </c>
      <c r="L178" s="17">
        <f t="shared" si="9"/>
        <v>19608</v>
      </c>
      <c r="M178" s="17">
        <f t="shared" si="10"/>
        <v>8056</v>
      </c>
      <c r="N178" s="17" t="str">
        <f t="shared" si="11"/>
        <v>profit</v>
      </c>
    </row>
    <row r="179" spans="1:14" ht="15.6" thickTop="1" thickBot="1" x14ac:dyDescent="0.35">
      <c r="A179" s="15">
        <v>45661</v>
      </c>
      <c r="B179" s="15" t="s">
        <v>119</v>
      </c>
      <c r="C179" s="16" t="s">
        <v>124</v>
      </c>
      <c r="D179" s="16" t="s">
        <v>43</v>
      </c>
      <c r="E179" s="16" t="s">
        <v>44</v>
      </c>
      <c r="F179" s="16" t="s">
        <v>7</v>
      </c>
      <c r="G179" s="16" t="s">
        <v>8</v>
      </c>
      <c r="H179" s="16">
        <v>14</v>
      </c>
      <c r="I179" s="16">
        <v>579</v>
      </c>
      <c r="J179" s="16">
        <v>907</v>
      </c>
      <c r="K179" s="17">
        <f t="shared" si="8"/>
        <v>8106</v>
      </c>
      <c r="L179" s="17">
        <f t="shared" si="9"/>
        <v>12698</v>
      </c>
      <c r="M179" s="17">
        <f t="shared" si="10"/>
        <v>4592</v>
      </c>
      <c r="N179" s="17" t="str">
        <f t="shared" si="11"/>
        <v>profit</v>
      </c>
    </row>
    <row r="180" spans="1:14" ht="15.6" thickTop="1" thickBot="1" x14ac:dyDescent="0.35">
      <c r="A180" s="15">
        <v>45663</v>
      </c>
      <c r="B180" s="15" t="s">
        <v>119</v>
      </c>
      <c r="C180" s="16" t="s">
        <v>125</v>
      </c>
      <c r="D180" s="16" t="s">
        <v>43</v>
      </c>
      <c r="E180" s="16" t="s">
        <v>44</v>
      </c>
      <c r="F180" s="16" t="s">
        <v>47</v>
      </c>
      <c r="G180" s="16" t="s">
        <v>8</v>
      </c>
      <c r="H180" s="16">
        <v>17</v>
      </c>
      <c r="I180" s="16">
        <v>825</v>
      </c>
      <c r="J180" s="16">
        <v>1080</v>
      </c>
      <c r="K180" s="17">
        <f t="shared" si="8"/>
        <v>14025</v>
      </c>
      <c r="L180" s="17">
        <f t="shared" si="9"/>
        <v>18360</v>
      </c>
      <c r="M180" s="17">
        <f t="shared" si="10"/>
        <v>4335</v>
      </c>
      <c r="N180" s="17" t="str">
        <f t="shared" si="11"/>
        <v>profit</v>
      </c>
    </row>
    <row r="181" spans="1:14" ht="15.6" thickTop="1" thickBot="1" x14ac:dyDescent="0.35">
      <c r="A181" s="15">
        <v>45665</v>
      </c>
      <c r="B181" s="15" t="s">
        <v>119</v>
      </c>
      <c r="C181" s="16" t="s">
        <v>126</v>
      </c>
      <c r="D181" s="16" t="s">
        <v>43</v>
      </c>
      <c r="E181" s="16" t="s">
        <v>44</v>
      </c>
      <c r="F181" s="16" t="s">
        <v>51</v>
      </c>
      <c r="G181" s="16" t="s">
        <v>12</v>
      </c>
      <c r="H181" s="16">
        <v>15</v>
      </c>
      <c r="I181" s="16">
        <v>827</v>
      </c>
      <c r="J181" s="16">
        <v>931</v>
      </c>
      <c r="K181" s="17">
        <f t="shared" si="8"/>
        <v>12405</v>
      </c>
      <c r="L181" s="17">
        <f t="shared" si="9"/>
        <v>13965</v>
      </c>
      <c r="M181" s="17">
        <f t="shared" si="10"/>
        <v>1560</v>
      </c>
      <c r="N181" s="17" t="str">
        <f t="shared" si="11"/>
        <v>profit</v>
      </c>
    </row>
    <row r="182" spans="1:14" ht="15.6" thickTop="1" thickBot="1" x14ac:dyDescent="0.35">
      <c r="A182" s="15">
        <v>45563</v>
      </c>
      <c r="B182" s="15" t="s">
        <v>94</v>
      </c>
      <c r="C182" s="16" t="s">
        <v>151</v>
      </c>
      <c r="D182" s="16" t="s">
        <v>43</v>
      </c>
      <c r="E182" s="16" t="s">
        <v>44</v>
      </c>
      <c r="F182" s="16" t="s">
        <v>64</v>
      </c>
      <c r="G182" s="16" t="s">
        <v>8</v>
      </c>
      <c r="H182" s="16">
        <v>15</v>
      </c>
      <c r="I182" s="16">
        <v>650</v>
      </c>
      <c r="J182" s="16">
        <v>1347</v>
      </c>
      <c r="K182" s="17">
        <f t="shared" si="8"/>
        <v>9750</v>
      </c>
      <c r="L182" s="17">
        <f t="shared" si="9"/>
        <v>20205</v>
      </c>
      <c r="M182" s="17">
        <f t="shared" si="10"/>
        <v>10455</v>
      </c>
      <c r="N182" s="17" t="str">
        <f t="shared" si="11"/>
        <v>profit</v>
      </c>
    </row>
    <row r="183" spans="1:14" ht="15.6" thickTop="1" thickBot="1" x14ac:dyDescent="0.35">
      <c r="A183" s="15">
        <v>45678</v>
      </c>
      <c r="B183" s="15" t="s">
        <v>119</v>
      </c>
      <c r="C183" s="16" t="s">
        <v>127</v>
      </c>
      <c r="D183" s="16" t="s">
        <v>43</v>
      </c>
      <c r="E183" s="16" t="s">
        <v>62</v>
      </c>
      <c r="F183" s="16" t="s">
        <v>45</v>
      </c>
      <c r="G183" s="16" t="s">
        <v>8</v>
      </c>
      <c r="H183" s="16">
        <v>20</v>
      </c>
      <c r="I183" s="16">
        <v>900</v>
      </c>
      <c r="J183" s="16">
        <v>1431</v>
      </c>
      <c r="K183" s="17">
        <f t="shared" si="8"/>
        <v>18000</v>
      </c>
      <c r="L183" s="17">
        <f t="shared" si="9"/>
        <v>28620</v>
      </c>
      <c r="M183" s="17">
        <f t="shared" si="10"/>
        <v>10620</v>
      </c>
      <c r="N183" s="17" t="str">
        <f t="shared" si="11"/>
        <v>profit</v>
      </c>
    </row>
    <row r="184" spans="1:14" ht="15.6" thickTop="1" thickBot="1" x14ac:dyDescent="0.35">
      <c r="A184" s="15">
        <v>45565</v>
      </c>
      <c r="B184" s="15" t="s">
        <v>94</v>
      </c>
      <c r="C184" s="16" t="s">
        <v>152</v>
      </c>
      <c r="D184" s="16" t="s">
        <v>43</v>
      </c>
      <c r="E184" s="16" t="s">
        <v>44</v>
      </c>
      <c r="F184" s="16" t="s">
        <v>89</v>
      </c>
      <c r="G184" s="16" t="s">
        <v>8</v>
      </c>
      <c r="H184" s="16">
        <v>15</v>
      </c>
      <c r="I184" s="16">
        <v>825</v>
      </c>
      <c r="J184" s="16">
        <v>947</v>
      </c>
      <c r="K184" s="17">
        <f t="shared" si="8"/>
        <v>12375</v>
      </c>
      <c r="L184" s="17">
        <f t="shared" si="9"/>
        <v>14205</v>
      </c>
      <c r="M184" s="17">
        <f t="shared" si="10"/>
        <v>1830</v>
      </c>
      <c r="N184" s="17" t="str">
        <f t="shared" si="11"/>
        <v>profit</v>
      </c>
    </row>
    <row r="185" spans="1:14" ht="15.6" thickTop="1" thickBot="1" x14ac:dyDescent="0.35">
      <c r="A185" s="15">
        <v>45679</v>
      </c>
      <c r="B185" s="15" t="s">
        <v>119</v>
      </c>
      <c r="C185" s="16" t="s">
        <v>128</v>
      </c>
      <c r="D185" s="16" t="s">
        <v>43</v>
      </c>
      <c r="E185" s="16" t="s">
        <v>62</v>
      </c>
      <c r="F185" s="16" t="s">
        <v>47</v>
      </c>
      <c r="G185" s="16" t="s">
        <v>8</v>
      </c>
      <c r="H185" s="16">
        <v>19</v>
      </c>
      <c r="I185" s="16">
        <v>791</v>
      </c>
      <c r="J185" s="16">
        <v>965</v>
      </c>
      <c r="K185" s="17">
        <f t="shared" si="8"/>
        <v>15029</v>
      </c>
      <c r="L185" s="17">
        <f t="shared" si="9"/>
        <v>18335</v>
      </c>
      <c r="M185" s="17">
        <f t="shared" si="10"/>
        <v>3306</v>
      </c>
      <c r="N185" s="17" t="str">
        <f t="shared" si="11"/>
        <v>profit</v>
      </c>
    </row>
    <row r="186" spans="1:14" ht="15.6" thickTop="1" thickBot="1" x14ac:dyDescent="0.35">
      <c r="A186" s="15">
        <v>45680</v>
      </c>
      <c r="B186" s="15" t="s">
        <v>119</v>
      </c>
      <c r="C186" s="16" t="s">
        <v>129</v>
      </c>
      <c r="D186" s="16" t="s">
        <v>43</v>
      </c>
      <c r="E186" s="16" t="s">
        <v>62</v>
      </c>
      <c r="F186" s="16" t="s">
        <v>49</v>
      </c>
      <c r="G186" s="16" t="s">
        <v>8</v>
      </c>
      <c r="H186" s="16">
        <v>18</v>
      </c>
      <c r="I186" s="16">
        <v>963</v>
      </c>
      <c r="J186" s="16">
        <v>1178</v>
      </c>
      <c r="K186" s="17">
        <f t="shared" si="8"/>
        <v>17334</v>
      </c>
      <c r="L186" s="17">
        <f t="shared" si="9"/>
        <v>21204</v>
      </c>
      <c r="M186" s="17">
        <f t="shared" si="10"/>
        <v>3870</v>
      </c>
      <c r="N186" s="17" t="str">
        <f t="shared" si="11"/>
        <v>profit</v>
      </c>
    </row>
    <row r="187" spans="1:14" ht="15.6" thickTop="1" thickBot="1" x14ac:dyDescent="0.35">
      <c r="A187" s="15">
        <v>45681</v>
      </c>
      <c r="B187" s="15" t="s">
        <v>119</v>
      </c>
      <c r="C187" s="16" t="s">
        <v>130</v>
      </c>
      <c r="D187" s="16" t="s">
        <v>43</v>
      </c>
      <c r="E187" s="16" t="s">
        <v>62</v>
      </c>
      <c r="F187" s="16" t="s">
        <v>51</v>
      </c>
      <c r="G187" s="16" t="s">
        <v>8</v>
      </c>
      <c r="H187" s="16">
        <v>19</v>
      </c>
      <c r="I187" s="16">
        <v>763</v>
      </c>
      <c r="J187" s="16">
        <v>1036</v>
      </c>
      <c r="K187" s="17">
        <f t="shared" si="8"/>
        <v>14497</v>
      </c>
      <c r="L187" s="17">
        <f t="shared" si="9"/>
        <v>19684</v>
      </c>
      <c r="M187" s="17">
        <f t="shared" si="10"/>
        <v>5187</v>
      </c>
      <c r="N187" s="17" t="str">
        <f t="shared" si="11"/>
        <v>profit</v>
      </c>
    </row>
    <row r="188" spans="1:14" ht="15.6" thickTop="1" thickBot="1" x14ac:dyDescent="0.35">
      <c r="A188" s="15">
        <v>45682</v>
      </c>
      <c r="B188" s="15" t="s">
        <v>119</v>
      </c>
      <c r="C188" s="16" t="s">
        <v>131</v>
      </c>
      <c r="D188" s="16" t="s">
        <v>43</v>
      </c>
      <c r="E188" s="16" t="s">
        <v>62</v>
      </c>
      <c r="F188" s="16" t="s">
        <v>51</v>
      </c>
      <c r="G188" s="16" t="s">
        <v>8</v>
      </c>
      <c r="H188" s="16">
        <v>19</v>
      </c>
      <c r="I188" s="16">
        <v>795</v>
      </c>
      <c r="J188" s="16">
        <v>1471</v>
      </c>
      <c r="K188" s="17">
        <f t="shared" si="8"/>
        <v>15105</v>
      </c>
      <c r="L188" s="17">
        <f t="shared" si="9"/>
        <v>27949</v>
      </c>
      <c r="M188" s="17">
        <f t="shared" si="10"/>
        <v>12844</v>
      </c>
      <c r="N188" s="17" t="str">
        <f t="shared" si="11"/>
        <v>profit</v>
      </c>
    </row>
    <row r="189" spans="1:14" ht="15.6" thickTop="1" thickBot="1" x14ac:dyDescent="0.35">
      <c r="A189" s="15">
        <v>45684</v>
      </c>
      <c r="B189" s="15" t="s">
        <v>119</v>
      </c>
      <c r="C189" s="16" t="s">
        <v>133</v>
      </c>
      <c r="D189" s="16" t="s">
        <v>43</v>
      </c>
      <c r="E189" s="16" t="s">
        <v>62</v>
      </c>
      <c r="F189" s="16" t="s">
        <v>55</v>
      </c>
      <c r="G189" s="16" t="s">
        <v>12</v>
      </c>
      <c r="H189" s="16">
        <v>16</v>
      </c>
      <c r="I189" s="16">
        <v>731</v>
      </c>
      <c r="J189" s="16">
        <v>1296</v>
      </c>
      <c r="K189" s="17">
        <f t="shared" si="8"/>
        <v>11696</v>
      </c>
      <c r="L189" s="17">
        <f t="shared" si="9"/>
        <v>20736</v>
      </c>
      <c r="M189" s="17">
        <f t="shared" si="10"/>
        <v>9040</v>
      </c>
      <c r="N189" s="17" t="str">
        <f t="shared" si="11"/>
        <v>profit</v>
      </c>
    </row>
    <row r="190" spans="1:14" ht="15.6" thickTop="1" thickBot="1" x14ac:dyDescent="0.35">
      <c r="A190" s="15">
        <v>45571</v>
      </c>
      <c r="B190" s="15" t="s">
        <v>109</v>
      </c>
      <c r="C190" s="16" t="s">
        <v>153</v>
      </c>
      <c r="D190" s="16" t="s">
        <v>58</v>
      </c>
      <c r="E190" s="16" t="s">
        <v>123</v>
      </c>
      <c r="F190" s="16" t="s">
        <v>69</v>
      </c>
      <c r="G190" s="16" t="s">
        <v>8</v>
      </c>
      <c r="H190" s="16">
        <v>92</v>
      </c>
      <c r="I190" s="16">
        <v>923</v>
      </c>
      <c r="J190" s="16">
        <v>1151</v>
      </c>
      <c r="K190" s="17">
        <f t="shared" si="8"/>
        <v>84916</v>
      </c>
      <c r="L190" s="17">
        <f t="shared" si="9"/>
        <v>105892</v>
      </c>
      <c r="M190" s="17">
        <f t="shared" si="10"/>
        <v>20976</v>
      </c>
      <c r="N190" s="17" t="str">
        <f t="shared" si="11"/>
        <v>profit</v>
      </c>
    </row>
    <row r="191" spans="1:14" ht="15.6" thickTop="1" thickBot="1" x14ac:dyDescent="0.35">
      <c r="A191" s="15">
        <v>45685</v>
      </c>
      <c r="B191" s="15" t="s">
        <v>119</v>
      </c>
      <c r="C191" s="16" t="s">
        <v>134</v>
      </c>
      <c r="D191" s="16" t="s">
        <v>43</v>
      </c>
      <c r="E191" s="16" t="s">
        <v>62</v>
      </c>
      <c r="F191" s="16" t="s">
        <v>51</v>
      </c>
      <c r="G191" s="16" t="s">
        <v>12</v>
      </c>
      <c r="H191" s="16">
        <v>12</v>
      </c>
      <c r="I191" s="16">
        <v>927</v>
      </c>
      <c r="J191" s="16">
        <v>1162</v>
      </c>
      <c r="K191" s="17">
        <f t="shared" si="8"/>
        <v>11124</v>
      </c>
      <c r="L191" s="17">
        <f t="shared" si="9"/>
        <v>13944</v>
      </c>
      <c r="M191" s="17">
        <f t="shared" si="10"/>
        <v>2820</v>
      </c>
      <c r="N191" s="17" t="str">
        <f t="shared" si="11"/>
        <v>profit</v>
      </c>
    </row>
    <row r="192" spans="1:14" ht="15.6" thickTop="1" thickBot="1" x14ac:dyDescent="0.35">
      <c r="A192" s="15">
        <v>45686</v>
      </c>
      <c r="B192" s="15" t="s">
        <v>119</v>
      </c>
      <c r="C192" s="16" t="s">
        <v>135</v>
      </c>
      <c r="D192" s="16" t="s">
        <v>43</v>
      </c>
      <c r="E192" s="16" t="s">
        <v>62</v>
      </c>
      <c r="F192" s="16" t="s">
        <v>64</v>
      </c>
      <c r="G192" s="16" t="s">
        <v>12</v>
      </c>
      <c r="H192" s="16">
        <v>13</v>
      </c>
      <c r="I192" s="16">
        <v>528</v>
      </c>
      <c r="J192" s="16">
        <v>1175</v>
      </c>
      <c r="K192" s="17">
        <f t="shared" si="8"/>
        <v>6864</v>
      </c>
      <c r="L192" s="17">
        <f t="shared" si="9"/>
        <v>15275</v>
      </c>
      <c r="M192" s="17">
        <f t="shared" si="10"/>
        <v>8411</v>
      </c>
      <c r="N192" s="17" t="str">
        <f t="shared" si="11"/>
        <v>profit</v>
      </c>
    </row>
    <row r="193" spans="1:14" ht="15.6" thickTop="1" thickBot="1" x14ac:dyDescent="0.35">
      <c r="A193" s="15">
        <v>45688</v>
      </c>
      <c r="B193" s="15" t="s">
        <v>119</v>
      </c>
      <c r="C193" s="16" t="s">
        <v>136</v>
      </c>
      <c r="D193" s="16" t="s">
        <v>43</v>
      </c>
      <c r="E193" s="16" t="s">
        <v>62</v>
      </c>
      <c r="F193" s="16" t="s">
        <v>137</v>
      </c>
      <c r="G193" s="16" t="s">
        <v>12</v>
      </c>
      <c r="H193" s="16">
        <v>16</v>
      </c>
      <c r="I193" s="16">
        <v>998</v>
      </c>
      <c r="J193" s="16">
        <v>835</v>
      </c>
      <c r="K193" s="17">
        <f t="shared" si="8"/>
        <v>15968</v>
      </c>
      <c r="L193" s="17">
        <f t="shared" si="9"/>
        <v>13360</v>
      </c>
      <c r="M193" s="17">
        <f t="shared" si="10"/>
        <v>-2608</v>
      </c>
      <c r="N193" s="17" t="str">
        <f t="shared" si="11"/>
        <v>loss</v>
      </c>
    </row>
    <row r="194" spans="1:14" ht="15.6" thickTop="1" thickBot="1" x14ac:dyDescent="0.35">
      <c r="A194" s="15">
        <v>45383</v>
      </c>
      <c r="B194" s="15" t="s">
        <v>56</v>
      </c>
      <c r="C194" s="16" t="s">
        <v>154</v>
      </c>
      <c r="D194" s="16" t="s">
        <v>71</v>
      </c>
      <c r="E194" s="16" t="s">
        <v>72</v>
      </c>
      <c r="F194" s="16" t="s">
        <v>7</v>
      </c>
      <c r="G194" s="16" t="s">
        <v>12</v>
      </c>
      <c r="H194" s="16">
        <v>29</v>
      </c>
      <c r="I194" s="16">
        <v>924</v>
      </c>
      <c r="J194" s="16">
        <v>1101</v>
      </c>
      <c r="K194" s="17">
        <f t="shared" ref="K194:K257" si="12">H194*I194</f>
        <v>26796</v>
      </c>
      <c r="L194" s="17">
        <f t="shared" ref="L194:L257" si="13">H194*J194</f>
        <v>31929</v>
      </c>
      <c r="M194" s="17">
        <f t="shared" ref="M194:M257" si="14">L194-K194</f>
        <v>5133</v>
      </c>
      <c r="N194" s="17" t="str">
        <f t="shared" ref="N194:N257" si="15">IF(M194&gt;0,"profit","loss")</f>
        <v>profit</v>
      </c>
    </row>
    <row r="195" spans="1:14" ht="15.6" thickTop="1" thickBot="1" x14ac:dyDescent="0.35">
      <c r="A195" s="15">
        <v>45384</v>
      </c>
      <c r="B195" s="15" t="s">
        <v>56</v>
      </c>
      <c r="C195" s="16" t="s">
        <v>155</v>
      </c>
      <c r="D195" s="16" t="s">
        <v>71</v>
      </c>
      <c r="E195" s="16" t="s">
        <v>156</v>
      </c>
      <c r="F195" s="16" t="s">
        <v>69</v>
      </c>
      <c r="G195" s="16" t="s">
        <v>12</v>
      </c>
      <c r="H195" s="16">
        <v>30</v>
      </c>
      <c r="I195" s="16">
        <v>817</v>
      </c>
      <c r="J195" s="16">
        <v>1334</v>
      </c>
      <c r="K195" s="17">
        <f t="shared" si="12"/>
        <v>24510</v>
      </c>
      <c r="L195" s="17">
        <f t="shared" si="13"/>
        <v>40020</v>
      </c>
      <c r="M195" s="17">
        <f t="shared" si="14"/>
        <v>15510</v>
      </c>
      <c r="N195" s="17" t="str">
        <f t="shared" si="15"/>
        <v>profit</v>
      </c>
    </row>
    <row r="196" spans="1:14" ht="15.6" thickTop="1" thickBot="1" x14ac:dyDescent="0.35">
      <c r="A196" s="15">
        <v>45385</v>
      </c>
      <c r="B196" s="15" t="s">
        <v>56</v>
      </c>
      <c r="C196" s="16" t="s">
        <v>157</v>
      </c>
      <c r="D196" s="16" t="s">
        <v>71</v>
      </c>
      <c r="E196" s="16" t="s">
        <v>156</v>
      </c>
      <c r="F196" s="16" t="s">
        <v>51</v>
      </c>
      <c r="G196" s="16" t="s">
        <v>12</v>
      </c>
      <c r="H196" s="16">
        <v>23</v>
      </c>
      <c r="I196" s="16">
        <v>753</v>
      </c>
      <c r="J196" s="16">
        <v>987</v>
      </c>
      <c r="K196" s="17">
        <f t="shared" si="12"/>
        <v>17319</v>
      </c>
      <c r="L196" s="17">
        <f t="shared" si="13"/>
        <v>22701</v>
      </c>
      <c r="M196" s="17">
        <f t="shared" si="14"/>
        <v>5382</v>
      </c>
      <c r="N196" s="17" t="str">
        <f t="shared" si="15"/>
        <v>profit</v>
      </c>
    </row>
    <row r="197" spans="1:14" ht="15.6" thickTop="1" thickBot="1" x14ac:dyDescent="0.35">
      <c r="A197" s="15">
        <v>45578</v>
      </c>
      <c r="B197" s="15" t="s">
        <v>109</v>
      </c>
      <c r="C197" s="16" t="s">
        <v>158</v>
      </c>
      <c r="D197" s="16" t="s">
        <v>58</v>
      </c>
      <c r="E197" s="16" t="s">
        <v>143</v>
      </c>
      <c r="F197" s="16" t="s">
        <v>51</v>
      </c>
      <c r="G197" s="16" t="s">
        <v>12</v>
      </c>
      <c r="H197" s="16">
        <v>57</v>
      </c>
      <c r="I197" s="16">
        <v>927</v>
      </c>
      <c r="J197" s="16">
        <v>1477</v>
      </c>
      <c r="K197" s="17">
        <f t="shared" si="12"/>
        <v>52839</v>
      </c>
      <c r="L197" s="17">
        <f t="shared" si="13"/>
        <v>84189</v>
      </c>
      <c r="M197" s="17">
        <f t="shared" si="14"/>
        <v>31350</v>
      </c>
      <c r="N197" s="17" t="str">
        <f t="shared" si="15"/>
        <v>profit</v>
      </c>
    </row>
    <row r="198" spans="1:14" ht="15.6" thickTop="1" thickBot="1" x14ac:dyDescent="0.35">
      <c r="A198" s="15">
        <v>45386</v>
      </c>
      <c r="B198" s="15" t="s">
        <v>56</v>
      </c>
      <c r="C198" s="16" t="s">
        <v>159</v>
      </c>
      <c r="D198" s="16" t="s">
        <v>71</v>
      </c>
      <c r="E198" s="16" t="s">
        <v>156</v>
      </c>
      <c r="F198" s="16" t="s">
        <v>89</v>
      </c>
      <c r="G198" s="16" t="s">
        <v>12</v>
      </c>
      <c r="H198" s="16">
        <v>26</v>
      </c>
      <c r="I198" s="16">
        <v>809</v>
      </c>
      <c r="J198" s="16">
        <v>800</v>
      </c>
      <c r="K198" s="17">
        <f t="shared" si="12"/>
        <v>21034</v>
      </c>
      <c r="L198" s="17">
        <f t="shared" si="13"/>
        <v>20800</v>
      </c>
      <c r="M198" s="17">
        <f t="shared" si="14"/>
        <v>-234</v>
      </c>
      <c r="N198" s="17" t="str">
        <f t="shared" si="15"/>
        <v>loss</v>
      </c>
    </row>
    <row r="199" spans="1:14" ht="15.6" thickTop="1" thickBot="1" x14ac:dyDescent="0.35">
      <c r="A199" s="15">
        <v>45391</v>
      </c>
      <c r="B199" s="15" t="s">
        <v>56</v>
      </c>
      <c r="C199" s="16" t="s">
        <v>160</v>
      </c>
      <c r="D199" s="16" t="s">
        <v>71</v>
      </c>
      <c r="E199" s="16" t="s">
        <v>72</v>
      </c>
      <c r="F199" s="16" t="s">
        <v>85</v>
      </c>
      <c r="G199" s="16" t="s">
        <v>8</v>
      </c>
      <c r="H199" s="16">
        <v>23</v>
      </c>
      <c r="I199" s="16">
        <v>852</v>
      </c>
      <c r="J199" s="16">
        <v>1480</v>
      </c>
      <c r="K199" s="17">
        <f t="shared" si="12"/>
        <v>19596</v>
      </c>
      <c r="L199" s="17">
        <f t="shared" si="13"/>
        <v>34040</v>
      </c>
      <c r="M199" s="17">
        <f t="shared" si="14"/>
        <v>14444</v>
      </c>
      <c r="N199" s="17" t="str">
        <f t="shared" si="15"/>
        <v>profit</v>
      </c>
    </row>
    <row r="200" spans="1:14" ht="15.6" thickTop="1" thickBot="1" x14ac:dyDescent="0.35">
      <c r="A200" s="15">
        <v>45392</v>
      </c>
      <c r="B200" s="15" t="s">
        <v>56</v>
      </c>
      <c r="C200" s="16" t="s">
        <v>161</v>
      </c>
      <c r="D200" s="16" t="s">
        <v>71</v>
      </c>
      <c r="E200" s="16" t="s">
        <v>72</v>
      </c>
      <c r="F200" s="16" t="s">
        <v>60</v>
      </c>
      <c r="G200" s="16" t="s">
        <v>8</v>
      </c>
      <c r="H200" s="16">
        <v>24</v>
      </c>
      <c r="I200" s="16">
        <v>903</v>
      </c>
      <c r="J200" s="16">
        <v>1338</v>
      </c>
      <c r="K200" s="17">
        <f t="shared" si="12"/>
        <v>21672</v>
      </c>
      <c r="L200" s="17">
        <f t="shared" si="13"/>
        <v>32112</v>
      </c>
      <c r="M200" s="17">
        <f t="shared" si="14"/>
        <v>10440</v>
      </c>
      <c r="N200" s="17" t="str">
        <f t="shared" si="15"/>
        <v>profit</v>
      </c>
    </row>
    <row r="201" spans="1:14" ht="15.6" thickTop="1" thickBot="1" x14ac:dyDescent="0.35">
      <c r="A201" s="15">
        <v>45393</v>
      </c>
      <c r="B201" s="15" t="s">
        <v>56</v>
      </c>
      <c r="C201" s="16" t="s">
        <v>162</v>
      </c>
      <c r="D201" s="16" t="s">
        <v>71</v>
      </c>
      <c r="E201" s="16" t="s">
        <v>72</v>
      </c>
      <c r="F201" s="16" t="s">
        <v>64</v>
      </c>
      <c r="G201" s="16" t="s">
        <v>8</v>
      </c>
      <c r="H201" s="16">
        <v>21</v>
      </c>
      <c r="I201" s="16">
        <v>829</v>
      </c>
      <c r="J201" s="16">
        <v>950</v>
      </c>
      <c r="K201" s="17">
        <f t="shared" si="12"/>
        <v>17409</v>
      </c>
      <c r="L201" s="17">
        <f t="shared" si="13"/>
        <v>19950</v>
      </c>
      <c r="M201" s="17">
        <f t="shared" si="14"/>
        <v>2541</v>
      </c>
      <c r="N201" s="17" t="str">
        <f t="shared" si="15"/>
        <v>profit</v>
      </c>
    </row>
    <row r="202" spans="1:14" ht="15.6" thickTop="1" thickBot="1" x14ac:dyDescent="0.35">
      <c r="A202" s="15">
        <v>45583</v>
      </c>
      <c r="B202" s="15" t="s">
        <v>109</v>
      </c>
      <c r="C202" s="16" t="s">
        <v>163</v>
      </c>
      <c r="D202" s="16" t="s">
        <v>43</v>
      </c>
      <c r="E202" s="16" t="s">
        <v>62</v>
      </c>
      <c r="F202" s="16" t="s">
        <v>79</v>
      </c>
      <c r="G202" s="16" t="s">
        <v>8</v>
      </c>
      <c r="H202" s="16">
        <v>16</v>
      </c>
      <c r="I202" s="16">
        <v>584</v>
      </c>
      <c r="J202" s="16">
        <v>1278</v>
      </c>
      <c r="K202" s="17">
        <f t="shared" si="12"/>
        <v>9344</v>
      </c>
      <c r="L202" s="17">
        <f t="shared" si="13"/>
        <v>20448</v>
      </c>
      <c r="M202" s="17">
        <f t="shared" si="14"/>
        <v>11104</v>
      </c>
      <c r="N202" s="17" t="str">
        <f t="shared" si="15"/>
        <v>profit</v>
      </c>
    </row>
    <row r="203" spans="1:14" ht="15.6" thickTop="1" thickBot="1" x14ac:dyDescent="0.35">
      <c r="A203" s="15">
        <v>45394</v>
      </c>
      <c r="B203" s="15" t="s">
        <v>56</v>
      </c>
      <c r="C203" s="16" t="s">
        <v>164</v>
      </c>
      <c r="D203" s="16" t="s">
        <v>71</v>
      </c>
      <c r="E203" s="16" t="s">
        <v>72</v>
      </c>
      <c r="F203" s="16" t="s">
        <v>64</v>
      </c>
      <c r="G203" s="16" t="s">
        <v>8</v>
      </c>
      <c r="H203" s="16">
        <v>20</v>
      </c>
      <c r="I203" s="16">
        <v>557</v>
      </c>
      <c r="J203" s="16">
        <v>1002</v>
      </c>
      <c r="K203" s="17">
        <f t="shared" si="12"/>
        <v>11140</v>
      </c>
      <c r="L203" s="17">
        <f t="shared" si="13"/>
        <v>20040</v>
      </c>
      <c r="M203" s="17">
        <f t="shared" si="14"/>
        <v>8900</v>
      </c>
      <c r="N203" s="17" t="str">
        <f t="shared" si="15"/>
        <v>profit</v>
      </c>
    </row>
    <row r="204" spans="1:14" ht="15.6" thickTop="1" thickBot="1" x14ac:dyDescent="0.35">
      <c r="A204" s="15">
        <v>45396</v>
      </c>
      <c r="B204" s="15" t="s">
        <v>56</v>
      </c>
      <c r="C204" s="16" t="s">
        <v>165</v>
      </c>
      <c r="D204" s="16" t="s">
        <v>71</v>
      </c>
      <c r="E204" s="16" t="s">
        <v>72</v>
      </c>
      <c r="F204" s="16" t="s">
        <v>53</v>
      </c>
      <c r="G204" s="16" t="s">
        <v>8</v>
      </c>
      <c r="H204" s="16">
        <v>20</v>
      </c>
      <c r="I204" s="16">
        <v>648</v>
      </c>
      <c r="J204" s="16">
        <v>1106</v>
      </c>
      <c r="K204" s="17">
        <f t="shared" si="12"/>
        <v>12960</v>
      </c>
      <c r="L204" s="17">
        <f t="shared" si="13"/>
        <v>22120</v>
      </c>
      <c r="M204" s="17">
        <f t="shared" si="14"/>
        <v>9160</v>
      </c>
      <c r="N204" s="17" t="str">
        <f t="shared" si="15"/>
        <v>profit</v>
      </c>
    </row>
    <row r="205" spans="1:14" ht="15.6" thickTop="1" thickBot="1" x14ac:dyDescent="0.35">
      <c r="A205" s="15">
        <v>45586</v>
      </c>
      <c r="B205" s="15" t="s">
        <v>109</v>
      </c>
      <c r="C205" s="16" t="s">
        <v>166</v>
      </c>
      <c r="D205" s="16" t="s">
        <v>43</v>
      </c>
      <c r="E205" s="16" t="s">
        <v>62</v>
      </c>
      <c r="F205" s="16" t="s">
        <v>64</v>
      </c>
      <c r="G205" s="16" t="s">
        <v>8</v>
      </c>
      <c r="H205" s="16">
        <v>19</v>
      </c>
      <c r="I205" s="16">
        <v>589</v>
      </c>
      <c r="J205" s="16">
        <v>1100</v>
      </c>
      <c r="K205" s="17">
        <f t="shared" si="12"/>
        <v>11191</v>
      </c>
      <c r="L205" s="17">
        <f t="shared" si="13"/>
        <v>20900</v>
      </c>
      <c r="M205" s="17">
        <f t="shared" si="14"/>
        <v>9709</v>
      </c>
      <c r="N205" s="17" t="str">
        <f t="shared" si="15"/>
        <v>profit</v>
      </c>
    </row>
    <row r="206" spans="1:14" ht="15.6" thickTop="1" thickBot="1" x14ac:dyDescent="0.35">
      <c r="A206" s="15">
        <v>45404</v>
      </c>
      <c r="B206" s="15" t="s">
        <v>56</v>
      </c>
      <c r="C206" s="16" t="s">
        <v>167</v>
      </c>
      <c r="D206" s="16" t="s">
        <v>71</v>
      </c>
      <c r="E206" s="16" t="s">
        <v>88</v>
      </c>
      <c r="F206" s="16" t="s">
        <v>64</v>
      </c>
      <c r="G206" s="16" t="s">
        <v>12</v>
      </c>
      <c r="H206" s="16">
        <v>26</v>
      </c>
      <c r="I206" s="16">
        <v>942</v>
      </c>
      <c r="J206" s="16">
        <v>1143</v>
      </c>
      <c r="K206" s="17">
        <f t="shared" si="12"/>
        <v>24492</v>
      </c>
      <c r="L206" s="17">
        <f t="shared" si="13"/>
        <v>29718</v>
      </c>
      <c r="M206" s="17">
        <f t="shared" si="14"/>
        <v>5226</v>
      </c>
      <c r="N206" s="17" t="str">
        <f t="shared" si="15"/>
        <v>profit</v>
      </c>
    </row>
    <row r="207" spans="1:14" ht="15.6" thickTop="1" thickBot="1" x14ac:dyDescent="0.35">
      <c r="A207" s="15">
        <v>45588</v>
      </c>
      <c r="B207" s="15" t="s">
        <v>109</v>
      </c>
      <c r="C207" s="16" t="s">
        <v>168</v>
      </c>
      <c r="D207" s="16" t="s">
        <v>71</v>
      </c>
      <c r="E207" s="16" t="s">
        <v>72</v>
      </c>
      <c r="F207" s="16" t="s">
        <v>89</v>
      </c>
      <c r="G207" s="16" t="s">
        <v>8</v>
      </c>
      <c r="H207" s="16">
        <v>30</v>
      </c>
      <c r="I207" s="16">
        <v>869</v>
      </c>
      <c r="J207" s="16">
        <v>1033</v>
      </c>
      <c r="K207" s="17">
        <f t="shared" si="12"/>
        <v>26070</v>
      </c>
      <c r="L207" s="17">
        <f t="shared" si="13"/>
        <v>30990</v>
      </c>
      <c r="M207" s="17">
        <f t="shared" si="14"/>
        <v>4920</v>
      </c>
      <c r="N207" s="17" t="str">
        <f t="shared" si="15"/>
        <v>profit</v>
      </c>
    </row>
    <row r="208" spans="1:14" ht="15.6" thickTop="1" thickBot="1" x14ac:dyDescent="0.35">
      <c r="A208" s="15">
        <v>45406</v>
      </c>
      <c r="B208" s="15" t="s">
        <v>56</v>
      </c>
      <c r="C208" s="16" t="s">
        <v>169</v>
      </c>
      <c r="D208" s="16" t="s">
        <v>71</v>
      </c>
      <c r="E208" s="16" t="s">
        <v>88</v>
      </c>
      <c r="F208" s="16" t="s">
        <v>89</v>
      </c>
      <c r="G208" s="16" t="s">
        <v>12</v>
      </c>
      <c r="H208" s="16">
        <v>20</v>
      </c>
      <c r="I208" s="16">
        <v>606</v>
      </c>
      <c r="J208" s="16">
        <v>806</v>
      </c>
      <c r="K208" s="17">
        <f t="shared" si="12"/>
        <v>12120</v>
      </c>
      <c r="L208" s="17">
        <f t="shared" si="13"/>
        <v>16120</v>
      </c>
      <c r="M208" s="17">
        <f t="shared" si="14"/>
        <v>4000</v>
      </c>
      <c r="N208" s="17" t="str">
        <f t="shared" si="15"/>
        <v>profit</v>
      </c>
    </row>
    <row r="209" spans="1:14" ht="15.6" thickTop="1" thickBot="1" x14ac:dyDescent="0.35">
      <c r="A209" s="15">
        <v>45590</v>
      </c>
      <c r="B209" s="15" t="s">
        <v>109</v>
      </c>
      <c r="C209" s="16" t="s">
        <v>170</v>
      </c>
      <c r="D209" s="16" t="s">
        <v>71</v>
      </c>
      <c r="E209" s="16" t="s">
        <v>156</v>
      </c>
      <c r="F209" s="16" t="s">
        <v>64</v>
      </c>
      <c r="G209" s="16" t="s">
        <v>12</v>
      </c>
      <c r="H209" s="16">
        <v>20</v>
      </c>
      <c r="I209" s="16">
        <v>979</v>
      </c>
      <c r="J209" s="16">
        <v>1471</v>
      </c>
      <c r="K209" s="17">
        <f t="shared" si="12"/>
        <v>19580</v>
      </c>
      <c r="L209" s="17">
        <f t="shared" si="13"/>
        <v>29420</v>
      </c>
      <c r="M209" s="17">
        <f t="shared" si="14"/>
        <v>9840</v>
      </c>
      <c r="N209" s="17" t="str">
        <f t="shared" si="15"/>
        <v>profit</v>
      </c>
    </row>
    <row r="210" spans="1:14" ht="15.6" thickTop="1" thickBot="1" x14ac:dyDescent="0.35">
      <c r="A210" s="15">
        <v>45408</v>
      </c>
      <c r="B210" s="15" t="s">
        <v>56</v>
      </c>
      <c r="C210" s="16" t="s">
        <v>171</v>
      </c>
      <c r="D210" s="16" t="s">
        <v>71</v>
      </c>
      <c r="E210" s="16" t="s">
        <v>88</v>
      </c>
      <c r="F210" s="16" t="s">
        <v>64</v>
      </c>
      <c r="G210" s="16" t="s">
        <v>8</v>
      </c>
      <c r="H210" s="16">
        <v>22</v>
      </c>
      <c r="I210" s="16">
        <v>822</v>
      </c>
      <c r="J210" s="16">
        <v>1153</v>
      </c>
      <c r="K210" s="17">
        <f t="shared" si="12"/>
        <v>18084</v>
      </c>
      <c r="L210" s="17">
        <f t="shared" si="13"/>
        <v>25366</v>
      </c>
      <c r="M210" s="17">
        <f t="shared" si="14"/>
        <v>7282</v>
      </c>
      <c r="N210" s="17" t="str">
        <f t="shared" si="15"/>
        <v>profit</v>
      </c>
    </row>
    <row r="211" spans="1:14" ht="15.6" thickTop="1" thickBot="1" x14ac:dyDescent="0.35">
      <c r="A211" s="15">
        <v>45409</v>
      </c>
      <c r="B211" s="15" t="s">
        <v>56</v>
      </c>
      <c r="C211" s="16" t="s">
        <v>172</v>
      </c>
      <c r="D211" s="16" t="s">
        <v>71</v>
      </c>
      <c r="E211" s="16" t="s">
        <v>88</v>
      </c>
      <c r="F211" s="16" t="s">
        <v>55</v>
      </c>
      <c r="G211" s="16" t="s">
        <v>8</v>
      </c>
      <c r="H211" s="16">
        <v>26</v>
      </c>
      <c r="I211" s="16">
        <v>505</v>
      </c>
      <c r="J211" s="16">
        <v>1337</v>
      </c>
      <c r="K211" s="17">
        <f t="shared" si="12"/>
        <v>13130</v>
      </c>
      <c r="L211" s="17">
        <f t="shared" si="13"/>
        <v>34762</v>
      </c>
      <c r="M211" s="17">
        <f t="shared" si="14"/>
        <v>21632</v>
      </c>
      <c r="N211" s="17" t="str">
        <f t="shared" si="15"/>
        <v>profit</v>
      </c>
    </row>
    <row r="212" spans="1:14" ht="15.6" thickTop="1" thickBot="1" x14ac:dyDescent="0.35">
      <c r="A212" s="15">
        <v>45410</v>
      </c>
      <c r="B212" s="15" t="s">
        <v>56</v>
      </c>
      <c r="C212" s="16" t="s">
        <v>173</v>
      </c>
      <c r="D212" s="16" t="s">
        <v>71</v>
      </c>
      <c r="E212" s="16" t="s">
        <v>88</v>
      </c>
      <c r="F212" s="16" t="s">
        <v>137</v>
      </c>
      <c r="G212" s="16" t="s">
        <v>8</v>
      </c>
      <c r="H212" s="16">
        <v>23</v>
      </c>
      <c r="I212" s="16">
        <v>649</v>
      </c>
      <c r="J212" s="16">
        <v>1210</v>
      </c>
      <c r="K212" s="17">
        <f t="shared" si="12"/>
        <v>14927</v>
      </c>
      <c r="L212" s="17">
        <f t="shared" si="13"/>
        <v>27830</v>
      </c>
      <c r="M212" s="17">
        <f t="shared" si="14"/>
        <v>12903</v>
      </c>
      <c r="N212" s="17" t="str">
        <f t="shared" si="15"/>
        <v>profit</v>
      </c>
    </row>
    <row r="213" spans="1:14" ht="15.6" thickTop="1" thickBot="1" x14ac:dyDescent="0.35">
      <c r="A213" s="15">
        <v>45411</v>
      </c>
      <c r="B213" s="15" t="s">
        <v>56</v>
      </c>
      <c r="C213" s="16" t="s">
        <v>174</v>
      </c>
      <c r="D213" s="16" t="s">
        <v>71</v>
      </c>
      <c r="E213" s="16" t="s">
        <v>88</v>
      </c>
      <c r="F213" s="16" t="s">
        <v>69</v>
      </c>
      <c r="G213" s="16" t="s">
        <v>8</v>
      </c>
      <c r="H213" s="16">
        <v>26</v>
      </c>
      <c r="I213" s="16">
        <v>647</v>
      </c>
      <c r="J213" s="16">
        <v>1025</v>
      </c>
      <c r="K213" s="17">
        <f t="shared" si="12"/>
        <v>16822</v>
      </c>
      <c r="L213" s="17">
        <f t="shared" si="13"/>
        <v>26650</v>
      </c>
      <c r="M213" s="17">
        <f t="shared" si="14"/>
        <v>9828</v>
      </c>
      <c r="N213" s="17" t="str">
        <f t="shared" si="15"/>
        <v>profit</v>
      </c>
    </row>
    <row r="214" spans="1:14" ht="15.6" thickTop="1" thickBot="1" x14ac:dyDescent="0.35">
      <c r="A214" s="15">
        <v>45412</v>
      </c>
      <c r="B214" s="15" t="s">
        <v>56</v>
      </c>
      <c r="C214" s="16" t="s">
        <v>175</v>
      </c>
      <c r="D214" s="16" t="s">
        <v>71</v>
      </c>
      <c r="E214" s="16" t="s">
        <v>88</v>
      </c>
      <c r="F214" s="16" t="s">
        <v>176</v>
      </c>
      <c r="G214" s="16" t="s">
        <v>8</v>
      </c>
      <c r="H214" s="16">
        <v>30</v>
      </c>
      <c r="I214" s="16">
        <v>843</v>
      </c>
      <c r="J214" s="16">
        <v>953</v>
      </c>
      <c r="K214" s="17">
        <f t="shared" si="12"/>
        <v>25290</v>
      </c>
      <c r="L214" s="17">
        <f t="shared" si="13"/>
        <v>28590</v>
      </c>
      <c r="M214" s="17">
        <f t="shared" si="14"/>
        <v>3300</v>
      </c>
      <c r="N214" s="17" t="str">
        <f t="shared" si="15"/>
        <v>profit</v>
      </c>
    </row>
    <row r="215" spans="1:14" ht="15.6" thickTop="1" thickBot="1" x14ac:dyDescent="0.35">
      <c r="A215" s="15">
        <v>45413</v>
      </c>
      <c r="B215" s="15" t="s">
        <v>121</v>
      </c>
      <c r="C215" s="16" t="s">
        <v>177</v>
      </c>
      <c r="D215" s="16" t="s">
        <v>71</v>
      </c>
      <c r="E215" s="16" t="s">
        <v>88</v>
      </c>
      <c r="F215" s="16" t="s">
        <v>178</v>
      </c>
      <c r="G215" s="16" t="s">
        <v>8</v>
      </c>
      <c r="H215" s="16">
        <v>21</v>
      </c>
      <c r="I215" s="16">
        <v>571</v>
      </c>
      <c r="J215" s="16">
        <v>900</v>
      </c>
      <c r="K215" s="17">
        <f t="shared" si="12"/>
        <v>11991</v>
      </c>
      <c r="L215" s="17">
        <f t="shared" si="13"/>
        <v>18900</v>
      </c>
      <c r="M215" s="17">
        <f t="shared" si="14"/>
        <v>6909</v>
      </c>
      <c r="N215" s="17" t="str">
        <f t="shared" si="15"/>
        <v>profit</v>
      </c>
    </row>
    <row r="216" spans="1:14" ht="15.6" thickTop="1" thickBot="1" x14ac:dyDescent="0.35">
      <c r="A216" s="15">
        <v>45414</v>
      </c>
      <c r="B216" s="15" t="s">
        <v>121</v>
      </c>
      <c r="C216" s="16" t="s">
        <v>179</v>
      </c>
      <c r="D216" s="16" t="s">
        <v>71</v>
      </c>
      <c r="E216" s="16" t="s">
        <v>88</v>
      </c>
      <c r="F216" s="16" t="s">
        <v>45</v>
      </c>
      <c r="G216" s="16" t="s">
        <v>12</v>
      </c>
      <c r="H216" s="16">
        <v>25</v>
      </c>
      <c r="I216" s="16">
        <v>909</v>
      </c>
      <c r="J216" s="16">
        <v>970</v>
      </c>
      <c r="K216" s="17">
        <f t="shared" si="12"/>
        <v>22725</v>
      </c>
      <c r="L216" s="17">
        <f t="shared" si="13"/>
        <v>24250</v>
      </c>
      <c r="M216" s="17">
        <f t="shared" si="14"/>
        <v>1525</v>
      </c>
      <c r="N216" s="17" t="str">
        <f t="shared" si="15"/>
        <v>profit</v>
      </c>
    </row>
    <row r="217" spans="1:14" ht="15.6" thickTop="1" thickBot="1" x14ac:dyDescent="0.35">
      <c r="A217" s="15">
        <v>45415</v>
      </c>
      <c r="B217" s="15" t="s">
        <v>121</v>
      </c>
      <c r="C217" s="16" t="s">
        <v>180</v>
      </c>
      <c r="D217" s="16" t="s">
        <v>71</v>
      </c>
      <c r="E217" s="16" t="s">
        <v>88</v>
      </c>
      <c r="F217" s="16" t="s">
        <v>47</v>
      </c>
      <c r="G217" s="16" t="s">
        <v>12</v>
      </c>
      <c r="H217" s="16">
        <v>24</v>
      </c>
      <c r="I217" s="16">
        <v>584</v>
      </c>
      <c r="J217" s="16">
        <v>1158</v>
      </c>
      <c r="K217" s="17">
        <f t="shared" si="12"/>
        <v>14016</v>
      </c>
      <c r="L217" s="17">
        <f t="shared" si="13"/>
        <v>27792</v>
      </c>
      <c r="M217" s="17">
        <f t="shared" si="14"/>
        <v>13776</v>
      </c>
      <c r="N217" s="17" t="str">
        <f t="shared" si="15"/>
        <v>profit</v>
      </c>
    </row>
    <row r="218" spans="1:14" ht="15.6" thickTop="1" thickBot="1" x14ac:dyDescent="0.35">
      <c r="A218" s="15">
        <v>45416</v>
      </c>
      <c r="B218" s="15" t="s">
        <v>121</v>
      </c>
      <c r="C218" s="16" t="s">
        <v>181</v>
      </c>
      <c r="D218" s="16" t="s">
        <v>71</v>
      </c>
      <c r="E218" s="16" t="s">
        <v>88</v>
      </c>
      <c r="F218" s="16" t="s">
        <v>49</v>
      </c>
      <c r="G218" s="16" t="s">
        <v>12</v>
      </c>
      <c r="H218" s="16">
        <v>28</v>
      </c>
      <c r="I218" s="16">
        <v>787</v>
      </c>
      <c r="J218" s="16">
        <v>1452</v>
      </c>
      <c r="K218" s="17">
        <f t="shared" si="12"/>
        <v>22036</v>
      </c>
      <c r="L218" s="17">
        <f t="shared" si="13"/>
        <v>40656</v>
      </c>
      <c r="M218" s="17">
        <f t="shared" si="14"/>
        <v>18620</v>
      </c>
      <c r="N218" s="17" t="str">
        <f t="shared" si="15"/>
        <v>profit</v>
      </c>
    </row>
    <row r="219" spans="1:14" ht="15.6" thickTop="1" thickBot="1" x14ac:dyDescent="0.35">
      <c r="A219" s="15">
        <v>45417</v>
      </c>
      <c r="B219" s="15" t="s">
        <v>121</v>
      </c>
      <c r="C219" s="16" t="s">
        <v>182</v>
      </c>
      <c r="D219" s="16" t="s">
        <v>71</v>
      </c>
      <c r="E219" s="16" t="s">
        <v>88</v>
      </c>
      <c r="F219" s="16" t="s">
        <v>51</v>
      </c>
      <c r="G219" s="16" t="s">
        <v>12</v>
      </c>
      <c r="H219" s="16">
        <v>23</v>
      </c>
      <c r="I219" s="16">
        <v>768</v>
      </c>
      <c r="J219" s="16">
        <v>1102</v>
      </c>
      <c r="K219" s="17">
        <f t="shared" si="12"/>
        <v>17664</v>
      </c>
      <c r="L219" s="17">
        <f t="shared" si="13"/>
        <v>25346</v>
      </c>
      <c r="M219" s="17">
        <f t="shared" si="14"/>
        <v>7682</v>
      </c>
      <c r="N219" s="17" t="str">
        <f t="shared" si="15"/>
        <v>profit</v>
      </c>
    </row>
    <row r="220" spans="1:14" ht="15.6" thickTop="1" thickBot="1" x14ac:dyDescent="0.35">
      <c r="A220" s="15">
        <v>45418</v>
      </c>
      <c r="B220" s="15" t="s">
        <v>121</v>
      </c>
      <c r="C220" s="16" t="s">
        <v>183</v>
      </c>
      <c r="D220" s="16" t="s">
        <v>71</v>
      </c>
      <c r="E220" s="16" t="s">
        <v>88</v>
      </c>
      <c r="F220" s="16" t="s">
        <v>51</v>
      </c>
      <c r="G220" s="16" t="s">
        <v>8</v>
      </c>
      <c r="H220" s="16">
        <v>23</v>
      </c>
      <c r="I220" s="16">
        <v>584</v>
      </c>
      <c r="J220" s="16">
        <v>1168</v>
      </c>
      <c r="K220" s="17">
        <f t="shared" si="12"/>
        <v>13432</v>
      </c>
      <c r="L220" s="17">
        <f t="shared" si="13"/>
        <v>26864</v>
      </c>
      <c r="M220" s="17">
        <f t="shared" si="14"/>
        <v>13432</v>
      </c>
      <c r="N220" s="17" t="str">
        <f t="shared" si="15"/>
        <v>profit</v>
      </c>
    </row>
    <row r="221" spans="1:14" ht="15.6" thickTop="1" thickBot="1" x14ac:dyDescent="0.35">
      <c r="A221" s="15">
        <v>45602</v>
      </c>
      <c r="B221" s="15" t="s">
        <v>184</v>
      </c>
      <c r="C221" s="16" t="s">
        <v>185</v>
      </c>
      <c r="D221" s="16" t="s">
        <v>58</v>
      </c>
      <c r="E221" s="16" t="s">
        <v>186</v>
      </c>
      <c r="F221" s="16" t="s">
        <v>55</v>
      </c>
      <c r="G221" s="16" t="s">
        <v>8</v>
      </c>
      <c r="H221" s="16">
        <v>57</v>
      </c>
      <c r="I221" s="16">
        <v>541</v>
      </c>
      <c r="J221" s="16">
        <v>819</v>
      </c>
      <c r="K221" s="17">
        <f t="shared" si="12"/>
        <v>30837</v>
      </c>
      <c r="L221" s="17">
        <f t="shared" si="13"/>
        <v>46683</v>
      </c>
      <c r="M221" s="17">
        <f t="shared" si="14"/>
        <v>15846</v>
      </c>
      <c r="N221" s="17" t="str">
        <f t="shared" si="15"/>
        <v>profit</v>
      </c>
    </row>
    <row r="222" spans="1:14" ht="15.6" thickTop="1" thickBot="1" x14ac:dyDescent="0.35">
      <c r="A222" s="15">
        <v>45419</v>
      </c>
      <c r="B222" s="15" t="s">
        <v>121</v>
      </c>
      <c r="C222" s="16" t="s">
        <v>187</v>
      </c>
      <c r="D222" s="16" t="s">
        <v>71</v>
      </c>
      <c r="E222" s="16" t="s">
        <v>10</v>
      </c>
      <c r="F222" s="16" t="s">
        <v>53</v>
      </c>
      <c r="G222" s="16" t="s">
        <v>8</v>
      </c>
      <c r="H222" s="16">
        <v>20</v>
      </c>
      <c r="I222" s="16">
        <v>778</v>
      </c>
      <c r="J222" s="16">
        <v>1096</v>
      </c>
      <c r="K222" s="17">
        <f t="shared" si="12"/>
        <v>15560</v>
      </c>
      <c r="L222" s="17">
        <f t="shared" si="13"/>
        <v>21920</v>
      </c>
      <c r="M222" s="17">
        <f t="shared" si="14"/>
        <v>6360</v>
      </c>
      <c r="N222" s="17" t="str">
        <f t="shared" si="15"/>
        <v>profit</v>
      </c>
    </row>
    <row r="223" spans="1:14" ht="15.6" thickTop="1" thickBot="1" x14ac:dyDescent="0.35">
      <c r="A223" s="15">
        <v>45420</v>
      </c>
      <c r="B223" s="15" t="s">
        <v>121</v>
      </c>
      <c r="C223" s="16" t="s">
        <v>188</v>
      </c>
      <c r="D223" s="16" t="s">
        <v>71</v>
      </c>
      <c r="E223" s="16" t="s">
        <v>10</v>
      </c>
      <c r="F223" s="16" t="s">
        <v>55</v>
      </c>
      <c r="G223" s="16" t="s">
        <v>8</v>
      </c>
      <c r="H223" s="16">
        <v>26</v>
      </c>
      <c r="I223" s="16">
        <v>595</v>
      </c>
      <c r="J223" s="16">
        <v>914</v>
      </c>
      <c r="K223" s="17">
        <f t="shared" si="12"/>
        <v>15470</v>
      </c>
      <c r="L223" s="17">
        <f t="shared" si="13"/>
        <v>23764</v>
      </c>
      <c r="M223" s="17">
        <f t="shared" si="14"/>
        <v>8294</v>
      </c>
      <c r="N223" s="17" t="str">
        <f t="shared" si="15"/>
        <v>profit</v>
      </c>
    </row>
    <row r="224" spans="1:14" ht="15.6" thickTop="1" thickBot="1" x14ac:dyDescent="0.35">
      <c r="A224" s="15">
        <v>45605</v>
      </c>
      <c r="B224" s="15" t="s">
        <v>184</v>
      </c>
      <c r="C224" s="16" t="s">
        <v>189</v>
      </c>
      <c r="D224" s="16" t="s">
        <v>58</v>
      </c>
      <c r="E224" s="16" t="s">
        <v>186</v>
      </c>
      <c r="F224" s="16" t="s">
        <v>7</v>
      </c>
      <c r="G224" s="16" t="s">
        <v>8</v>
      </c>
      <c r="H224" s="16">
        <v>70</v>
      </c>
      <c r="I224" s="16">
        <v>871</v>
      </c>
      <c r="J224" s="16">
        <v>862</v>
      </c>
      <c r="K224" s="17">
        <f t="shared" si="12"/>
        <v>60970</v>
      </c>
      <c r="L224" s="17">
        <f t="shared" si="13"/>
        <v>60340</v>
      </c>
      <c r="M224" s="17">
        <f t="shared" si="14"/>
        <v>-630</v>
      </c>
      <c r="N224" s="17" t="str">
        <f t="shared" si="15"/>
        <v>loss</v>
      </c>
    </row>
    <row r="225" spans="1:14" ht="15.6" thickTop="1" thickBot="1" x14ac:dyDescent="0.35">
      <c r="A225" s="15">
        <v>45421</v>
      </c>
      <c r="B225" s="15" t="s">
        <v>121</v>
      </c>
      <c r="C225" s="16" t="s">
        <v>190</v>
      </c>
      <c r="D225" s="16" t="s">
        <v>71</v>
      </c>
      <c r="E225" s="16" t="s">
        <v>10</v>
      </c>
      <c r="F225" s="16" t="s">
        <v>51</v>
      </c>
      <c r="G225" s="16" t="s">
        <v>8</v>
      </c>
      <c r="H225" s="16">
        <v>27</v>
      </c>
      <c r="I225" s="16">
        <v>722</v>
      </c>
      <c r="J225" s="16">
        <v>1497</v>
      </c>
      <c r="K225" s="17">
        <f t="shared" si="12"/>
        <v>19494</v>
      </c>
      <c r="L225" s="17">
        <f t="shared" si="13"/>
        <v>40419</v>
      </c>
      <c r="M225" s="17">
        <f t="shared" si="14"/>
        <v>20925</v>
      </c>
      <c r="N225" s="17" t="str">
        <f t="shared" si="15"/>
        <v>profit</v>
      </c>
    </row>
    <row r="226" spans="1:14" ht="15.6" thickTop="1" thickBot="1" x14ac:dyDescent="0.35">
      <c r="A226" s="15">
        <v>45422</v>
      </c>
      <c r="B226" s="15" t="s">
        <v>121</v>
      </c>
      <c r="C226" s="16" t="s">
        <v>191</v>
      </c>
      <c r="D226" s="16" t="s">
        <v>71</v>
      </c>
      <c r="E226" s="16" t="s">
        <v>10</v>
      </c>
      <c r="F226" s="16" t="s">
        <v>100</v>
      </c>
      <c r="G226" s="16" t="s">
        <v>8</v>
      </c>
      <c r="H226" s="16">
        <v>25</v>
      </c>
      <c r="I226" s="16">
        <v>982</v>
      </c>
      <c r="J226" s="16">
        <v>1395</v>
      </c>
      <c r="K226" s="17">
        <f t="shared" si="12"/>
        <v>24550</v>
      </c>
      <c r="L226" s="17">
        <f t="shared" si="13"/>
        <v>34875</v>
      </c>
      <c r="M226" s="17">
        <f t="shared" si="14"/>
        <v>10325</v>
      </c>
      <c r="N226" s="17" t="str">
        <f t="shared" si="15"/>
        <v>profit</v>
      </c>
    </row>
    <row r="227" spans="1:14" ht="15.6" thickTop="1" thickBot="1" x14ac:dyDescent="0.35">
      <c r="A227" s="15">
        <v>45423</v>
      </c>
      <c r="B227" s="15" t="s">
        <v>121</v>
      </c>
      <c r="C227" s="16" t="s">
        <v>192</v>
      </c>
      <c r="D227" s="16" t="s">
        <v>71</v>
      </c>
      <c r="E227" s="16" t="s">
        <v>10</v>
      </c>
      <c r="F227" s="16" t="s">
        <v>7</v>
      </c>
      <c r="G227" s="16" t="s">
        <v>8</v>
      </c>
      <c r="H227" s="16">
        <v>25</v>
      </c>
      <c r="I227" s="16">
        <v>982</v>
      </c>
      <c r="J227" s="16">
        <v>1389</v>
      </c>
      <c r="K227" s="17">
        <f t="shared" si="12"/>
        <v>24550</v>
      </c>
      <c r="L227" s="17">
        <f t="shared" si="13"/>
        <v>34725</v>
      </c>
      <c r="M227" s="17">
        <f t="shared" si="14"/>
        <v>10175</v>
      </c>
      <c r="N227" s="17" t="str">
        <f t="shared" si="15"/>
        <v>profit</v>
      </c>
    </row>
    <row r="228" spans="1:14" ht="15.6" thickTop="1" thickBot="1" x14ac:dyDescent="0.35">
      <c r="A228" s="15">
        <v>45424</v>
      </c>
      <c r="B228" s="15" t="s">
        <v>121</v>
      </c>
      <c r="C228" s="16" t="s">
        <v>193</v>
      </c>
      <c r="D228" s="16" t="s">
        <v>71</v>
      </c>
      <c r="E228" s="16" t="s">
        <v>10</v>
      </c>
      <c r="F228" s="16" t="s">
        <v>69</v>
      </c>
      <c r="G228" s="16" t="s">
        <v>8</v>
      </c>
      <c r="H228" s="16">
        <v>25</v>
      </c>
      <c r="I228" s="16">
        <v>810</v>
      </c>
      <c r="J228" s="16">
        <v>1086</v>
      </c>
      <c r="K228" s="17">
        <f t="shared" si="12"/>
        <v>20250</v>
      </c>
      <c r="L228" s="17">
        <f t="shared" si="13"/>
        <v>27150</v>
      </c>
      <c r="M228" s="17">
        <f t="shared" si="14"/>
        <v>6900</v>
      </c>
      <c r="N228" s="17" t="str">
        <f t="shared" si="15"/>
        <v>profit</v>
      </c>
    </row>
    <row r="229" spans="1:14" ht="15.6" thickTop="1" thickBot="1" x14ac:dyDescent="0.35">
      <c r="A229" s="15">
        <v>45610</v>
      </c>
      <c r="B229" s="15" t="s">
        <v>184</v>
      </c>
      <c r="C229" s="16" t="s">
        <v>194</v>
      </c>
      <c r="D229" s="16" t="s">
        <v>71</v>
      </c>
      <c r="E229" s="16" t="s">
        <v>88</v>
      </c>
      <c r="F229" s="16" t="s">
        <v>102</v>
      </c>
      <c r="G229" s="16" t="s">
        <v>12</v>
      </c>
      <c r="H229" s="16">
        <v>20</v>
      </c>
      <c r="I229" s="16">
        <v>773</v>
      </c>
      <c r="J229" s="16">
        <v>823</v>
      </c>
      <c r="K229" s="17">
        <f t="shared" si="12"/>
        <v>15460</v>
      </c>
      <c r="L229" s="17">
        <f t="shared" si="13"/>
        <v>16460</v>
      </c>
      <c r="M229" s="17">
        <f t="shared" si="14"/>
        <v>1000</v>
      </c>
      <c r="N229" s="17" t="str">
        <f t="shared" si="15"/>
        <v>profit</v>
      </c>
    </row>
    <row r="230" spans="1:14" ht="15.6" thickTop="1" thickBot="1" x14ac:dyDescent="0.35">
      <c r="A230" s="15">
        <v>45425</v>
      </c>
      <c r="B230" s="15" t="s">
        <v>121</v>
      </c>
      <c r="C230" s="16" t="s">
        <v>195</v>
      </c>
      <c r="D230" s="16" t="s">
        <v>71</v>
      </c>
      <c r="E230" s="16" t="s">
        <v>10</v>
      </c>
      <c r="F230" s="16" t="s">
        <v>51</v>
      </c>
      <c r="G230" s="16" t="s">
        <v>8</v>
      </c>
      <c r="H230" s="16">
        <v>26</v>
      </c>
      <c r="I230" s="16">
        <v>781</v>
      </c>
      <c r="J230" s="16">
        <v>1019</v>
      </c>
      <c r="K230" s="17">
        <f t="shared" si="12"/>
        <v>20306</v>
      </c>
      <c r="L230" s="17">
        <f t="shared" si="13"/>
        <v>26494</v>
      </c>
      <c r="M230" s="17">
        <f t="shared" si="14"/>
        <v>6188</v>
      </c>
      <c r="N230" s="17" t="str">
        <f t="shared" si="15"/>
        <v>profit</v>
      </c>
    </row>
    <row r="231" spans="1:14" ht="15.6" thickTop="1" thickBot="1" x14ac:dyDescent="0.35">
      <c r="A231" s="15">
        <v>45426</v>
      </c>
      <c r="B231" s="15" t="s">
        <v>121</v>
      </c>
      <c r="C231" s="16" t="s">
        <v>196</v>
      </c>
      <c r="D231" s="16" t="s">
        <v>71</v>
      </c>
      <c r="E231" s="16" t="s">
        <v>10</v>
      </c>
      <c r="F231" s="16" t="s">
        <v>89</v>
      </c>
      <c r="G231" s="16" t="s">
        <v>8</v>
      </c>
      <c r="H231" s="16">
        <v>26</v>
      </c>
      <c r="I231" s="16">
        <v>630</v>
      </c>
      <c r="J231" s="16">
        <v>767</v>
      </c>
      <c r="K231" s="17">
        <f t="shared" si="12"/>
        <v>16380</v>
      </c>
      <c r="L231" s="17">
        <f t="shared" si="13"/>
        <v>19942</v>
      </c>
      <c r="M231" s="17">
        <f t="shared" si="14"/>
        <v>3562</v>
      </c>
      <c r="N231" s="17" t="str">
        <f t="shared" si="15"/>
        <v>profit</v>
      </c>
    </row>
    <row r="232" spans="1:14" ht="15.6" thickTop="1" thickBot="1" x14ac:dyDescent="0.35">
      <c r="A232" s="15">
        <v>45427</v>
      </c>
      <c r="B232" s="15" t="s">
        <v>121</v>
      </c>
      <c r="C232" s="16" t="s">
        <v>197</v>
      </c>
      <c r="D232" s="16" t="s">
        <v>71</v>
      </c>
      <c r="E232" s="16" t="s">
        <v>10</v>
      </c>
      <c r="F232" s="16" t="s">
        <v>100</v>
      </c>
      <c r="G232" s="16" t="s">
        <v>8</v>
      </c>
      <c r="H232" s="16">
        <v>23</v>
      </c>
      <c r="I232" s="16">
        <v>972</v>
      </c>
      <c r="J232" s="16">
        <v>782</v>
      </c>
      <c r="K232" s="17">
        <f t="shared" si="12"/>
        <v>22356</v>
      </c>
      <c r="L232" s="17">
        <f t="shared" si="13"/>
        <v>17986</v>
      </c>
      <c r="M232" s="17">
        <f t="shared" si="14"/>
        <v>-4370</v>
      </c>
      <c r="N232" s="17" t="str">
        <f t="shared" si="15"/>
        <v>loss</v>
      </c>
    </row>
    <row r="233" spans="1:14" ht="15.6" thickTop="1" thickBot="1" x14ac:dyDescent="0.35">
      <c r="A233" s="15">
        <v>45614</v>
      </c>
      <c r="B233" s="15" t="s">
        <v>184</v>
      </c>
      <c r="C233" s="16" t="s">
        <v>198</v>
      </c>
      <c r="D233" s="16" t="s">
        <v>71</v>
      </c>
      <c r="E233" s="16" t="s">
        <v>88</v>
      </c>
      <c r="F233" s="16" t="s">
        <v>60</v>
      </c>
      <c r="G233" s="16" t="s">
        <v>8</v>
      </c>
      <c r="H233" s="16">
        <v>23</v>
      </c>
      <c r="I233" s="16">
        <v>906</v>
      </c>
      <c r="J233" s="16">
        <v>1275</v>
      </c>
      <c r="K233" s="17">
        <f t="shared" si="12"/>
        <v>20838</v>
      </c>
      <c r="L233" s="17">
        <f t="shared" si="13"/>
        <v>29325</v>
      </c>
      <c r="M233" s="17">
        <f t="shared" si="14"/>
        <v>8487</v>
      </c>
      <c r="N233" s="17" t="str">
        <f t="shared" si="15"/>
        <v>profit</v>
      </c>
    </row>
    <row r="234" spans="1:14" ht="15.6" thickTop="1" thickBot="1" x14ac:dyDescent="0.35">
      <c r="A234" s="15">
        <v>45428</v>
      </c>
      <c r="B234" s="15" t="s">
        <v>121</v>
      </c>
      <c r="C234" s="16" t="s">
        <v>199</v>
      </c>
      <c r="D234" s="16" t="s">
        <v>71</v>
      </c>
      <c r="E234" s="16" t="s">
        <v>10</v>
      </c>
      <c r="F234" s="16" t="s">
        <v>102</v>
      </c>
      <c r="G234" s="16" t="s">
        <v>12</v>
      </c>
      <c r="H234" s="16">
        <v>30</v>
      </c>
      <c r="I234" s="16">
        <v>987</v>
      </c>
      <c r="J234" s="16">
        <v>1366</v>
      </c>
      <c r="K234" s="17">
        <f t="shared" si="12"/>
        <v>29610</v>
      </c>
      <c r="L234" s="17">
        <f t="shared" si="13"/>
        <v>40980</v>
      </c>
      <c r="M234" s="17">
        <f t="shared" si="14"/>
        <v>11370</v>
      </c>
      <c r="N234" s="17" t="str">
        <f t="shared" si="15"/>
        <v>profit</v>
      </c>
    </row>
    <row r="235" spans="1:14" ht="15.6" thickTop="1" thickBot="1" x14ac:dyDescent="0.35">
      <c r="A235" s="15">
        <v>45616</v>
      </c>
      <c r="B235" s="15" t="s">
        <v>184</v>
      </c>
      <c r="C235" s="16" t="s">
        <v>200</v>
      </c>
      <c r="D235" s="16" t="s">
        <v>71</v>
      </c>
      <c r="E235" s="16" t="s">
        <v>88</v>
      </c>
      <c r="F235" s="16" t="s">
        <v>64</v>
      </c>
      <c r="G235" s="16" t="s">
        <v>8</v>
      </c>
      <c r="H235" s="16">
        <v>24</v>
      </c>
      <c r="I235" s="16">
        <v>927</v>
      </c>
      <c r="J235" s="16">
        <v>1379</v>
      </c>
      <c r="K235" s="17">
        <f t="shared" si="12"/>
        <v>22248</v>
      </c>
      <c r="L235" s="17">
        <f t="shared" si="13"/>
        <v>33096</v>
      </c>
      <c r="M235" s="17">
        <f t="shared" si="14"/>
        <v>10848</v>
      </c>
      <c r="N235" s="17" t="str">
        <f t="shared" si="15"/>
        <v>profit</v>
      </c>
    </row>
    <row r="236" spans="1:14" ht="15.6" thickTop="1" thickBot="1" x14ac:dyDescent="0.35">
      <c r="A236" s="15">
        <v>45429</v>
      </c>
      <c r="B236" s="15" t="s">
        <v>121</v>
      </c>
      <c r="C236" s="16" t="s">
        <v>201</v>
      </c>
      <c r="D236" s="16" t="s">
        <v>71</v>
      </c>
      <c r="E236" s="16" t="s">
        <v>10</v>
      </c>
      <c r="F236" s="16" t="s">
        <v>60</v>
      </c>
      <c r="G236" s="16" t="s">
        <v>12</v>
      </c>
      <c r="H236" s="16">
        <v>25</v>
      </c>
      <c r="I236" s="16">
        <v>877</v>
      </c>
      <c r="J236" s="16">
        <v>797</v>
      </c>
      <c r="K236" s="17">
        <f t="shared" si="12"/>
        <v>21925</v>
      </c>
      <c r="L236" s="17">
        <f t="shared" si="13"/>
        <v>19925</v>
      </c>
      <c r="M236" s="17">
        <f t="shared" si="14"/>
        <v>-2000</v>
      </c>
      <c r="N236" s="17" t="str">
        <f t="shared" si="15"/>
        <v>loss</v>
      </c>
    </row>
    <row r="237" spans="1:14" ht="15.6" thickTop="1" thickBot="1" x14ac:dyDescent="0.35">
      <c r="A237" s="15">
        <v>45430</v>
      </c>
      <c r="B237" s="15" t="s">
        <v>121</v>
      </c>
      <c r="C237" s="16" t="s">
        <v>202</v>
      </c>
      <c r="D237" s="16" t="s">
        <v>71</v>
      </c>
      <c r="E237" s="16" t="s">
        <v>10</v>
      </c>
      <c r="F237" s="16" t="s">
        <v>69</v>
      </c>
      <c r="G237" s="16" t="s">
        <v>12</v>
      </c>
      <c r="H237" s="16">
        <v>26</v>
      </c>
      <c r="I237" s="16">
        <v>596</v>
      </c>
      <c r="J237" s="16">
        <v>1136</v>
      </c>
      <c r="K237" s="17">
        <f t="shared" si="12"/>
        <v>15496</v>
      </c>
      <c r="L237" s="17">
        <f t="shared" si="13"/>
        <v>29536</v>
      </c>
      <c r="M237" s="17">
        <f t="shared" si="14"/>
        <v>14040</v>
      </c>
      <c r="N237" s="17" t="str">
        <f t="shared" si="15"/>
        <v>profit</v>
      </c>
    </row>
    <row r="238" spans="1:14" ht="15.6" thickTop="1" thickBot="1" x14ac:dyDescent="0.35">
      <c r="A238" s="15">
        <v>45484</v>
      </c>
      <c r="B238" s="15" t="s">
        <v>65</v>
      </c>
      <c r="C238" s="16" t="s">
        <v>203</v>
      </c>
      <c r="D238" s="16" t="s">
        <v>71</v>
      </c>
      <c r="E238" s="16" t="s">
        <v>10</v>
      </c>
      <c r="F238" s="16" t="s">
        <v>64</v>
      </c>
      <c r="G238" s="16" t="s">
        <v>12</v>
      </c>
      <c r="H238" s="16">
        <v>26</v>
      </c>
      <c r="I238" s="16">
        <v>771</v>
      </c>
      <c r="J238" s="16">
        <v>1172</v>
      </c>
      <c r="K238" s="17">
        <f t="shared" si="12"/>
        <v>20046</v>
      </c>
      <c r="L238" s="17">
        <f t="shared" si="13"/>
        <v>30472</v>
      </c>
      <c r="M238" s="17">
        <f t="shared" si="14"/>
        <v>10426</v>
      </c>
      <c r="N238" s="17" t="str">
        <f t="shared" si="15"/>
        <v>profit</v>
      </c>
    </row>
    <row r="239" spans="1:14" ht="15.6" thickTop="1" thickBot="1" x14ac:dyDescent="0.35">
      <c r="A239" s="15">
        <v>45485</v>
      </c>
      <c r="B239" s="15" t="s">
        <v>65</v>
      </c>
      <c r="C239" s="16" t="s">
        <v>204</v>
      </c>
      <c r="D239" s="16" t="s">
        <v>71</v>
      </c>
      <c r="E239" s="16" t="s">
        <v>10</v>
      </c>
      <c r="F239" s="16" t="s">
        <v>89</v>
      </c>
      <c r="G239" s="16" t="s">
        <v>12</v>
      </c>
      <c r="H239" s="16">
        <v>30</v>
      </c>
      <c r="I239" s="16">
        <v>859</v>
      </c>
      <c r="J239" s="16">
        <v>1123</v>
      </c>
      <c r="K239" s="17">
        <f t="shared" si="12"/>
        <v>25770</v>
      </c>
      <c r="L239" s="17">
        <f t="shared" si="13"/>
        <v>33690</v>
      </c>
      <c r="M239" s="17">
        <f t="shared" si="14"/>
        <v>7920</v>
      </c>
      <c r="N239" s="17" t="str">
        <f t="shared" si="15"/>
        <v>profit</v>
      </c>
    </row>
    <row r="240" spans="1:14" ht="15.6" thickTop="1" thickBot="1" x14ac:dyDescent="0.35">
      <c r="A240" s="15">
        <v>45486</v>
      </c>
      <c r="B240" s="15" t="s">
        <v>65</v>
      </c>
      <c r="C240" s="16" t="s">
        <v>205</v>
      </c>
      <c r="D240" s="16" t="s">
        <v>71</v>
      </c>
      <c r="E240" s="16" t="s">
        <v>10</v>
      </c>
      <c r="F240" s="16" t="s">
        <v>89</v>
      </c>
      <c r="G240" s="16" t="s">
        <v>12</v>
      </c>
      <c r="H240" s="16">
        <v>30</v>
      </c>
      <c r="I240" s="16">
        <v>726</v>
      </c>
      <c r="J240" s="16">
        <v>964</v>
      </c>
      <c r="K240" s="17">
        <f t="shared" si="12"/>
        <v>21780</v>
      </c>
      <c r="L240" s="17">
        <f t="shared" si="13"/>
        <v>28920</v>
      </c>
      <c r="M240" s="17">
        <f t="shared" si="14"/>
        <v>7140</v>
      </c>
      <c r="N240" s="17" t="str">
        <f t="shared" si="15"/>
        <v>profit</v>
      </c>
    </row>
    <row r="241" spans="1:14" ht="15.6" thickTop="1" thickBot="1" x14ac:dyDescent="0.35">
      <c r="A241" s="15">
        <v>45487</v>
      </c>
      <c r="B241" s="15" t="s">
        <v>65</v>
      </c>
      <c r="C241" s="16" t="s">
        <v>206</v>
      </c>
      <c r="D241" s="16" t="s">
        <v>71</v>
      </c>
      <c r="E241" s="16" t="s">
        <v>10</v>
      </c>
      <c r="F241" s="16" t="s">
        <v>85</v>
      </c>
      <c r="G241" s="16" t="s">
        <v>12</v>
      </c>
      <c r="H241" s="16">
        <v>29</v>
      </c>
      <c r="I241" s="16">
        <v>861</v>
      </c>
      <c r="J241" s="16">
        <v>820</v>
      </c>
      <c r="K241" s="17">
        <f t="shared" si="12"/>
        <v>24969</v>
      </c>
      <c r="L241" s="17">
        <f t="shared" si="13"/>
        <v>23780</v>
      </c>
      <c r="M241" s="17">
        <f t="shared" si="14"/>
        <v>-1189</v>
      </c>
      <c r="N241" s="17" t="str">
        <f t="shared" si="15"/>
        <v>loss</v>
      </c>
    </row>
    <row r="242" spans="1:14" ht="15.6" thickTop="1" thickBot="1" x14ac:dyDescent="0.35">
      <c r="A242" s="15">
        <v>45489</v>
      </c>
      <c r="B242" s="15" t="s">
        <v>65</v>
      </c>
      <c r="C242" s="16" t="s">
        <v>207</v>
      </c>
      <c r="D242" s="16" t="s">
        <v>71</v>
      </c>
      <c r="E242" s="16" t="s">
        <v>10</v>
      </c>
      <c r="F242" s="16" t="s">
        <v>55</v>
      </c>
      <c r="G242" s="16" t="s">
        <v>8</v>
      </c>
      <c r="H242" s="16">
        <v>24</v>
      </c>
      <c r="I242" s="16">
        <v>978</v>
      </c>
      <c r="J242" s="16">
        <v>773</v>
      </c>
      <c r="K242" s="17">
        <f t="shared" si="12"/>
        <v>23472</v>
      </c>
      <c r="L242" s="17">
        <f t="shared" si="13"/>
        <v>18552</v>
      </c>
      <c r="M242" s="17">
        <f t="shared" si="14"/>
        <v>-4920</v>
      </c>
      <c r="N242" s="17" t="str">
        <f t="shared" si="15"/>
        <v>loss</v>
      </c>
    </row>
    <row r="243" spans="1:14" ht="15.6" thickTop="1" thickBot="1" x14ac:dyDescent="0.35">
      <c r="A243" s="15">
        <v>45490</v>
      </c>
      <c r="B243" s="15" t="s">
        <v>65</v>
      </c>
      <c r="C243" s="16" t="s">
        <v>208</v>
      </c>
      <c r="D243" s="16" t="s">
        <v>71</v>
      </c>
      <c r="E243" s="16" t="s">
        <v>10</v>
      </c>
      <c r="F243" s="16" t="s">
        <v>137</v>
      </c>
      <c r="G243" s="16" t="s">
        <v>8</v>
      </c>
      <c r="H243" s="16">
        <v>30</v>
      </c>
      <c r="I243" s="16">
        <v>514</v>
      </c>
      <c r="J243" s="16">
        <v>1333</v>
      </c>
      <c r="K243" s="17">
        <f t="shared" si="12"/>
        <v>15420</v>
      </c>
      <c r="L243" s="17">
        <f t="shared" si="13"/>
        <v>39990</v>
      </c>
      <c r="M243" s="17">
        <f t="shared" si="14"/>
        <v>24570</v>
      </c>
      <c r="N243" s="17" t="str">
        <f t="shared" si="15"/>
        <v>profit</v>
      </c>
    </row>
    <row r="244" spans="1:14" ht="15.6" thickTop="1" thickBot="1" x14ac:dyDescent="0.35">
      <c r="A244" s="15">
        <v>45491</v>
      </c>
      <c r="B244" s="15" t="s">
        <v>65</v>
      </c>
      <c r="C244" s="16" t="s">
        <v>209</v>
      </c>
      <c r="D244" s="16" t="s">
        <v>71</v>
      </c>
      <c r="E244" s="16" t="s">
        <v>10</v>
      </c>
      <c r="F244" s="16" t="s">
        <v>69</v>
      </c>
      <c r="G244" s="16" t="s">
        <v>8</v>
      </c>
      <c r="H244" s="16">
        <v>26</v>
      </c>
      <c r="I244" s="16">
        <v>656</v>
      </c>
      <c r="J244" s="16">
        <v>908</v>
      </c>
      <c r="K244" s="17">
        <f t="shared" si="12"/>
        <v>17056</v>
      </c>
      <c r="L244" s="17">
        <f t="shared" si="13"/>
        <v>23608</v>
      </c>
      <c r="M244" s="17">
        <f t="shared" si="14"/>
        <v>6552</v>
      </c>
      <c r="N244" s="17" t="str">
        <f t="shared" si="15"/>
        <v>profit</v>
      </c>
    </row>
    <row r="245" spans="1:14" ht="15.6" thickTop="1" thickBot="1" x14ac:dyDescent="0.35">
      <c r="A245" s="15">
        <v>45626</v>
      </c>
      <c r="B245" s="15" t="s">
        <v>184</v>
      </c>
      <c r="C245" s="16" t="s">
        <v>210</v>
      </c>
      <c r="D245" s="16" t="s">
        <v>71</v>
      </c>
      <c r="E245" s="16" t="s">
        <v>10</v>
      </c>
      <c r="F245" s="16" t="s">
        <v>64</v>
      </c>
      <c r="G245" s="16" t="s">
        <v>8</v>
      </c>
      <c r="H245" s="16">
        <v>28</v>
      </c>
      <c r="I245" s="16">
        <v>866</v>
      </c>
      <c r="J245" s="16">
        <v>1102</v>
      </c>
      <c r="K245" s="17">
        <f t="shared" si="12"/>
        <v>24248</v>
      </c>
      <c r="L245" s="17">
        <f t="shared" si="13"/>
        <v>30856</v>
      </c>
      <c r="M245" s="17">
        <f t="shared" si="14"/>
        <v>6608</v>
      </c>
      <c r="N245" s="17" t="str">
        <f t="shared" si="15"/>
        <v>profit</v>
      </c>
    </row>
    <row r="246" spans="1:14" ht="15.6" thickTop="1" thickBot="1" x14ac:dyDescent="0.35">
      <c r="A246" s="15">
        <v>45492</v>
      </c>
      <c r="B246" s="15" t="s">
        <v>65</v>
      </c>
      <c r="C246" s="16" t="s">
        <v>211</v>
      </c>
      <c r="D246" s="16" t="s">
        <v>71</v>
      </c>
      <c r="E246" s="16" t="s">
        <v>10</v>
      </c>
      <c r="F246" s="16" t="s">
        <v>176</v>
      </c>
      <c r="G246" s="16" t="s">
        <v>8</v>
      </c>
      <c r="H246" s="16">
        <v>28</v>
      </c>
      <c r="I246" s="16">
        <v>866</v>
      </c>
      <c r="J246" s="16">
        <v>1080</v>
      </c>
      <c r="K246" s="17">
        <f t="shared" si="12"/>
        <v>24248</v>
      </c>
      <c r="L246" s="17">
        <f t="shared" si="13"/>
        <v>30240</v>
      </c>
      <c r="M246" s="17">
        <f t="shared" si="14"/>
        <v>5992</v>
      </c>
      <c r="N246" s="17" t="str">
        <f t="shared" si="15"/>
        <v>profit</v>
      </c>
    </row>
    <row r="247" spans="1:14" ht="15.6" thickTop="1" thickBot="1" x14ac:dyDescent="0.35">
      <c r="A247" s="15">
        <v>45493</v>
      </c>
      <c r="B247" s="15" t="s">
        <v>65</v>
      </c>
      <c r="C247" s="16" t="s">
        <v>212</v>
      </c>
      <c r="D247" s="16" t="s">
        <v>71</v>
      </c>
      <c r="E247" s="16" t="s">
        <v>10</v>
      </c>
      <c r="F247" s="16" t="s">
        <v>178</v>
      </c>
      <c r="G247" s="16" t="s">
        <v>8</v>
      </c>
      <c r="H247" s="16">
        <v>23</v>
      </c>
      <c r="I247" s="16">
        <v>969</v>
      </c>
      <c r="J247" s="16">
        <v>1075</v>
      </c>
      <c r="K247" s="17">
        <f t="shared" si="12"/>
        <v>22287</v>
      </c>
      <c r="L247" s="17">
        <f t="shared" si="13"/>
        <v>24725</v>
      </c>
      <c r="M247" s="17">
        <f t="shared" si="14"/>
        <v>2438</v>
      </c>
      <c r="N247" s="17" t="str">
        <f t="shared" si="15"/>
        <v>profit</v>
      </c>
    </row>
    <row r="248" spans="1:14" ht="15.6" thickTop="1" thickBot="1" x14ac:dyDescent="0.35">
      <c r="A248" s="15">
        <v>45629</v>
      </c>
      <c r="B248" s="15" t="s">
        <v>213</v>
      </c>
      <c r="C248" s="16" t="s">
        <v>214</v>
      </c>
      <c r="D248" s="16" t="s">
        <v>71</v>
      </c>
      <c r="E248" s="16" t="s">
        <v>10</v>
      </c>
      <c r="F248" s="16" t="s">
        <v>85</v>
      </c>
      <c r="G248" s="16" t="s">
        <v>12</v>
      </c>
      <c r="H248" s="16">
        <v>29</v>
      </c>
      <c r="I248" s="16">
        <v>639</v>
      </c>
      <c r="J248" s="16">
        <v>1257</v>
      </c>
      <c r="K248" s="17">
        <f t="shared" si="12"/>
        <v>18531</v>
      </c>
      <c r="L248" s="17">
        <f t="shared" si="13"/>
        <v>36453</v>
      </c>
      <c r="M248" s="17">
        <f t="shared" si="14"/>
        <v>17922</v>
      </c>
      <c r="N248" s="17" t="str">
        <f t="shared" si="15"/>
        <v>profit</v>
      </c>
    </row>
    <row r="249" spans="1:14" ht="15.6" thickTop="1" thickBot="1" x14ac:dyDescent="0.35">
      <c r="A249" s="15">
        <v>45494</v>
      </c>
      <c r="B249" s="15" t="s">
        <v>65</v>
      </c>
      <c r="C249" s="16" t="s">
        <v>215</v>
      </c>
      <c r="D249" s="16" t="s">
        <v>71</v>
      </c>
      <c r="E249" s="16" t="s">
        <v>10</v>
      </c>
      <c r="F249" s="16" t="s">
        <v>45</v>
      </c>
      <c r="G249" s="16" t="s">
        <v>8</v>
      </c>
      <c r="H249" s="16">
        <v>21</v>
      </c>
      <c r="I249" s="16">
        <v>626</v>
      </c>
      <c r="J249" s="16">
        <v>772</v>
      </c>
      <c r="K249" s="17">
        <f t="shared" si="12"/>
        <v>13146</v>
      </c>
      <c r="L249" s="17">
        <f t="shared" si="13"/>
        <v>16212</v>
      </c>
      <c r="M249" s="17">
        <f t="shared" si="14"/>
        <v>3066</v>
      </c>
      <c r="N249" s="17" t="str">
        <f t="shared" si="15"/>
        <v>profit</v>
      </c>
    </row>
    <row r="250" spans="1:14" ht="15.6" thickTop="1" thickBot="1" x14ac:dyDescent="0.35">
      <c r="A250" s="15">
        <v>45517</v>
      </c>
      <c r="B250" s="15" t="s">
        <v>82</v>
      </c>
      <c r="C250" s="16" t="s">
        <v>216</v>
      </c>
      <c r="D250" s="16" t="s">
        <v>71</v>
      </c>
      <c r="E250" s="16" t="s">
        <v>10</v>
      </c>
      <c r="F250" s="16" t="s">
        <v>69</v>
      </c>
      <c r="G250" s="16" t="s">
        <v>12</v>
      </c>
      <c r="H250" s="16">
        <v>26</v>
      </c>
      <c r="I250" s="16">
        <v>715</v>
      </c>
      <c r="J250" s="16">
        <v>1113</v>
      </c>
      <c r="K250" s="17">
        <f t="shared" si="12"/>
        <v>18590</v>
      </c>
      <c r="L250" s="17">
        <f t="shared" si="13"/>
        <v>28938</v>
      </c>
      <c r="M250" s="17">
        <f t="shared" si="14"/>
        <v>10348</v>
      </c>
      <c r="N250" s="17" t="str">
        <f t="shared" si="15"/>
        <v>profit</v>
      </c>
    </row>
    <row r="251" spans="1:14" ht="15.6" thickTop="1" thickBot="1" x14ac:dyDescent="0.35">
      <c r="A251" s="15">
        <v>45518</v>
      </c>
      <c r="B251" s="15" t="s">
        <v>82</v>
      </c>
      <c r="C251" s="16" t="s">
        <v>217</v>
      </c>
      <c r="D251" s="16" t="s">
        <v>71</v>
      </c>
      <c r="E251" s="16" t="s">
        <v>10</v>
      </c>
      <c r="F251" s="16" t="s">
        <v>74</v>
      </c>
      <c r="G251" s="16" t="s">
        <v>12</v>
      </c>
      <c r="H251" s="16">
        <v>27</v>
      </c>
      <c r="I251" s="16">
        <v>611</v>
      </c>
      <c r="J251" s="16">
        <v>1309</v>
      </c>
      <c r="K251" s="17">
        <f t="shared" si="12"/>
        <v>16497</v>
      </c>
      <c r="L251" s="17">
        <f t="shared" si="13"/>
        <v>35343</v>
      </c>
      <c r="M251" s="17">
        <f t="shared" si="14"/>
        <v>18846</v>
      </c>
      <c r="N251" s="17" t="str">
        <f t="shared" si="15"/>
        <v>profit</v>
      </c>
    </row>
    <row r="252" spans="1:14" ht="15.6" thickTop="1" thickBot="1" x14ac:dyDescent="0.35">
      <c r="A252" s="15">
        <v>45519</v>
      </c>
      <c r="B252" s="15" t="s">
        <v>82</v>
      </c>
      <c r="C252" s="16" t="s">
        <v>218</v>
      </c>
      <c r="D252" s="16" t="s">
        <v>71</v>
      </c>
      <c r="E252" s="16" t="s">
        <v>10</v>
      </c>
      <c r="F252" s="16" t="s">
        <v>53</v>
      </c>
      <c r="G252" s="16" t="s">
        <v>8</v>
      </c>
      <c r="H252" s="16">
        <v>29</v>
      </c>
      <c r="I252" s="16">
        <v>544</v>
      </c>
      <c r="J252" s="16">
        <v>1436</v>
      </c>
      <c r="K252" s="17">
        <f t="shared" si="12"/>
        <v>15776</v>
      </c>
      <c r="L252" s="17">
        <f t="shared" si="13"/>
        <v>41644</v>
      </c>
      <c r="M252" s="17">
        <f t="shared" si="14"/>
        <v>25868</v>
      </c>
      <c r="N252" s="17" t="str">
        <f t="shared" si="15"/>
        <v>profit</v>
      </c>
    </row>
    <row r="253" spans="1:14" ht="15.6" thickTop="1" thickBot="1" x14ac:dyDescent="0.35">
      <c r="A253" s="15">
        <v>45634</v>
      </c>
      <c r="B253" s="15" t="s">
        <v>213</v>
      </c>
      <c r="C253" s="16" t="s">
        <v>219</v>
      </c>
      <c r="D253" s="16" t="s">
        <v>71</v>
      </c>
      <c r="E253" s="16" t="s">
        <v>10</v>
      </c>
      <c r="F253" s="16" t="s">
        <v>176</v>
      </c>
      <c r="G253" s="16" t="s">
        <v>12</v>
      </c>
      <c r="H253" s="16">
        <v>23</v>
      </c>
      <c r="I253" s="16">
        <v>771</v>
      </c>
      <c r="J253" s="16">
        <v>1430</v>
      </c>
      <c r="K253" s="17">
        <f t="shared" si="12"/>
        <v>17733</v>
      </c>
      <c r="L253" s="17">
        <f t="shared" si="13"/>
        <v>32890</v>
      </c>
      <c r="M253" s="17">
        <f t="shared" si="14"/>
        <v>15157</v>
      </c>
      <c r="N253" s="17" t="str">
        <f t="shared" si="15"/>
        <v>profit</v>
      </c>
    </row>
    <row r="254" spans="1:14" ht="15.6" thickTop="1" thickBot="1" x14ac:dyDescent="0.35">
      <c r="A254" s="15">
        <v>45521</v>
      </c>
      <c r="B254" s="15" t="s">
        <v>82</v>
      </c>
      <c r="C254" s="16" t="s">
        <v>220</v>
      </c>
      <c r="D254" s="16" t="s">
        <v>71</v>
      </c>
      <c r="E254" s="16" t="s">
        <v>10</v>
      </c>
      <c r="F254" s="16" t="s">
        <v>79</v>
      </c>
      <c r="G254" s="16" t="s">
        <v>12</v>
      </c>
      <c r="H254" s="16">
        <v>30</v>
      </c>
      <c r="I254" s="16">
        <v>652</v>
      </c>
      <c r="J254" s="16">
        <v>1151</v>
      </c>
      <c r="K254" s="17">
        <f t="shared" si="12"/>
        <v>19560</v>
      </c>
      <c r="L254" s="17">
        <f t="shared" si="13"/>
        <v>34530</v>
      </c>
      <c r="M254" s="17">
        <f t="shared" si="14"/>
        <v>14970</v>
      </c>
      <c r="N254" s="17" t="str">
        <f t="shared" si="15"/>
        <v>profit</v>
      </c>
    </row>
    <row r="255" spans="1:14" ht="15.6" thickTop="1" thickBot="1" x14ac:dyDescent="0.35">
      <c r="A255" s="15">
        <v>45522</v>
      </c>
      <c r="B255" s="15" t="s">
        <v>82</v>
      </c>
      <c r="C255" s="16" t="s">
        <v>131</v>
      </c>
      <c r="D255" s="16" t="s">
        <v>71</v>
      </c>
      <c r="E255" s="16" t="s">
        <v>10</v>
      </c>
      <c r="F255" s="16" t="s">
        <v>60</v>
      </c>
      <c r="G255" s="16" t="s">
        <v>12</v>
      </c>
      <c r="H255" s="16">
        <v>22</v>
      </c>
      <c r="I255" s="16">
        <v>681</v>
      </c>
      <c r="J255" s="16">
        <v>1087</v>
      </c>
      <c r="K255" s="17">
        <f t="shared" si="12"/>
        <v>14982</v>
      </c>
      <c r="L255" s="17">
        <f t="shared" si="13"/>
        <v>23914</v>
      </c>
      <c r="M255" s="17">
        <f t="shared" si="14"/>
        <v>8932</v>
      </c>
      <c r="N255" s="17" t="str">
        <f t="shared" si="15"/>
        <v>profit</v>
      </c>
    </row>
    <row r="256" spans="1:14" ht="15.6" thickTop="1" thickBot="1" x14ac:dyDescent="0.35">
      <c r="A256" s="15">
        <v>45637</v>
      </c>
      <c r="B256" s="15" t="s">
        <v>213</v>
      </c>
      <c r="C256" s="16" t="s">
        <v>221</v>
      </c>
      <c r="D256" s="16" t="s">
        <v>58</v>
      </c>
      <c r="E256" s="16" t="s">
        <v>123</v>
      </c>
      <c r="F256" s="16" t="s">
        <v>47</v>
      </c>
      <c r="G256" s="16" t="s">
        <v>12</v>
      </c>
      <c r="H256" s="16">
        <v>66</v>
      </c>
      <c r="I256" s="16">
        <v>888</v>
      </c>
      <c r="J256" s="16">
        <v>809</v>
      </c>
      <c r="K256" s="17">
        <f t="shared" si="12"/>
        <v>58608</v>
      </c>
      <c r="L256" s="17">
        <f t="shared" si="13"/>
        <v>53394</v>
      </c>
      <c r="M256" s="17">
        <f t="shared" si="14"/>
        <v>-5214</v>
      </c>
      <c r="N256" s="17" t="str">
        <f t="shared" si="15"/>
        <v>loss</v>
      </c>
    </row>
    <row r="257" spans="1:14" ht="15.6" thickTop="1" thickBot="1" x14ac:dyDescent="0.35">
      <c r="A257" s="15">
        <v>45523</v>
      </c>
      <c r="B257" s="15" t="s">
        <v>82</v>
      </c>
      <c r="C257" s="16" t="s">
        <v>222</v>
      </c>
      <c r="D257" s="16" t="s">
        <v>71</v>
      </c>
      <c r="E257" s="16" t="s">
        <v>10</v>
      </c>
      <c r="F257" s="16" t="s">
        <v>64</v>
      </c>
      <c r="G257" s="16" t="s">
        <v>12</v>
      </c>
      <c r="H257" s="16">
        <v>28</v>
      </c>
      <c r="I257" s="16">
        <v>923</v>
      </c>
      <c r="J257" s="16">
        <v>1395</v>
      </c>
      <c r="K257" s="17">
        <f t="shared" si="12"/>
        <v>25844</v>
      </c>
      <c r="L257" s="17">
        <f t="shared" si="13"/>
        <v>39060</v>
      </c>
      <c r="M257" s="17">
        <f t="shared" si="14"/>
        <v>13216</v>
      </c>
      <c r="N257" s="17" t="str">
        <f t="shared" si="15"/>
        <v>profit</v>
      </c>
    </row>
    <row r="258" spans="1:14" ht="15.6" thickTop="1" thickBot="1" x14ac:dyDescent="0.35">
      <c r="A258" s="15">
        <v>45524</v>
      </c>
      <c r="B258" s="15" t="s">
        <v>82</v>
      </c>
      <c r="C258" s="16" t="s">
        <v>129</v>
      </c>
      <c r="D258" s="16" t="s">
        <v>71</v>
      </c>
      <c r="E258" s="16" t="s">
        <v>10</v>
      </c>
      <c r="F258" s="16" t="s">
        <v>64</v>
      </c>
      <c r="G258" s="16" t="s">
        <v>8</v>
      </c>
      <c r="H258" s="16">
        <v>26</v>
      </c>
      <c r="I258" s="16">
        <v>999</v>
      </c>
      <c r="J258" s="16">
        <v>1112</v>
      </c>
      <c r="K258" s="17">
        <f t="shared" ref="K258:K321" si="16">H258*I258</f>
        <v>25974</v>
      </c>
      <c r="L258" s="17">
        <f t="shared" ref="L258:L321" si="17">H258*J258</f>
        <v>28912</v>
      </c>
      <c r="M258" s="17">
        <f t="shared" ref="M258:M321" si="18">L258-K258</f>
        <v>2938</v>
      </c>
      <c r="N258" s="17" t="str">
        <f t="shared" ref="N258:N321" si="19">IF(M258&gt;0,"profit","loss")</f>
        <v>profit</v>
      </c>
    </row>
    <row r="259" spans="1:14" ht="15.6" thickTop="1" thickBot="1" x14ac:dyDescent="0.35">
      <c r="A259" s="15">
        <v>45525</v>
      </c>
      <c r="B259" s="15" t="s">
        <v>82</v>
      </c>
      <c r="C259" s="16" t="s">
        <v>223</v>
      </c>
      <c r="D259" s="16" t="s">
        <v>71</v>
      </c>
      <c r="E259" s="16" t="s">
        <v>10</v>
      </c>
      <c r="F259" s="16" t="s">
        <v>89</v>
      </c>
      <c r="G259" s="16" t="s">
        <v>8</v>
      </c>
      <c r="H259" s="16">
        <v>30</v>
      </c>
      <c r="I259" s="16">
        <v>792</v>
      </c>
      <c r="J259" s="16">
        <v>1010</v>
      </c>
      <c r="K259" s="17">
        <f t="shared" si="16"/>
        <v>23760</v>
      </c>
      <c r="L259" s="17">
        <f t="shared" si="17"/>
        <v>30300</v>
      </c>
      <c r="M259" s="17">
        <f t="shared" si="18"/>
        <v>6540</v>
      </c>
      <c r="N259" s="17" t="str">
        <f t="shared" si="19"/>
        <v>profit</v>
      </c>
    </row>
    <row r="260" spans="1:14" ht="15.6" thickTop="1" thickBot="1" x14ac:dyDescent="0.35">
      <c r="A260" s="15">
        <v>45527</v>
      </c>
      <c r="B260" s="15" t="s">
        <v>82</v>
      </c>
      <c r="C260" s="16" t="s">
        <v>224</v>
      </c>
      <c r="D260" s="16" t="s">
        <v>71</v>
      </c>
      <c r="E260" s="16" t="s">
        <v>10</v>
      </c>
      <c r="F260" s="16" t="s">
        <v>85</v>
      </c>
      <c r="G260" s="16" t="s">
        <v>8</v>
      </c>
      <c r="H260" s="16">
        <v>22</v>
      </c>
      <c r="I260" s="16">
        <v>774</v>
      </c>
      <c r="J260" s="16">
        <v>1387</v>
      </c>
      <c r="K260" s="17">
        <f t="shared" si="16"/>
        <v>17028</v>
      </c>
      <c r="L260" s="17">
        <f t="shared" si="17"/>
        <v>30514</v>
      </c>
      <c r="M260" s="17">
        <f t="shared" si="18"/>
        <v>13486</v>
      </c>
      <c r="N260" s="17" t="str">
        <f t="shared" si="19"/>
        <v>profit</v>
      </c>
    </row>
    <row r="261" spans="1:14" ht="15.6" thickTop="1" thickBot="1" x14ac:dyDescent="0.35">
      <c r="A261" s="15">
        <v>45642</v>
      </c>
      <c r="B261" s="15" t="s">
        <v>213</v>
      </c>
      <c r="C261" s="16" t="s">
        <v>225</v>
      </c>
      <c r="D261" s="16" t="s">
        <v>58</v>
      </c>
      <c r="E261" s="16" t="s">
        <v>123</v>
      </c>
      <c r="F261" s="16" t="s">
        <v>64</v>
      </c>
      <c r="G261" s="16" t="s">
        <v>8</v>
      </c>
      <c r="H261" s="16">
        <v>56</v>
      </c>
      <c r="I261" s="16">
        <v>516</v>
      </c>
      <c r="J261" s="16">
        <v>1316</v>
      </c>
      <c r="K261" s="17">
        <f t="shared" si="16"/>
        <v>28896</v>
      </c>
      <c r="L261" s="17">
        <f t="shared" si="17"/>
        <v>73696</v>
      </c>
      <c r="M261" s="17">
        <f t="shared" si="18"/>
        <v>44800</v>
      </c>
      <c r="N261" s="17" t="str">
        <f t="shared" si="19"/>
        <v>profit</v>
      </c>
    </row>
    <row r="262" spans="1:14" ht="15.6" thickTop="1" thickBot="1" x14ac:dyDescent="0.35">
      <c r="A262" s="15">
        <v>45589</v>
      </c>
      <c r="B262" s="15" t="s">
        <v>109</v>
      </c>
      <c r="C262" s="16" t="s">
        <v>226</v>
      </c>
      <c r="D262" s="16" t="s">
        <v>71</v>
      </c>
      <c r="E262" s="16" t="s">
        <v>156</v>
      </c>
      <c r="F262" s="16" t="s">
        <v>85</v>
      </c>
      <c r="G262" s="16" t="s">
        <v>8</v>
      </c>
      <c r="H262" s="16">
        <v>20</v>
      </c>
      <c r="I262" s="16">
        <v>999</v>
      </c>
      <c r="J262" s="16">
        <v>1191</v>
      </c>
      <c r="K262" s="17">
        <f t="shared" si="16"/>
        <v>19980</v>
      </c>
      <c r="L262" s="17">
        <f t="shared" si="17"/>
        <v>23820</v>
      </c>
      <c r="M262" s="17">
        <f t="shared" si="18"/>
        <v>3840</v>
      </c>
      <c r="N262" s="17" t="str">
        <f t="shared" si="19"/>
        <v>profit</v>
      </c>
    </row>
    <row r="263" spans="1:14" ht="15.6" thickTop="1" thickBot="1" x14ac:dyDescent="0.35">
      <c r="A263" s="15">
        <v>45591</v>
      </c>
      <c r="B263" s="15" t="s">
        <v>109</v>
      </c>
      <c r="C263" s="16" t="s">
        <v>227</v>
      </c>
      <c r="D263" s="16" t="s">
        <v>71</v>
      </c>
      <c r="E263" s="16" t="s">
        <v>156</v>
      </c>
      <c r="F263" s="16" t="s">
        <v>55</v>
      </c>
      <c r="G263" s="16" t="s">
        <v>12</v>
      </c>
      <c r="H263" s="16">
        <v>29</v>
      </c>
      <c r="I263" s="16">
        <v>661</v>
      </c>
      <c r="J263" s="16">
        <v>1400</v>
      </c>
      <c r="K263" s="17">
        <f t="shared" si="16"/>
        <v>19169</v>
      </c>
      <c r="L263" s="17">
        <f t="shared" si="17"/>
        <v>40600</v>
      </c>
      <c r="M263" s="17">
        <f t="shared" si="18"/>
        <v>21431</v>
      </c>
      <c r="N263" s="17" t="str">
        <f t="shared" si="19"/>
        <v>profit</v>
      </c>
    </row>
    <row r="264" spans="1:14" ht="15.6" thickTop="1" thickBot="1" x14ac:dyDescent="0.35">
      <c r="A264" s="15">
        <v>45596</v>
      </c>
      <c r="B264" s="15" t="s">
        <v>109</v>
      </c>
      <c r="C264" s="16" t="s">
        <v>228</v>
      </c>
      <c r="D264" s="16" t="s">
        <v>71</v>
      </c>
      <c r="E264" s="16" t="s">
        <v>72</v>
      </c>
      <c r="F264" s="16" t="s">
        <v>45</v>
      </c>
      <c r="G264" s="16" t="s">
        <v>12</v>
      </c>
      <c r="H264" s="16">
        <v>30</v>
      </c>
      <c r="I264" s="16">
        <v>539</v>
      </c>
      <c r="J264" s="16">
        <v>1364</v>
      </c>
      <c r="K264" s="17">
        <f t="shared" si="16"/>
        <v>16170</v>
      </c>
      <c r="L264" s="17">
        <f t="shared" si="17"/>
        <v>40920</v>
      </c>
      <c r="M264" s="17">
        <f t="shared" si="18"/>
        <v>24750</v>
      </c>
      <c r="N264" s="17" t="str">
        <f t="shared" si="19"/>
        <v>profit</v>
      </c>
    </row>
    <row r="265" spans="1:14" ht="15.6" thickTop="1" thickBot="1" x14ac:dyDescent="0.35">
      <c r="A265" s="15">
        <v>45646</v>
      </c>
      <c r="B265" s="15" t="s">
        <v>213</v>
      </c>
      <c r="C265" s="16" t="s">
        <v>229</v>
      </c>
      <c r="D265" s="16" t="s">
        <v>58</v>
      </c>
      <c r="E265" s="16" t="s">
        <v>123</v>
      </c>
      <c r="F265" s="16" t="s">
        <v>64</v>
      </c>
      <c r="G265" s="16" t="s">
        <v>8</v>
      </c>
      <c r="H265" s="16">
        <v>60</v>
      </c>
      <c r="I265" s="16">
        <v>901</v>
      </c>
      <c r="J265" s="16">
        <v>1148</v>
      </c>
      <c r="K265" s="17">
        <f t="shared" si="16"/>
        <v>54060</v>
      </c>
      <c r="L265" s="17">
        <f t="shared" si="17"/>
        <v>68880</v>
      </c>
      <c r="M265" s="17">
        <f t="shared" si="18"/>
        <v>14820</v>
      </c>
      <c r="N265" s="17" t="str">
        <f t="shared" si="19"/>
        <v>profit</v>
      </c>
    </row>
    <row r="266" spans="1:14" ht="15.6" thickTop="1" thickBot="1" x14ac:dyDescent="0.35">
      <c r="A266" s="15">
        <v>45597</v>
      </c>
      <c r="B266" s="15" t="s">
        <v>184</v>
      </c>
      <c r="C266" s="16" t="s">
        <v>230</v>
      </c>
      <c r="D266" s="16" t="s">
        <v>71</v>
      </c>
      <c r="E266" s="16" t="s">
        <v>72</v>
      </c>
      <c r="F266" s="16" t="s">
        <v>47</v>
      </c>
      <c r="G266" s="16" t="s">
        <v>12</v>
      </c>
      <c r="H266" s="16">
        <v>26</v>
      </c>
      <c r="I266" s="16">
        <v>726</v>
      </c>
      <c r="J266" s="16">
        <v>1335</v>
      </c>
      <c r="K266" s="17">
        <f t="shared" si="16"/>
        <v>18876</v>
      </c>
      <c r="L266" s="17">
        <f t="shared" si="17"/>
        <v>34710</v>
      </c>
      <c r="M266" s="17">
        <f t="shared" si="18"/>
        <v>15834</v>
      </c>
      <c r="N266" s="17" t="str">
        <f t="shared" si="19"/>
        <v>profit</v>
      </c>
    </row>
    <row r="267" spans="1:14" ht="15.6" thickTop="1" thickBot="1" x14ac:dyDescent="0.35">
      <c r="A267" s="15">
        <v>45648</v>
      </c>
      <c r="B267" s="15" t="s">
        <v>213</v>
      </c>
      <c r="C267" s="16" t="s">
        <v>231</v>
      </c>
      <c r="D267" s="16" t="s">
        <v>58</v>
      </c>
      <c r="E267" s="16" t="s">
        <v>143</v>
      </c>
      <c r="F267" s="16" t="s">
        <v>137</v>
      </c>
      <c r="G267" s="16" t="s">
        <v>8</v>
      </c>
      <c r="H267" s="16">
        <v>50</v>
      </c>
      <c r="I267" s="16">
        <v>749</v>
      </c>
      <c r="J267" s="16">
        <v>1269</v>
      </c>
      <c r="K267" s="17">
        <f t="shared" si="16"/>
        <v>37450</v>
      </c>
      <c r="L267" s="17">
        <f t="shared" si="17"/>
        <v>63450</v>
      </c>
      <c r="M267" s="17">
        <f t="shared" si="18"/>
        <v>26000</v>
      </c>
      <c r="N267" s="17" t="str">
        <f t="shared" si="19"/>
        <v>profit</v>
      </c>
    </row>
    <row r="268" spans="1:14" ht="15.6" thickTop="1" thickBot="1" x14ac:dyDescent="0.35">
      <c r="A268" s="15">
        <v>45598</v>
      </c>
      <c r="B268" s="15" t="s">
        <v>184</v>
      </c>
      <c r="C268" s="16" t="s">
        <v>232</v>
      </c>
      <c r="D268" s="16" t="s">
        <v>71</v>
      </c>
      <c r="E268" s="16" t="s">
        <v>72</v>
      </c>
      <c r="F268" s="16" t="s">
        <v>49</v>
      </c>
      <c r="G268" s="16" t="s">
        <v>12</v>
      </c>
      <c r="H268" s="16">
        <v>29</v>
      </c>
      <c r="I268" s="16">
        <v>510</v>
      </c>
      <c r="J268" s="16">
        <v>1131</v>
      </c>
      <c r="K268" s="17">
        <f t="shared" si="16"/>
        <v>14790</v>
      </c>
      <c r="L268" s="17">
        <f t="shared" si="17"/>
        <v>32799</v>
      </c>
      <c r="M268" s="17">
        <f t="shared" si="18"/>
        <v>18009</v>
      </c>
      <c r="N268" s="17" t="str">
        <f t="shared" si="19"/>
        <v>profit</v>
      </c>
    </row>
    <row r="269" spans="1:14" ht="15.6" thickTop="1" thickBot="1" x14ac:dyDescent="0.35">
      <c r="A269" s="15">
        <v>45599</v>
      </c>
      <c r="B269" s="15" t="s">
        <v>184</v>
      </c>
      <c r="C269" s="16" t="s">
        <v>233</v>
      </c>
      <c r="D269" s="16" t="s">
        <v>71</v>
      </c>
      <c r="E269" s="16" t="s">
        <v>72</v>
      </c>
      <c r="F269" s="16" t="s">
        <v>51</v>
      </c>
      <c r="G269" s="16" t="s">
        <v>8</v>
      </c>
      <c r="H269" s="16">
        <v>27</v>
      </c>
      <c r="I269" s="16">
        <v>752</v>
      </c>
      <c r="J269" s="16">
        <v>1258</v>
      </c>
      <c r="K269" s="17">
        <f t="shared" si="16"/>
        <v>20304</v>
      </c>
      <c r="L269" s="17">
        <f t="shared" si="17"/>
        <v>33966</v>
      </c>
      <c r="M269" s="17">
        <f t="shared" si="18"/>
        <v>13662</v>
      </c>
      <c r="N269" s="17" t="str">
        <f t="shared" si="19"/>
        <v>profit</v>
      </c>
    </row>
    <row r="270" spans="1:14" ht="15.6" thickTop="1" thickBot="1" x14ac:dyDescent="0.35">
      <c r="A270" s="15">
        <v>45600</v>
      </c>
      <c r="B270" s="15" t="s">
        <v>184</v>
      </c>
      <c r="C270" s="16" t="s">
        <v>234</v>
      </c>
      <c r="D270" s="16" t="s">
        <v>71</v>
      </c>
      <c r="E270" s="16" t="s">
        <v>72</v>
      </c>
      <c r="F270" s="16" t="s">
        <v>51</v>
      </c>
      <c r="G270" s="16" t="s">
        <v>8</v>
      </c>
      <c r="H270" s="16">
        <v>28</v>
      </c>
      <c r="I270" s="16">
        <v>924</v>
      </c>
      <c r="J270" s="16">
        <v>847</v>
      </c>
      <c r="K270" s="17">
        <f t="shared" si="16"/>
        <v>25872</v>
      </c>
      <c r="L270" s="17">
        <f t="shared" si="17"/>
        <v>23716</v>
      </c>
      <c r="M270" s="17">
        <f t="shared" si="18"/>
        <v>-2156</v>
      </c>
      <c r="N270" s="17" t="str">
        <f t="shared" si="19"/>
        <v>loss</v>
      </c>
    </row>
    <row r="271" spans="1:14" ht="15.6" thickTop="1" thickBot="1" x14ac:dyDescent="0.35">
      <c r="A271" s="15">
        <v>45601</v>
      </c>
      <c r="B271" s="15" t="s">
        <v>184</v>
      </c>
      <c r="C271" s="16" t="s">
        <v>235</v>
      </c>
      <c r="D271" s="16" t="s">
        <v>71</v>
      </c>
      <c r="E271" s="16" t="s">
        <v>72</v>
      </c>
      <c r="F271" s="16" t="s">
        <v>53</v>
      </c>
      <c r="G271" s="16" t="s">
        <v>8</v>
      </c>
      <c r="H271" s="16">
        <v>26</v>
      </c>
      <c r="I271" s="16">
        <v>643</v>
      </c>
      <c r="J271" s="16">
        <v>1341</v>
      </c>
      <c r="K271" s="17">
        <f t="shared" si="16"/>
        <v>16718</v>
      </c>
      <c r="L271" s="17">
        <f t="shared" si="17"/>
        <v>34866</v>
      </c>
      <c r="M271" s="17">
        <f t="shared" si="18"/>
        <v>18148</v>
      </c>
      <c r="N271" s="17" t="str">
        <f t="shared" si="19"/>
        <v>profit</v>
      </c>
    </row>
    <row r="272" spans="1:14" ht="15.6" thickTop="1" thickBot="1" x14ac:dyDescent="0.35">
      <c r="A272" s="15">
        <v>45653</v>
      </c>
      <c r="B272" s="15" t="s">
        <v>213</v>
      </c>
      <c r="C272" s="16" t="s">
        <v>236</v>
      </c>
      <c r="D272" s="16" t="s">
        <v>58</v>
      </c>
      <c r="E272" s="16" t="s">
        <v>143</v>
      </c>
      <c r="F272" s="16" t="s">
        <v>47</v>
      </c>
      <c r="G272" s="16" t="s">
        <v>12</v>
      </c>
      <c r="H272" s="16">
        <v>59</v>
      </c>
      <c r="I272" s="16">
        <v>774</v>
      </c>
      <c r="J272" s="16">
        <v>1374</v>
      </c>
      <c r="K272" s="17">
        <f t="shared" si="16"/>
        <v>45666</v>
      </c>
      <c r="L272" s="17">
        <f t="shared" si="17"/>
        <v>81066</v>
      </c>
      <c r="M272" s="17">
        <f t="shared" si="18"/>
        <v>35400</v>
      </c>
      <c r="N272" s="17" t="str">
        <f t="shared" si="19"/>
        <v>profit</v>
      </c>
    </row>
    <row r="273" spans="1:14" ht="15.6" thickTop="1" thickBot="1" x14ac:dyDescent="0.35">
      <c r="A273" s="15">
        <v>45609</v>
      </c>
      <c r="B273" s="15" t="s">
        <v>184</v>
      </c>
      <c r="C273" s="16" t="s">
        <v>237</v>
      </c>
      <c r="D273" s="16" t="s">
        <v>71</v>
      </c>
      <c r="E273" s="16" t="s">
        <v>88</v>
      </c>
      <c r="F273" s="16" t="s">
        <v>100</v>
      </c>
      <c r="G273" s="16" t="s">
        <v>12</v>
      </c>
      <c r="H273" s="16">
        <v>23</v>
      </c>
      <c r="I273" s="16">
        <v>584</v>
      </c>
      <c r="J273" s="16">
        <v>1140</v>
      </c>
      <c r="K273" s="17">
        <f t="shared" si="16"/>
        <v>13432</v>
      </c>
      <c r="L273" s="17">
        <f t="shared" si="17"/>
        <v>26220</v>
      </c>
      <c r="M273" s="17">
        <f t="shared" si="18"/>
        <v>12788</v>
      </c>
      <c r="N273" s="17" t="str">
        <f t="shared" si="19"/>
        <v>profit</v>
      </c>
    </row>
    <row r="274" spans="1:14" ht="15.6" thickTop="1" thickBot="1" x14ac:dyDescent="0.35">
      <c r="A274" s="15">
        <v>45611</v>
      </c>
      <c r="B274" s="15" t="s">
        <v>184</v>
      </c>
      <c r="C274" s="16" t="s">
        <v>238</v>
      </c>
      <c r="D274" s="16" t="s">
        <v>71</v>
      </c>
      <c r="E274" s="16" t="s">
        <v>88</v>
      </c>
      <c r="F274" s="16" t="s">
        <v>60</v>
      </c>
      <c r="G274" s="16" t="s">
        <v>12</v>
      </c>
      <c r="H274" s="16">
        <v>21</v>
      </c>
      <c r="I274" s="16">
        <v>608</v>
      </c>
      <c r="J274" s="16">
        <v>983</v>
      </c>
      <c r="K274" s="17">
        <f t="shared" si="16"/>
        <v>12768</v>
      </c>
      <c r="L274" s="17">
        <f t="shared" si="17"/>
        <v>20643</v>
      </c>
      <c r="M274" s="17">
        <f t="shared" si="18"/>
        <v>7875</v>
      </c>
      <c r="N274" s="17" t="str">
        <f t="shared" si="19"/>
        <v>profit</v>
      </c>
    </row>
    <row r="275" spans="1:14" ht="15.6" thickTop="1" thickBot="1" x14ac:dyDescent="0.35">
      <c r="A275" s="15">
        <v>45612</v>
      </c>
      <c r="B275" s="15" t="s">
        <v>184</v>
      </c>
      <c r="C275" s="16" t="s">
        <v>239</v>
      </c>
      <c r="D275" s="16" t="s">
        <v>71</v>
      </c>
      <c r="E275" s="16" t="s">
        <v>88</v>
      </c>
      <c r="F275" s="16" t="s">
        <v>69</v>
      </c>
      <c r="G275" s="16" t="s">
        <v>12</v>
      </c>
      <c r="H275" s="16">
        <v>30</v>
      </c>
      <c r="I275" s="16">
        <v>712</v>
      </c>
      <c r="J275" s="16">
        <v>1311</v>
      </c>
      <c r="K275" s="17">
        <f t="shared" si="16"/>
        <v>21360</v>
      </c>
      <c r="L275" s="17">
        <f t="shared" si="17"/>
        <v>39330</v>
      </c>
      <c r="M275" s="17">
        <f t="shared" si="18"/>
        <v>17970</v>
      </c>
      <c r="N275" s="17" t="str">
        <f t="shared" si="19"/>
        <v>profit</v>
      </c>
    </row>
    <row r="276" spans="1:14" ht="15.6" thickTop="1" thickBot="1" x14ac:dyDescent="0.35">
      <c r="A276" s="15">
        <v>45613</v>
      </c>
      <c r="B276" s="15" t="s">
        <v>184</v>
      </c>
      <c r="C276" s="16" t="s">
        <v>240</v>
      </c>
      <c r="D276" s="16" t="s">
        <v>71</v>
      </c>
      <c r="E276" s="16" t="s">
        <v>88</v>
      </c>
      <c r="F276" s="16" t="s">
        <v>85</v>
      </c>
      <c r="G276" s="16" t="s">
        <v>12</v>
      </c>
      <c r="H276" s="16">
        <v>24</v>
      </c>
      <c r="I276" s="16">
        <v>672</v>
      </c>
      <c r="J276" s="16">
        <v>878</v>
      </c>
      <c r="K276" s="17">
        <f t="shared" si="16"/>
        <v>16128</v>
      </c>
      <c r="L276" s="17">
        <f t="shared" si="17"/>
        <v>21072</v>
      </c>
      <c r="M276" s="17">
        <f t="shared" si="18"/>
        <v>4944</v>
      </c>
      <c r="N276" s="17" t="str">
        <f t="shared" si="19"/>
        <v>profit</v>
      </c>
    </row>
    <row r="277" spans="1:14" ht="15.6" thickTop="1" thickBot="1" x14ac:dyDescent="0.35">
      <c r="A277" s="15">
        <v>45615</v>
      </c>
      <c r="B277" s="15" t="s">
        <v>184</v>
      </c>
      <c r="C277" s="16" t="s">
        <v>241</v>
      </c>
      <c r="D277" s="16" t="s">
        <v>71</v>
      </c>
      <c r="E277" s="16" t="s">
        <v>88</v>
      </c>
      <c r="F277" s="16" t="s">
        <v>64</v>
      </c>
      <c r="G277" s="16" t="s">
        <v>8</v>
      </c>
      <c r="H277" s="16">
        <v>29</v>
      </c>
      <c r="I277" s="16">
        <v>520</v>
      </c>
      <c r="J277" s="16">
        <v>770</v>
      </c>
      <c r="K277" s="17">
        <f t="shared" si="16"/>
        <v>15080</v>
      </c>
      <c r="L277" s="17">
        <f t="shared" si="17"/>
        <v>22330</v>
      </c>
      <c r="M277" s="17">
        <f t="shared" si="18"/>
        <v>7250</v>
      </c>
      <c r="N277" s="17" t="str">
        <f t="shared" si="19"/>
        <v>profit</v>
      </c>
    </row>
    <row r="278" spans="1:14" ht="15.6" thickTop="1" thickBot="1" x14ac:dyDescent="0.35">
      <c r="A278" s="15">
        <v>45617</v>
      </c>
      <c r="B278" s="15" t="s">
        <v>184</v>
      </c>
      <c r="C278" s="16" t="s">
        <v>242</v>
      </c>
      <c r="D278" s="16" t="s">
        <v>71</v>
      </c>
      <c r="E278" s="16" t="s">
        <v>88</v>
      </c>
      <c r="F278" s="16" t="s">
        <v>69</v>
      </c>
      <c r="G278" s="16" t="s">
        <v>12</v>
      </c>
      <c r="H278" s="16">
        <v>28</v>
      </c>
      <c r="I278" s="16">
        <v>884</v>
      </c>
      <c r="J278" s="16">
        <v>1165</v>
      </c>
      <c r="K278" s="17">
        <f t="shared" si="16"/>
        <v>24752</v>
      </c>
      <c r="L278" s="17">
        <f t="shared" si="17"/>
        <v>32620</v>
      </c>
      <c r="M278" s="17">
        <f t="shared" si="18"/>
        <v>7868</v>
      </c>
      <c r="N278" s="17" t="str">
        <f t="shared" si="19"/>
        <v>profit</v>
      </c>
    </row>
    <row r="279" spans="1:14" ht="15.6" thickTop="1" thickBot="1" x14ac:dyDescent="0.35">
      <c r="A279" s="15">
        <v>45660</v>
      </c>
      <c r="B279" s="15" t="s">
        <v>119</v>
      </c>
      <c r="C279" s="16" t="s">
        <v>243</v>
      </c>
      <c r="D279" s="16" t="s">
        <v>43</v>
      </c>
      <c r="E279" s="16" t="s">
        <v>44</v>
      </c>
      <c r="F279" s="16" t="s">
        <v>100</v>
      </c>
      <c r="G279" s="16" t="s">
        <v>8</v>
      </c>
      <c r="H279" s="16">
        <v>11</v>
      </c>
      <c r="I279" s="16">
        <v>562</v>
      </c>
      <c r="J279" s="16">
        <v>800</v>
      </c>
      <c r="K279" s="17">
        <f t="shared" si="16"/>
        <v>6182</v>
      </c>
      <c r="L279" s="17">
        <f t="shared" si="17"/>
        <v>8800</v>
      </c>
      <c r="M279" s="17">
        <f t="shared" si="18"/>
        <v>2618</v>
      </c>
      <c r="N279" s="17" t="str">
        <f t="shared" si="19"/>
        <v>profit</v>
      </c>
    </row>
    <row r="280" spans="1:14" ht="15.6" thickTop="1" thickBot="1" x14ac:dyDescent="0.35">
      <c r="A280" s="15">
        <v>45618</v>
      </c>
      <c r="B280" s="15" t="s">
        <v>184</v>
      </c>
      <c r="C280" s="16" t="s">
        <v>244</v>
      </c>
      <c r="D280" s="16" t="s">
        <v>71</v>
      </c>
      <c r="E280" s="16" t="s">
        <v>88</v>
      </c>
      <c r="F280" s="16" t="s">
        <v>53</v>
      </c>
      <c r="G280" s="16" t="s">
        <v>12</v>
      </c>
      <c r="H280" s="16">
        <v>25</v>
      </c>
      <c r="I280" s="16">
        <v>990</v>
      </c>
      <c r="J280" s="16">
        <v>868</v>
      </c>
      <c r="K280" s="17">
        <f t="shared" si="16"/>
        <v>24750</v>
      </c>
      <c r="L280" s="17">
        <f t="shared" si="17"/>
        <v>21700</v>
      </c>
      <c r="M280" s="17">
        <f t="shared" si="18"/>
        <v>-3050</v>
      </c>
      <c r="N280" s="17" t="str">
        <f t="shared" si="19"/>
        <v>loss</v>
      </c>
    </row>
    <row r="281" spans="1:14" ht="15.6" thickTop="1" thickBot="1" x14ac:dyDescent="0.35">
      <c r="A281" s="15">
        <v>45662</v>
      </c>
      <c r="B281" s="15" t="s">
        <v>119</v>
      </c>
      <c r="C281" s="16" t="s">
        <v>245</v>
      </c>
      <c r="D281" s="16" t="s">
        <v>43</v>
      </c>
      <c r="E281" s="16" t="s">
        <v>44</v>
      </c>
      <c r="F281" s="16" t="s">
        <v>69</v>
      </c>
      <c r="G281" s="16" t="s">
        <v>8</v>
      </c>
      <c r="H281" s="16">
        <v>15</v>
      </c>
      <c r="I281" s="16">
        <v>992</v>
      </c>
      <c r="J281" s="16">
        <v>1404</v>
      </c>
      <c r="K281" s="17">
        <f t="shared" si="16"/>
        <v>14880</v>
      </c>
      <c r="L281" s="17">
        <f t="shared" si="17"/>
        <v>21060</v>
      </c>
      <c r="M281" s="17">
        <f t="shared" si="18"/>
        <v>6180</v>
      </c>
      <c r="N281" s="17" t="str">
        <f t="shared" si="19"/>
        <v>profit</v>
      </c>
    </row>
    <row r="282" spans="1:14" ht="15.6" thickTop="1" thickBot="1" x14ac:dyDescent="0.35">
      <c r="A282" s="15">
        <v>45619</v>
      </c>
      <c r="B282" s="15" t="s">
        <v>184</v>
      </c>
      <c r="C282" s="16" t="s">
        <v>246</v>
      </c>
      <c r="D282" s="16" t="s">
        <v>71</v>
      </c>
      <c r="E282" s="16" t="s">
        <v>88</v>
      </c>
      <c r="F282" s="16" t="s">
        <v>69</v>
      </c>
      <c r="G282" s="16" t="s">
        <v>12</v>
      </c>
      <c r="H282" s="16">
        <v>22</v>
      </c>
      <c r="I282" s="16">
        <v>524</v>
      </c>
      <c r="J282" s="16">
        <v>1156</v>
      </c>
      <c r="K282" s="17">
        <f t="shared" si="16"/>
        <v>11528</v>
      </c>
      <c r="L282" s="17">
        <f t="shared" si="17"/>
        <v>25432</v>
      </c>
      <c r="M282" s="17">
        <f t="shared" si="18"/>
        <v>13904</v>
      </c>
      <c r="N282" s="17" t="str">
        <f t="shared" si="19"/>
        <v>profit</v>
      </c>
    </row>
    <row r="283" spans="1:14" ht="15.6" thickTop="1" thickBot="1" x14ac:dyDescent="0.35">
      <c r="A283" s="15">
        <v>45664</v>
      </c>
      <c r="B283" s="15" t="s">
        <v>119</v>
      </c>
      <c r="C283" s="16" t="s">
        <v>247</v>
      </c>
      <c r="D283" s="16" t="s">
        <v>43</v>
      </c>
      <c r="E283" s="16" t="s">
        <v>44</v>
      </c>
      <c r="F283" s="16" t="s">
        <v>49</v>
      </c>
      <c r="G283" s="16" t="s">
        <v>8</v>
      </c>
      <c r="H283" s="16">
        <v>11</v>
      </c>
      <c r="I283" s="16">
        <v>668</v>
      </c>
      <c r="J283" s="16">
        <v>1096</v>
      </c>
      <c r="K283" s="17">
        <f t="shared" si="16"/>
        <v>7348</v>
      </c>
      <c r="L283" s="17">
        <f t="shared" si="17"/>
        <v>12056</v>
      </c>
      <c r="M283" s="17">
        <f t="shared" si="18"/>
        <v>4708</v>
      </c>
      <c r="N283" s="17" t="str">
        <f t="shared" si="19"/>
        <v>profit</v>
      </c>
    </row>
    <row r="284" spans="1:14" ht="15.6" thickTop="1" thickBot="1" x14ac:dyDescent="0.35">
      <c r="A284" s="15">
        <v>45620</v>
      </c>
      <c r="B284" s="15" t="s">
        <v>184</v>
      </c>
      <c r="C284" s="16" t="s">
        <v>248</v>
      </c>
      <c r="D284" s="16" t="s">
        <v>71</v>
      </c>
      <c r="E284" s="16" t="s">
        <v>88</v>
      </c>
      <c r="F284" s="16" t="s">
        <v>74</v>
      </c>
      <c r="G284" s="16" t="s">
        <v>12</v>
      </c>
      <c r="H284" s="16">
        <v>26</v>
      </c>
      <c r="I284" s="16">
        <v>997</v>
      </c>
      <c r="J284" s="16">
        <v>982</v>
      </c>
      <c r="K284" s="17">
        <f t="shared" si="16"/>
        <v>25922</v>
      </c>
      <c r="L284" s="17">
        <f t="shared" si="17"/>
        <v>25532</v>
      </c>
      <c r="M284" s="17">
        <f t="shared" si="18"/>
        <v>-390</v>
      </c>
      <c r="N284" s="17" t="str">
        <f t="shared" si="19"/>
        <v>loss</v>
      </c>
    </row>
    <row r="285" spans="1:14" ht="15.6" thickTop="1" thickBot="1" x14ac:dyDescent="0.35">
      <c r="A285" s="15">
        <v>45621</v>
      </c>
      <c r="B285" s="15" t="s">
        <v>184</v>
      </c>
      <c r="C285" s="16" t="s">
        <v>249</v>
      </c>
      <c r="D285" s="16" t="s">
        <v>71</v>
      </c>
      <c r="E285" s="16" t="s">
        <v>88</v>
      </c>
      <c r="F285" s="16" t="s">
        <v>53</v>
      </c>
      <c r="G285" s="16" t="s">
        <v>12</v>
      </c>
      <c r="H285" s="16">
        <v>27</v>
      </c>
      <c r="I285" s="16">
        <v>922</v>
      </c>
      <c r="J285" s="16">
        <v>1284</v>
      </c>
      <c r="K285" s="17">
        <f t="shared" si="16"/>
        <v>24894</v>
      </c>
      <c r="L285" s="17">
        <f t="shared" si="17"/>
        <v>34668</v>
      </c>
      <c r="M285" s="17">
        <f t="shared" si="18"/>
        <v>9774</v>
      </c>
      <c r="N285" s="17" t="str">
        <f t="shared" si="19"/>
        <v>profit</v>
      </c>
    </row>
    <row r="286" spans="1:14" ht="15.6" thickTop="1" thickBot="1" x14ac:dyDescent="0.35">
      <c r="A286" s="15">
        <v>45622</v>
      </c>
      <c r="B286" s="15" t="s">
        <v>184</v>
      </c>
      <c r="C286" s="16" t="s">
        <v>250</v>
      </c>
      <c r="D286" s="16" t="s">
        <v>71</v>
      </c>
      <c r="E286" s="16" t="s">
        <v>88</v>
      </c>
      <c r="F286" s="16" t="s">
        <v>77</v>
      </c>
      <c r="G286" s="16" t="s">
        <v>8</v>
      </c>
      <c r="H286" s="16">
        <v>21</v>
      </c>
      <c r="I286" s="16">
        <v>978</v>
      </c>
      <c r="J286" s="16">
        <v>1139</v>
      </c>
      <c r="K286" s="17">
        <f t="shared" si="16"/>
        <v>20538</v>
      </c>
      <c r="L286" s="17">
        <f t="shared" si="17"/>
        <v>23919</v>
      </c>
      <c r="M286" s="17">
        <f t="shared" si="18"/>
        <v>3381</v>
      </c>
      <c r="N286" s="17" t="str">
        <f t="shared" si="19"/>
        <v>profit</v>
      </c>
    </row>
    <row r="287" spans="1:14" ht="15.6" thickTop="1" thickBot="1" x14ac:dyDescent="0.35">
      <c r="A287" s="15">
        <v>45623</v>
      </c>
      <c r="B287" s="15" t="s">
        <v>184</v>
      </c>
      <c r="C287" s="16" t="s">
        <v>251</v>
      </c>
      <c r="D287" s="16" t="s">
        <v>71</v>
      </c>
      <c r="E287" s="16" t="s">
        <v>88</v>
      </c>
      <c r="F287" s="16" t="s">
        <v>79</v>
      </c>
      <c r="G287" s="16" t="s">
        <v>8</v>
      </c>
      <c r="H287" s="16">
        <v>24</v>
      </c>
      <c r="I287" s="16">
        <v>830</v>
      </c>
      <c r="J287" s="16">
        <v>1355</v>
      </c>
      <c r="K287" s="17">
        <f t="shared" si="16"/>
        <v>19920</v>
      </c>
      <c r="L287" s="17">
        <f t="shared" si="17"/>
        <v>32520</v>
      </c>
      <c r="M287" s="17">
        <f t="shared" si="18"/>
        <v>12600</v>
      </c>
      <c r="N287" s="17" t="str">
        <f t="shared" si="19"/>
        <v>profit</v>
      </c>
    </row>
    <row r="288" spans="1:14" ht="15.6" thickTop="1" thickBot="1" x14ac:dyDescent="0.35">
      <c r="A288" s="15">
        <v>45624</v>
      </c>
      <c r="B288" s="15" t="s">
        <v>184</v>
      </c>
      <c r="C288" s="16" t="s">
        <v>252</v>
      </c>
      <c r="D288" s="16" t="s">
        <v>71</v>
      </c>
      <c r="E288" s="16" t="s">
        <v>10</v>
      </c>
      <c r="F288" s="16" t="s">
        <v>60</v>
      </c>
      <c r="G288" s="16" t="s">
        <v>8</v>
      </c>
      <c r="H288" s="16">
        <v>21</v>
      </c>
      <c r="I288" s="16">
        <v>751</v>
      </c>
      <c r="J288" s="16">
        <v>1498</v>
      </c>
      <c r="K288" s="17">
        <f t="shared" si="16"/>
        <v>15771</v>
      </c>
      <c r="L288" s="17">
        <f t="shared" si="17"/>
        <v>31458</v>
      </c>
      <c r="M288" s="17">
        <f t="shared" si="18"/>
        <v>15687</v>
      </c>
      <c r="N288" s="17" t="str">
        <f t="shared" si="19"/>
        <v>profit</v>
      </c>
    </row>
    <row r="289" spans="1:14" ht="15.6" thickTop="1" thickBot="1" x14ac:dyDescent="0.35">
      <c r="A289" s="15">
        <v>45625</v>
      </c>
      <c r="B289" s="15" t="s">
        <v>184</v>
      </c>
      <c r="C289" s="16" t="s">
        <v>253</v>
      </c>
      <c r="D289" s="16" t="s">
        <v>71</v>
      </c>
      <c r="E289" s="16" t="s">
        <v>10</v>
      </c>
      <c r="F289" s="16" t="s">
        <v>64</v>
      </c>
      <c r="G289" s="16" t="s">
        <v>8</v>
      </c>
      <c r="H289" s="16">
        <v>26</v>
      </c>
      <c r="I289" s="16">
        <v>520</v>
      </c>
      <c r="J289" s="16">
        <v>1261</v>
      </c>
      <c r="K289" s="17">
        <f t="shared" si="16"/>
        <v>13520</v>
      </c>
      <c r="L289" s="17">
        <f t="shared" si="17"/>
        <v>32786</v>
      </c>
      <c r="M289" s="17">
        <f t="shared" si="18"/>
        <v>19266</v>
      </c>
      <c r="N289" s="17" t="str">
        <f t="shared" si="19"/>
        <v>profit</v>
      </c>
    </row>
    <row r="290" spans="1:14" ht="15.6" thickTop="1" thickBot="1" x14ac:dyDescent="0.35">
      <c r="A290" s="15">
        <v>45671</v>
      </c>
      <c r="B290" s="15" t="s">
        <v>119</v>
      </c>
      <c r="C290" s="16" t="s">
        <v>254</v>
      </c>
      <c r="D290" s="16" t="s">
        <v>58</v>
      </c>
      <c r="E290" s="16" t="s">
        <v>143</v>
      </c>
      <c r="F290" s="16" t="s">
        <v>85</v>
      </c>
      <c r="G290" s="16" t="s">
        <v>12</v>
      </c>
      <c r="H290" s="16">
        <v>56</v>
      </c>
      <c r="I290" s="16">
        <v>685</v>
      </c>
      <c r="J290" s="16">
        <v>771</v>
      </c>
      <c r="K290" s="17">
        <f t="shared" si="16"/>
        <v>38360</v>
      </c>
      <c r="L290" s="17">
        <f t="shared" si="17"/>
        <v>43176</v>
      </c>
      <c r="M290" s="17">
        <f t="shared" si="18"/>
        <v>4816</v>
      </c>
      <c r="N290" s="17" t="str">
        <f t="shared" si="19"/>
        <v>profit</v>
      </c>
    </row>
    <row r="291" spans="1:14" ht="15.6" thickTop="1" thickBot="1" x14ac:dyDescent="0.35">
      <c r="A291" s="15">
        <v>45627</v>
      </c>
      <c r="B291" s="15" t="s">
        <v>213</v>
      </c>
      <c r="C291" s="16" t="s">
        <v>255</v>
      </c>
      <c r="D291" s="16" t="s">
        <v>71</v>
      </c>
      <c r="E291" s="16" t="s">
        <v>10</v>
      </c>
      <c r="F291" s="16" t="s">
        <v>89</v>
      </c>
      <c r="G291" s="16" t="s">
        <v>8</v>
      </c>
      <c r="H291" s="16">
        <v>21</v>
      </c>
      <c r="I291" s="16">
        <v>605</v>
      </c>
      <c r="J291" s="16">
        <v>1264</v>
      </c>
      <c r="K291" s="17">
        <f t="shared" si="16"/>
        <v>12705</v>
      </c>
      <c r="L291" s="17">
        <f t="shared" si="17"/>
        <v>26544</v>
      </c>
      <c r="M291" s="17">
        <f t="shared" si="18"/>
        <v>13839</v>
      </c>
      <c r="N291" s="17" t="str">
        <f t="shared" si="19"/>
        <v>profit</v>
      </c>
    </row>
    <row r="292" spans="1:14" ht="15.6" thickTop="1" thickBot="1" x14ac:dyDescent="0.35">
      <c r="A292" s="15">
        <v>45628</v>
      </c>
      <c r="B292" s="15" t="s">
        <v>213</v>
      </c>
      <c r="C292" s="16" t="s">
        <v>256</v>
      </c>
      <c r="D292" s="16" t="s">
        <v>71</v>
      </c>
      <c r="E292" s="16" t="s">
        <v>10</v>
      </c>
      <c r="F292" s="16" t="s">
        <v>89</v>
      </c>
      <c r="G292" s="16" t="s">
        <v>8</v>
      </c>
      <c r="H292" s="16">
        <v>20</v>
      </c>
      <c r="I292" s="16">
        <v>666</v>
      </c>
      <c r="J292" s="16">
        <v>1087</v>
      </c>
      <c r="K292" s="17">
        <f t="shared" si="16"/>
        <v>13320</v>
      </c>
      <c r="L292" s="17">
        <f t="shared" si="17"/>
        <v>21740</v>
      </c>
      <c r="M292" s="17">
        <f t="shared" si="18"/>
        <v>8420</v>
      </c>
      <c r="N292" s="17" t="str">
        <f t="shared" si="19"/>
        <v>profit</v>
      </c>
    </row>
    <row r="293" spans="1:14" ht="15.6" thickTop="1" thickBot="1" x14ac:dyDescent="0.35">
      <c r="A293" s="15">
        <v>45630</v>
      </c>
      <c r="B293" s="15" t="s">
        <v>213</v>
      </c>
      <c r="C293" s="16" t="s">
        <v>257</v>
      </c>
      <c r="D293" s="16" t="s">
        <v>71</v>
      </c>
      <c r="E293" s="16" t="s">
        <v>10</v>
      </c>
      <c r="F293" s="16" t="s">
        <v>64</v>
      </c>
      <c r="G293" s="16" t="s">
        <v>12</v>
      </c>
      <c r="H293" s="16">
        <v>23</v>
      </c>
      <c r="I293" s="16">
        <v>632</v>
      </c>
      <c r="J293" s="16">
        <v>762</v>
      </c>
      <c r="K293" s="17">
        <f t="shared" si="16"/>
        <v>14536</v>
      </c>
      <c r="L293" s="17">
        <f t="shared" si="17"/>
        <v>17526</v>
      </c>
      <c r="M293" s="17">
        <f t="shared" si="18"/>
        <v>2990</v>
      </c>
      <c r="N293" s="17" t="str">
        <f t="shared" si="19"/>
        <v>profit</v>
      </c>
    </row>
    <row r="294" spans="1:14" ht="15.6" thickTop="1" thickBot="1" x14ac:dyDescent="0.35">
      <c r="A294" s="15">
        <v>45631</v>
      </c>
      <c r="B294" s="15" t="s">
        <v>213</v>
      </c>
      <c r="C294" s="16" t="s">
        <v>258</v>
      </c>
      <c r="D294" s="16" t="s">
        <v>71</v>
      </c>
      <c r="E294" s="16" t="s">
        <v>10</v>
      </c>
      <c r="F294" s="16" t="s">
        <v>55</v>
      </c>
      <c r="G294" s="16" t="s">
        <v>12</v>
      </c>
      <c r="H294" s="16">
        <v>21</v>
      </c>
      <c r="I294" s="16">
        <v>540</v>
      </c>
      <c r="J294" s="16">
        <v>812</v>
      </c>
      <c r="K294" s="17">
        <f t="shared" si="16"/>
        <v>11340</v>
      </c>
      <c r="L294" s="17">
        <f t="shared" si="17"/>
        <v>17052</v>
      </c>
      <c r="M294" s="17">
        <f t="shared" si="18"/>
        <v>5712</v>
      </c>
      <c r="N294" s="17" t="str">
        <f t="shared" si="19"/>
        <v>profit</v>
      </c>
    </row>
    <row r="295" spans="1:14" ht="15.6" thickTop="1" thickBot="1" x14ac:dyDescent="0.35">
      <c r="A295" s="15">
        <v>45632</v>
      </c>
      <c r="B295" s="15" t="s">
        <v>213</v>
      </c>
      <c r="C295" s="16" t="s">
        <v>259</v>
      </c>
      <c r="D295" s="16" t="s">
        <v>71</v>
      </c>
      <c r="E295" s="16" t="s">
        <v>10</v>
      </c>
      <c r="F295" s="16" t="s">
        <v>137</v>
      </c>
      <c r="G295" s="16" t="s">
        <v>12</v>
      </c>
      <c r="H295" s="16">
        <v>30</v>
      </c>
      <c r="I295" s="16">
        <v>557</v>
      </c>
      <c r="J295" s="16">
        <v>886</v>
      </c>
      <c r="K295" s="17">
        <f t="shared" si="16"/>
        <v>16710</v>
      </c>
      <c r="L295" s="17">
        <f t="shared" si="17"/>
        <v>26580</v>
      </c>
      <c r="M295" s="17">
        <f t="shared" si="18"/>
        <v>9870</v>
      </c>
      <c r="N295" s="17" t="str">
        <f t="shared" si="19"/>
        <v>profit</v>
      </c>
    </row>
    <row r="296" spans="1:14" ht="15.6" thickTop="1" thickBot="1" x14ac:dyDescent="0.35">
      <c r="A296" s="15">
        <v>45677</v>
      </c>
      <c r="B296" s="15" t="s">
        <v>119</v>
      </c>
      <c r="C296" s="16" t="s">
        <v>152</v>
      </c>
      <c r="D296" s="16" t="s">
        <v>43</v>
      </c>
      <c r="E296" s="16" t="s">
        <v>62</v>
      </c>
      <c r="F296" s="16" t="s">
        <v>178</v>
      </c>
      <c r="G296" s="16" t="s">
        <v>8</v>
      </c>
      <c r="H296" s="16">
        <v>20</v>
      </c>
      <c r="I296" s="16">
        <v>803</v>
      </c>
      <c r="J296" s="16">
        <v>941</v>
      </c>
      <c r="K296" s="17">
        <f t="shared" si="16"/>
        <v>16060</v>
      </c>
      <c r="L296" s="17">
        <f t="shared" si="17"/>
        <v>18820</v>
      </c>
      <c r="M296" s="17">
        <f t="shared" si="18"/>
        <v>2760</v>
      </c>
      <c r="N296" s="17" t="str">
        <f t="shared" si="19"/>
        <v>profit</v>
      </c>
    </row>
    <row r="297" spans="1:14" ht="15.6" thickTop="1" thickBot="1" x14ac:dyDescent="0.35">
      <c r="A297" s="15">
        <v>45633</v>
      </c>
      <c r="B297" s="15" t="s">
        <v>213</v>
      </c>
      <c r="C297" s="16" t="s">
        <v>260</v>
      </c>
      <c r="D297" s="16" t="s">
        <v>71</v>
      </c>
      <c r="E297" s="16" t="s">
        <v>10</v>
      </c>
      <c r="F297" s="16" t="s">
        <v>69</v>
      </c>
      <c r="G297" s="16" t="s">
        <v>8</v>
      </c>
      <c r="H297" s="16">
        <v>24</v>
      </c>
      <c r="I297" s="16">
        <v>651</v>
      </c>
      <c r="J297" s="16">
        <v>1386</v>
      </c>
      <c r="K297" s="17">
        <f t="shared" si="16"/>
        <v>15624</v>
      </c>
      <c r="L297" s="17">
        <f t="shared" si="17"/>
        <v>33264</v>
      </c>
      <c r="M297" s="17">
        <f t="shared" si="18"/>
        <v>17640</v>
      </c>
      <c r="N297" s="17" t="str">
        <f t="shared" si="19"/>
        <v>profit</v>
      </c>
    </row>
    <row r="298" spans="1:14" ht="15.6" thickTop="1" thickBot="1" x14ac:dyDescent="0.35">
      <c r="A298" s="15">
        <v>45635</v>
      </c>
      <c r="B298" s="15" t="s">
        <v>213</v>
      </c>
      <c r="C298" s="16" t="s">
        <v>261</v>
      </c>
      <c r="D298" s="16" t="s">
        <v>71</v>
      </c>
      <c r="E298" s="16" t="s">
        <v>10</v>
      </c>
      <c r="F298" s="16" t="s">
        <v>178</v>
      </c>
      <c r="G298" s="16" t="s">
        <v>12</v>
      </c>
      <c r="H298" s="16">
        <v>20</v>
      </c>
      <c r="I298" s="16">
        <v>565</v>
      </c>
      <c r="J298" s="16">
        <v>943</v>
      </c>
      <c r="K298" s="17">
        <f t="shared" si="16"/>
        <v>11300</v>
      </c>
      <c r="L298" s="17">
        <f t="shared" si="17"/>
        <v>18860</v>
      </c>
      <c r="M298" s="17">
        <f t="shared" si="18"/>
        <v>7560</v>
      </c>
      <c r="N298" s="17" t="str">
        <f t="shared" si="19"/>
        <v>profit</v>
      </c>
    </row>
    <row r="299" spans="1:14" ht="15.6" thickTop="1" thickBot="1" x14ac:dyDescent="0.35">
      <c r="A299" s="15">
        <v>45689</v>
      </c>
      <c r="B299" s="15" t="s">
        <v>262</v>
      </c>
      <c r="C299" s="16" t="s">
        <v>263</v>
      </c>
      <c r="D299" s="16" t="s">
        <v>71</v>
      </c>
      <c r="E299" s="16" t="s">
        <v>10</v>
      </c>
      <c r="F299" s="16" t="s">
        <v>69</v>
      </c>
      <c r="G299" s="16" t="s">
        <v>8</v>
      </c>
      <c r="H299" s="16">
        <v>22</v>
      </c>
      <c r="I299" s="16">
        <v>810</v>
      </c>
      <c r="J299" s="16">
        <v>1201</v>
      </c>
      <c r="K299" s="17">
        <f t="shared" si="16"/>
        <v>17820</v>
      </c>
      <c r="L299" s="17">
        <f t="shared" si="17"/>
        <v>26422</v>
      </c>
      <c r="M299" s="17">
        <f t="shared" si="18"/>
        <v>8602</v>
      </c>
      <c r="N299" s="17" t="str">
        <f t="shared" si="19"/>
        <v>profit</v>
      </c>
    </row>
    <row r="300" spans="1:14" ht="15.6" thickTop="1" thickBot="1" x14ac:dyDescent="0.35">
      <c r="A300" s="15">
        <v>45690</v>
      </c>
      <c r="B300" s="15" t="s">
        <v>262</v>
      </c>
      <c r="C300" s="16" t="s">
        <v>264</v>
      </c>
      <c r="D300" s="16" t="s">
        <v>71</v>
      </c>
      <c r="E300" s="16" t="s">
        <v>10</v>
      </c>
      <c r="F300" s="16" t="s">
        <v>176</v>
      </c>
      <c r="G300" s="16" t="s">
        <v>8</v>
      </c>
      <c r="H300" s="16">
        <v>23</v>
      </c>
      <c r="I300" s="16">
        <v>827</v>
      </c>
      <c r="J300" s="16">
        <v>1185</v>
      </c>
      <c r="K300" s="17">
        <f t="shared" si="16"/>
        <v>19021</v>
      </c>
      <c r="L300" s="17">
        <f t="shared" si="17"/>
        <v>27255</v>
      </c>
      <c r="M300" s="17">
        <f t="shared" si="18"/>
        <v>8234</v>
      </c>
      <c r="N300" s="17" t="str">
        <f t="shared" si="19"/>
        <v>profit</v>
      </c>
    </row>
    <row r="301" spans="1:14" ht="15.6" thickTop="1" thickBot="1" x14ac:dyDescent="0.35">
      <c r="A301" s="15">
        <v>45691</v>
      </c>
      <c r="B301" s="15" t="s">
        <v>262</v>
      </c>
      <c r="C301" s="16" t="s">
        <v>265</v>
      </c>
      <c r="D301" s="16" t="s">
        <v>71</v>
      </c>
      <c r="E301" s="16" t="s">
        <v>10</v>
      </c>
      <c r="F301" s="16" t="s">
        <v>178</v>
      </c>
      <c r="G301" s="16" t="s">
        <v>8</v>
      </c>
      <c r="H301" s="16">
        <v>23</v>
      </c>
      <c r="I301" s="16">
        <v>570</v>
      </c>
      <c r="J301" s="16">
        <v>1230</v>
      </c>
      <c r="K301" s="17">
        <f t="shared" si="16"/>
        <v>13110</v>
      </c>
      <c r="L301" s="17">
        <f t="shared" si="17"/>
        <v>28290</v>
      </c>
      <c r="M301" s="17">
        <f t="shared" si="18"/>
        <v>15180</v>
      </c>
      <c r="N301" s="17" t="str">
        <f t="shared" si="19"/>
        <v>profit</v>
      </c>
    </row>
    <row r="302" spans="1:14" ht="15.6" thickTop="1" thickBot="1" x14ac:dyDescent="0.35">
      <c r="A302" s="15">
        <v>45683</v>
      </c>
      <c r="B302" s="15" t="s">
        <v>119</v>
      </c>
      <c r="C302" s="16" t="s">
        <v>266</v>
      </c>
      <c r="D302" s="16" t="s">
        <v>43</v>
      </c>
      <c r="E302" s="16" t="s">
        <v>62</v>
      </c>
      <c r="F302" s="16" t="s">
        <v>53</v>
      </c>
      <c r="G302" s="16" t="s">
        <v>8</v>
      </c>
      <c r="H302" s="16">
        <v>19</v>
      </c>
      <c r="I302" s="16">
        <v>911</v>
      </c>
      <c r="J302" s="16">
        <v>1116</v>
      </c>
      <c r="K302" s="17">
        <f t="shared" si="16"/>
        <v>17309</v>
      </c>
      <c r="L302" s="17">
        <f t="shared" si="17"/>
        <v>21204</v>
      </c>
      <c r="M302" s="17">
        <f t="shared" si="18"/>
        <v>3895</v>
      </c>
      <c r="N302" s="17" t="str">
        <f t="shared" si="19"/>
        <v>profit</v>
      </c>
    </row>
    <row r="303" spans="1:14" ht="15.6" thickTop="1" thickBot="1" x14ac:dyDescent="0.35">
      <c r="A303" s="15">
        <v>45692</v>
      </c>
      <c r="B303" s="15" t="s">
        <v>262</v>
      </c>
      <c r="C303" s="16" t="s">
        <v>267</v>
      </c>
      <c r="D303" s="16" t="s">
        <v>71</v>
      </c>
      <c r="E303" s="16" t="s">
        <v>10</v>
      </c>
      <c r="F303" s="16" t="s">
        <v>45</v>
      </c>
      <c r="G303" s="16" t="s">
        <v>12</v>
      </c>
      <c r="H303" s="16">
        <v>21</v>
      </c>
      <c r="I303" s="16">
        <v>938</v>
      </c>
      <c r="J303" s="16">
        <v>1275</v>
      </c>
      <c r="K303" s="17">
        <f t="shared" si="16"/>
        <v>19698</v>
      </c>
      <c r="L303" s="17">
        <f t="shared" si="17"/>
        <v>26775</v>
      </c>
      <c r="M303" s="17">
        <f t="shared" si="18"/>
        <v>7077</v>
      </c>
      <c r="N303" s="17" t="str">
        <f t="shared" si="19"/>
        <v>profit</v>
      </c>
    </row>
    <row r="304" spans="1:14" ht="15.6" thickTop="1" thickBot="1" x14ac:dyDescent="0.35">
      <c r="A304" s="15">
        <v>45693</v>
      </c>
      <c r="B304" s="15" t="s">
        <v>262</v>
      </c>
      <c r="C304" s="16" t="s">
        <v>268</v>
      </c>
      <c r="D304" s="16" t="s">
        <v>71</v>
      </c>
      <c r="E304" s="16" t="s">
        <v>10</v>
      </c>
      <c r="F304" s="16" t="s">
        <v>47</v>
      </c>
      <c r="G304" s="16" t="s">
        <v>12</v>
      </c>
      <c r="H304" s="16">
        <v>24</v>
      </c>
      <c r="I304" s="16">
        <v>993</v>
      </c>
      <c r="J304" s="16">
        <v>987</v>
      </c>
      <c r="K304" s="17">
        <f t="shared" si="16"/>
        <v>23832</v>
      </c>
      <c r="L304" s="17">
        <f t="shared" si="17"/>
        <v>23688</v>
      </c>
      <c r="M304" s="17">
        <f t="shared" si="18"/>
        <v>-144</v>
      </c>
      <c r="N304" s="17" t="str">
        <f t="shared" si="19"/>
        <v>loss</v>
      </c>
    </row>
    <row r="305" spans="1:14" ht="15.6" thickTop="1" thickBot="1" x14ac:dyDescent="0.35">
      <c r="A305" s="15">
        <v>45694</v>
      </c>
      <c r="B305" s="15" t="s">
        <v>262</v>
      </c>
      <c r="C305" s="16" t="s">
        <v>269</v>
      </c>
      <c r="D305" s="16" t="s">
        <v>71</v>
      </c>
      <c r="E305" s="16" t="s">
        <v>10</v>
      </c>
      <c r="F305" s="16" t="s">
        <v>49</v>
      </c>
      <c r="G305" s="16" t="s">
        <v>12</v>
      </c>
      <c r="H305" s="16">
        <v>20</v>
      </c>
      <c r="I305" s="16">
        <v>534</v>
      </c>
      <c r="J305" s="16">
        <v>1233</v>
      </c>
      <c r="K305" s="17">
        <f t="shared" si="16"/>
        <v>10680</v>
      </c>
      <c r="L305" s="17">
        <f t="shared" si="17"/>
        <v>24660</v>
      </c>
      <c r="M305" s="17">
        <f t="shared" si="18"/>
        <v>13980</v>
      </c>
      <c r="N305" s="17" t="str">
        <f t="shared" si="19"/>
        <v>profit</v>
      </c>
    </row>
    <row r="306" spans="1:14" ht="15.6" thickTop="1" thickBot="1" x14ac:dyDescent="0.35">
      <c r="A306" s="15">
        <v>45687</v>
      </c>
      <c r="B306" s="15" t="s">
        <v>119</v>
      </c>
      <c r="C306" s="16" t="s">
        <v>270</v>
      </c>
      <c r="D306" s="16" t="s">
        <v>43</v>
      </c>
      <c r="E306" s="16" t="s">
        <v>62</v>
      </c>
      <c r="F306" s="16" t="s">
        <v>55</v>
      </c>
      <c r="G306" s="16" t="s">
        <v>12</v>
      </c>
      <c r="H306" s="16">
        <v>10</v>
      </c>
      <c r="I306" s="16">
        <v>911</v>
      </c>
      <c r="J306" s="16">
        <v>1097</v>
      </c>
      <c r="K306" s="17">
        <f t="shared" si="16"/>
        <v>9110</v>
      </c>
      <c r="L306" s="17">
        <f t="shared" si="17"/>
        <v>10970</v>
      </c>
      <c r="M306" s="17">
        <f t="shared" si="18"/>
        <v>1860</v>
      </c>
      <c r="N306" s="17" t="str">
        <f t="shared" si="19"/>
        <v>profit</v>
      </c>
    </row>
    <row r="307" spans="1:14" ht="15.6" thickTop="1" thickBot="1" x14ac:dyDescent="0.35">
      <c r="A307" s="15">
        <v>45695</v>
      </c>
      <c r="B307" s="15" t="s">
        <v>262</v>
      </c>
      <c r="C307" s="16" t="s">
        <v>271</v>
      </c>
      <c r="D307" s="16" t="s">
        <v>71</v>
      </c>
      <c r="E307" s="16" t="s">
        <v>10</v>
      </c>
      <c r="F307" s="16" t="s">
        <v>51</v>
      </c>
      <c r="G307" s="16" t="s">
        <v>12</v>
      </c>
      <c r="H307" s="16">
        <v>23</v>
      </c>
      <c r="I307" s="16">
        <v>761</v>
      </c>
      <c r="J307" s="16">
        <v>901</v>
      </c>
      <c r="K307" s="17">
        <f t="shared" si="16"/>
        <v>17503</v>
      </c>
      <c r="L307" s="17">
        <f t="shared" si="17"/>
        <v>20723</v>
      </c>
      <c r="M307" s="17">
        <f t="shared" si="18"/>
        <v>3220</v>
      </c>
      <c r="N307" s="17" t="str">
        <f t="shared" si="19"/>
        <v>profit</v>
      </c>
    </row>
    <row r="308" spans="1:14" ht="15.6" thickTop="1" thickBot="1" x14ac:dyDescent="0.35">
      <c r="A308" s="15">
        <v>45696</v>
      </c>
      <c r="B308" s="15" t="s">
        <v>262</v>
      </c>
      <c r="C308" s="16" t="s">
        <v>272</v>
      </c>
      <c r="D308" s="16" t="s">
        <v>71</v>
      </c>
      <c r="E308" s="16" t="s">
        <v>10</v>
      </c>
      <c r="F308" s="16" t="s">
        <v>51</v>
      </c>
      <c r="G308" s="16" t="s">
        <v>12</v>
      </c>
      <c r="H308" s="16">
        <v>23</v>
      </c>
      <c r="I308" s="16">
        <v>701</v>
      </c>
      <c r="J308" s="16">
        <v>1322</v>
      </c>
      <c r="K308" s="17">
        <f t="shared" si="16"/>
        <v>16123</v>
      </c>
      <c r="L308" s="17">
        <f t="shared" si="17"/>
        <v>30406</v>
      </c>
      <c r="M308" s="17">
        <f t="shared" si="18"/>
        <v>14283</v>
      </c>
      <c r="N308" s="17" t="str">
        <f t="shared" si="19"/>
        <v>profit</v>
      </c>
    </row>
    <row r="309" spans="1:14" ht="15.6" thickTop="1" thickBot="1" x14ac:dyDescent="0.35">
      <c r="A309" s="15">
        <v>45697</v>
      </c>
      <c r="B309" s="15" t="s">
        <v>262</v>
      </c>
      <c r="C309" s="16" t="s">
        <v>273</v>
      </c>
      <c r="D309" s="16" t="s">
        <v>71</v>
      </c>
      <c r="E309" s="16" t="s">
        <v>10</v>
      </c>
      <c r="F309" s="16" t="s">
        <v>53</v>
      </c>
      <c r="G309" s="16" t="s">
        <v>8</v>
      </c>
      <c r="H309" s="16">
        <v>25</v>
      </c>
      <c r="I309" s="16">
        <v>541</v>
      </c>
      <c r="J309" s="16">
        <v>1090</v>
      </c>
      <c r="K309" s="17">
        <f t="shared" si="16"/>
        <v>13525</v>
      </c>
      <c r="L309" s="17">
        <f t="shared" si="17"/>
        <v>27250</v>
      </c>
      <c r="M309" s="17">
        <f t="shared" si="18"/>
        <v>13725</v>
      </c>
      <c r="N309" s="17" t="str">
        <f t="shared" si="19"/>
        <v>profit</v>
      </c>
    </row>
    <row r="310" spans="1:14" ht="15.6" thickTop="1" thickBot="1" x14ac:dyDescent="0.35">
      <c r="A310" s="15">
        <v>45699</v>
      </c>
      <c r="B310" s="15" t="s">
        <v>262</v>
      </c>
      <c r="C310" s="16" t="s">
        <v>274</v>
      </c>
      <c r="D310" s="16" t="s">
        <v>71</v>
      </c>
      <c r="E310" s="16" t="s">
        <v>10</v>
      </c>
      <c r="F310" s="16" t="s">
        <v>60</v>
      </c>
      <c r="G310" s="16" t="s">
        <v>8</v>
      </c>
      <c r="H310" s="16">
        <v>28</v>
      </c>
      <c r="I310" s="16">
        <v>708</v>
      </c>
      <c r="J310" s="16">
        <v>1358</v>
      </c>
      <c r="K310" s="17">
        <f t="shared" si="16"/>
        <v>19824</v>
      </c>
      <c r="L310" s="17">
        <f t="shared" si="17"/>
        <v>38024</v>
      </c>
      <c r="M310" s="17">
        <f t="shared" si="18"/>
        <v>18200</v>
      </c>
      <c r="N310" s="17" t="str">
        <f t="shared" si="19"/>
        <v>profit</v>
      </c>
    </row>
    <row r="311" spans="1:14" ht="15.6" thickTop="1" thickBot="1" x14ac:dyDescent="0.35">
      <c r="A311" s="15">
        <v>45383</v>
      </c>
      <c r="B311" s="15" t="s">
        <v>56</v>
      </c>
      <c r="C311" s="16" t="s">
        <v>154</v>
      </c>
      <c r="D311" s="16" t="s">
        <v>71</v>
      </c>
      <c r="E311" s="16" t="s">
        <v>72</v>
      </c>
      <c r="F311" s="16" t="s">
        <v>7</v>
      </c>
      <c r="G311" s="16" t="s">
        <v>12</v>
      </c>
      <c r="H311" s="16">
        <v>28</v>
      </c>
      <c r="I311" s="16">
        <v>826</v>
      </c>
      <c r="J311" s="16">
        <v>929</v>
      </c>
      <c r="K311" s="17">
        <f t="shared" si="16"/>
        <v>23128</v>
      </c>
      <c r="L311" s="17">
        <f t="shared" si="17"/>
        <v>26012</v>
      </c>
      <c r="M311" s="17">
        <f t="shared" si="18"/>
        <v>2884</v>
      </c>
      <c r="N311" s="17" t="str">
        <f t="shared" si="19"/>
        <v>profit</v>
      </c>
    </row>
    <row r="312" spans="1:14" ht="15.6" thickTop="1" thickBot="1" x14ac:dyDescent="0.35">
      <c r="A312" s="15">
        <v>45384</v>
      </c>
      <c r="B312" s="15" t="s">
        <v>56</v>
      </c>
      <c r="C312" s="16" t="s">
        <v>155</v>
      </c>
      <c r="D312" s="16" t="s">
        <v>71</v>
      </c>
      <c r="E312" s="16" t="s">
        <v>156</v>
      </c>
      <c r="F312" s="16" t="s">
        <v>69</v>
      </c>
      <c r="G312" s="16" t="s">
        <v>12</v>
      </c>
      <c r="H312" s="16">
        <v>25</v>
      </c>
      <c r="I312" s="16">
        <v>952</v>
      </c>
      <c r="J312" s="16">
        <v>1261</v>
      </c>
      <c r="K312" s="17">
        <f t="shared" si="16"/>
        <v>23800</v>
      </c>
      <c r="L312" s="17">
        <f t="shared" si="17"/>
        <v>31525</v>
      </c>
      <c r="M312" s="17">
        <f t="shared" si="18"/>
        <v>7725</v>
      </c>
      <c r="N312" s="17" t="str">
        <f t="shared" si="19"/>
        <v>profit</v>
      </c>
    </row>
    <row r="313" spans="1:14" ht="15.6" thickTop="1" thickBot="1" x14ac:dyDescent="0.35">
      <c r="A313" s="15">
        <v>45385</v>
      </c>
      <c r="B313" s="15" t="s">
        <v>56</v>
      </c>
      <c r="C313" s="16" t="s">
        <v>157</v>
      </c>
      <c r="D313" s="16" t="s">
        <v>71</v>
      </c>
      <c r="E313" s="16" t="s">
        <v>156</v>
      </c>
      <c r="F313" s="16" t="s">
        <v>51</v>
      </c>
      <c r="G313" s="16" t="s">
        <v>12</v>
      </c>
      <c r="H313" s="16">
        <v>20</v>
      </c>
      <c r="I313" s="16">
        <v>940</v>
      </c>
      <c r="J313" s="16">
        <v>1259</v>
      </c>
      <c r="K313" s="17">
        <f t="shared" si="16"/>
        <v>18800</v>
      </c>
      <c r="L313" s="17">
        <f t="shared" si="17"/>
        <v>25180</v>
      </c>
      <c r="M313" s="17">
        <f t="shared" si="18"/>
        <v>6380</v>
      </c>
      <c r="N313" s="17" t="str">
        <f t="shared" si="19"/>
        <v>profit</v>
      </c>
    </row>
    <row r="314" spans="1:14" ht="15.6" thickTop="1" thickBot="1" x14ac:dyDescent="0.35">
      <c r="A314" s="15">
        <v>45386</v>
      </c>
      <c r="B314" s="15" t="s">
        <v>56</v>
      </c>
      <c r="C314" s="16" t="s">
        <v>159</v>
      </c>
      <c r="D314" s="16" t="s">
        <v>71</v>
      </c>
      <c r="E314" s="16" t="s">
        <v>156</v>
      </c>
      <c r="F314" s="16" t="s">
        <v>89</v>
      </c>
      <c r="G314" s="16" t="s">
        <v>12</v>
      </c>
      <c r="H314" s="16">
        <v>22</v>
      </c>
      <c r="I314" s="16">
        <v>785</v>
      </c>
      <c r="J314" s="16">
        <v>1292</v>
      </c>
      <c r="K314" s="17">
        <f t="shared" si="16"/>
        <v>17270</v>
      </c>
      <c r="L314" s="17">
        <f t="shared" si="17"/>
        <v>28424</v>
      </c>
      <c r="M314" s="17">
        <f t="shared" si="18"/>
        <v>11154</v>
      </c>
      <c r="N314" s="17" t="str">
        <f t="shared" si="19"/>
        <v>profit</v>
      </c>
    </row>
    <row r="315" spans="1:14" ht="15.6" thickTop="1" thickBot="1" x14ac:dyDescent="0.35">
      <c r="A315" s="15">
        <v>45391</v>
      </c>
      <c r="B315" s="15" t="s">
        <v>56</v>
      </c>
      <c r="C315" s="16" t="s">
        <v>160</v>
      </c>
      <c r="D315" s="16" t="s">
        <v>71</v>
      </c>
      <c r="E315" s="16" t="s">
        <v>72</v>
      </c>
      <c r="F315" s="16" t="s">
        <v>85</v>
      </c>
      <c r="G315" s="16" t="s">
        <v>8</v>
      </c>
      <c r="H315" s="16">
        <v>21</v>
      </c>
      <c r="I315" s="16">
        <v>879</v>
      </c>
      <c r="J315" s="16">
        <v>1019</v>
      </c>
      <c r="K315" s="17">
        <f t="shared" si="16"/>
        <v>18459</v>
      </c>
      <c r="L315" s="17">
        <f t="shared" si="17"/>
        <v>21399</v>
      </c>
      <c r="M315" s="17">
        <f t="shared" si="18"/>
        <v>2940</v>
      </c>
      <c r="N315" s="17" t="str">
        <f t="shared" si="19"/>
        <v>profit</v>
      </c>
    </row>
    <row r="316" spans="1:14" ht="15.6" thickTop="1" thickBot="1" x14ac:dyDescent="0.35">
      <c r="A316" s="15">
        <v>45392</v>
      </c>
      <c r="B316" s="15" t="s">
        <v>56</v>
      </c>
      <c r="C316" s="16" t="s">
        <v>161</v>
      </c>
      <c r="D316" s="16" t="s">
        <v>71</v>
      </c>
      <c r="E316" s="16" t="s">
        <v>72</v>
      </c>
      <c r="F316" s="16" t="s">
        <v>60</v>
      </c>
      <c r="G316" s="16" t="s">
        <v>8</v>
      </c>
      <c r="H316" s="16">
        <v>28</v>
      </c>
      <c r="I316" s="16">
        <v>937</v>
      </c>
      <c r="J316" s="16">
        <v>872</v>
      </c>
      <c r="K316" s="17">
        <f t="shared" si="16"/>
        <v>26236</v>
      </c>
      <c r="L316" s="17">
        <f t="shared" si="17"/>
        <v>24416</v>
      </c>
      <c r="M316" s="17">
        <f t="shared" si="18"/>
        <v>-1820</v>
      </c>
      <c r="N316" s="17" t="str">
        <f t="shared" si="19"/>
        <v>loss</v>
      </c>
    </row>
    <row r="317" spans="1:14" ht="15.6" thickTop="1" thickBot="1" x14ac:dyDescent="0.35">
      <c r="A317" s="15">
        <v>45698</v>
      </c>
      <c r="B317" s="15" t="s">
        <v>262</v>
      </c>
      <c r="C317" s="16" t="s">
        <v>275</v>
      </c>
      <c r="D317" s="16" t="s">
        <v>71</v>
      </c>
      <c r="E317" s="16" t="s">
        <v>10</v>
      </c>
      <c r="F317" s="16" t="s">
        <v>55</v>
      </c>
      <c r="G317" s="16" t="s">
        <v>8</v>
      </c>
      <c r="H317" s="16">
        <v>26</v>
      </c>
      <c r="I317" s="16">
        <v>751</v>
      </c>
      <c r="J317" s="16">
        <v>1292</v>
      </c>
      <c r="K317" s="17">
        <f t="shared" si="16"/>
        <v>19526</v>
      </c>
      <c r="L317" s="17">
        <f t="shared" si="17"/>
        <v>33592</v>
      </c>
      <c r="M317" s="17">
        <f t="shared" si="18"/>
        <v>14066</v>
      </c>
      <c r="N317" s="17" t="str">
        <f t="shared" si="19"/>
        <v>profit</v>
      </c>
    </row>
    <row r="318" spans="1:14" ht="15.6" thickTop="1" thickBot="1" x14ac:dyDescent="0.35">
      <c r="A318" s="15">
        <v>45393</v>
      </c>
      <c r="B318" s="15" t="s">
        <v>56</v>
      </c>
      <c r="C318" s="16" t="s">
        <v>162</v>
      </c>
      <c r="D318" s="16" t="s">
        <v>71</v>
      </c>
      <c r="E318" s="16" t="s">
        <v>72</v>
      </c>
      <c r="F318" s="16" t="s">
        <v>64</v>
      </c>
      <c r="G318" s="16" t="s">
        <v>8</v>
      </c>
      <c r="H318" s="16">
        <v>22</v>
      </c>
      <c r="I318" s="16">
        <v>832</v>
      </c>
      <c r="J318" s="16">
        <v>769</v>
      </c>
      <c r="K318" s="17">
        <f t="shared" si="16"/>
        <v>18304</v>
      </c>
      <c r="L318" s="17">
        <f t="shared" si="17"/>
        <v>16918</v>
      </c>
      <c r="M318" s="17">
        <f t="shared" si="18"/>
        <v>-1386</v>
      </c>
      <c r="N318" s="17" t="str">
        <f t="shared" si="19"/>
        <v>loss</v>
      </c>
    </row>
    <row r="319" spans="1:14" ht="15.6" thickTop="1" thickBot="1" x14ac:dyDescent="0.35">
      <c r="A319" s="15">
        <v>45394</v>
      </c>
      <c r="B319" s="15" t="s">
        <v>56</v>
      </c>
      <c r="C319" s="16" t="s">
        <v>164</v>
      </c>
      <c r="D319" s="16" t="s">
        <v>71</v>
      </c>
      <c r="E319" s="16" t="s">
        <v>72</v>
      </c>
      <c r="F319" s="16" t="s">
        <v>64</v>
      </c>
      <c r="G319" s="16" t="s">
        <v>8</v>
      </c>
      <c r="H319" s="16">
        <v>28</v>
      </c>
      <c r="I319" s="16">
        <v>832</v>
      </c>
      <c r="J319" s="16">
        <v>1028</v>
      </c>
      <c r="K319" s="17">
        <f t="shared" si="16"/>
        <v>23296</v>
      </c>
      <c r="L319" s="17">
        <f t="shared" si="17"/>
        <v>28784</v>
      </c>
      <c r="M319" s="17">
        <f t="shared" si="18"/>
        <v>5488</v>
      </c>
      <c r="N319" s="17" t="str">
        <f t="shared" si="19"/>
        <v>profit</v>
      </c>
    </row>
    <row r="320" spans="1:14" ht="15.6" thickTop="1" thickBot="1" x14ac:dyDescent="0.35">
      <c r="A320" s="15">
        <v>45396</v>
      </c>
      <c r="B320" s="15" t="s">
        <v>56</v>
      </c>
      <c r="C320" s="16" t="s">
        <v>165</v>
      </c>
      <c r="D320" s="16" t="s">
        <v>71</v>
      </c>
      <c r="E320" s="16" t="s">
        <v>72</v>
      </c>
      <c r="F320" s="16" t="s">
        <v>53</v>
      </c>
      <c r="G320" s="16" t="s">
        <v>8</v>
      </c>
      <c r="H320" s="16">
        <v>22</v>
      </c>
      <c r="I320" s="16">
        <v>622</v>
      </c>
      <c r="J320" s="16">
        <v>822</v>
      </c>
      <c r="K320" s="17">
        <f t="shared" si="16"/>
        <v>13684</v>
      </c>
      <c r="L320" s="17">
        <f t="shared" si="17"/>
        <v>18084</v>
      </c>
      <c r="M320" s="17">
        <f t="shared" si="18"/>
        <v>4400</v>
      </c>
      <c r="N320" s="17" t="str">
        <f t="shared" si="19"/>
        <v>profit</v>
      </c>
    </row>
    <row r="321" spans="1:14" ht="15.6" thickTop="1" thickBot="1" x14ac:dyDescent="0.35">
      <c r="A321" s="15">
        <v>45702</v>
      </c>
      <c r="B321" s="15" t="s">
        <v>262</v>
      </c>
      <c r="C321" s="16" t="s">
        <v>276</v>
      </c>
      <c r="D321" s="16" t="s">
        <v>58</v>
      </c>
      <c r="E321" s="16" t="s">
        <v>123</v>
      </c>
      <c r="F321" s="16" t="s">
        <v>89</v>
      </c>
      <c r="G321" s="16" t="s">
        <v>8</v>
      </c>
      <c r="H321" s="16">
        <v>55</v>
      </c>
      <c r="I321" s="16">
        <v>856</v>
      </c>
      <c r="J321" s="16">
        <v>756</v>
      </c>
      <c r="K321" s="17">
        <f t="shared" si="16"/>
        <v>47080</v>
      </c>
      <c r="L321" s="17">
        <f t="shared" si="17"/>
        <v>41580</v>
      </c>
      <c r="M321" s="17">
        <f t="shared" si="18"/>
        <v>-5500</v>
      </c>
      <c r="N321" s="17" t="str">
        <f t="shared" si="19"/>
        <v>loss</v>
      </c>
    </row>
    <row r="322" spans="1:14" ht="15.6" thickTop="1" thickBot="1" x14ac:dyDescent="0.35">
      <c r="A322" s="15">
        <v>45404</v>
      </c>
      <c r="B322" s="15" t="s">
        <v>56</v>
      </c>
      <c r="C322" s="16" t="s">
        <v>167</v>
      </c>
      <c r="D322" s="16" t="s">
        <v>71</v>
      </c>
      <c r="E322" s="16" t="s">
        <v>88</v>
      </c>
      <c r="F322" s="16" t="s">
        <v>64</v>
      </c>
      <c r="G322" s="16" t="s">
        <v>12</v>
      </c>
      <c r="H322" s="16">
        <v>23</v>
      </c>
      <c r="I322" s="16">
        <v>663</v>
      </c>
      <c r="J322" s="16">
        <v>1153</v>
      </c>
      <c r="K322" s="17">
        <f t="shared" ref="K322:K385" si="20">H322*I322</f>
        <v>15249</v>
      </c>
      <c r="L322" s="17">
        <f t="shared" ref="L322:L385" si="21">H322*J322</f>
        <v>26519</v>
      </c>
      <c r="M322" s="17">
        <f t="shared" ref="M322:M385" si="22">L322-K322</f>
        <v>11270</v>
      </c>
      <c r="N322" s="17" t="str">
        <f t="shared" ref="N322:N385" si="23">IF(M322&gt;0,"profit","loss")</f>
        <v>profit</v>
      </c>
    </row>
    <row r="323" spans="1:14" ht="15.6" thickTop="1" thickBot="1" x14ac:dyDescent="0.35">
      <c r="A323" s="15">
        <v>45406</v>
      </c>
      <c r="B323" s="15" t="s">
        <v>56</v>
      </c>
      <c r="C323" s="16" t="s">
        <v>169</v>
      </c>
      <c r="D323" s="16" t="s">
        <v>71</v>
      </c>
      <c r="E323" s="16" t="s">
        <v>88</v>
      </c>
      <c r="F323" s="16" t="s">
        <v>89</v>
      </c>
      <c r="G323" s="16" t="s">
        <v>12</v>
      </c>
      <c r="H323" s="16">
        <v>23</v>
      </c>
      <c r="I323" s="16">
        <v>779</v>
      </c>
      <c r="J323" s="16">
        <v>1415</v>
      </c>
      <c r="K323" s="17">
        <f t="shared" si="20"/>
        <v>17917</v>
      </c>
      <c r="L323" s="17">
        <f t="shared" si="21"/>
        <v>32545</v>
      </c>
      <c r="M323" s="17">
        <f t="shared" si="22"/>
        <v>14628</v>
      </c>
      <c r="N323" s="17" t="str">
        <f t="shared" si="23"/>
        <v>profit</v>
      </c>
    </row>
    <row r="324" spans="1:14" ht="15.6" thickTop="1" thickBot="1" x14ac:dyDescent="0.35">
      <c r="A324" s="15">
        <v>45408</v>
      </c>
      <c r="B324" s="15" t="s">
        <v>56</v>
      </c>
      <c r="C324" s="16" t="s">
        <v>171</v>
      </c>
      <c r="D324" s="16" t="s">
        <v>71</v>
      </c>
      <c r="E324" s="16" t="s">
        <v>88</v>
      </c>
      <c r="F324" s="16" t="s">
        <v>64</v>
      </c>
      <c r="G324" s="16" t="s">
        <v>8</v>
      </c>
      <c r="H324" s="16">
        <v>29</v>
      </c>
      <c r="I324" s="16">
        <v>952</v>
      </c>
      <c r="J324" s="16">
        <v>1428</v>
      </c>
      <c r="K324" s="17">
        <f t="shared" si="20"/>
        <v>27608</v>
      </c>
      <c r="L324" s="17">
        <f t="shared" si="21"/>
        <v>41412</v>
      </c>
      <c r="M324" s="17">
        <f t="shared" si="22"/>
        <v>13804</v>
      </c>
      <c r="N324" s="17" t="str">
        <f t="shared" si="23"/>
        <v>profit</v>
      </c>
    </row>
    <row r="325" spans="1:14" ht="15.6" thickTop="1" thickBot="1" x14ac:dyDescent="0.35">
      <c r="A325" s="15">
        <v>45409</v>
      </c>
      <c r="B325" s="15" t="s">
        <v>56</v>
      </c>
      <c r="C325" s="16" t="s">
        <v>172</v>
      </c>
      <c r="D325" s="16" t="s">
        <v>71</v>
      </c>
      <c r="E325" s="16" t="s">
        <v>88</v>
      </c>
      <c r="F325" s="16" t="s">
        <v>55</v>
      </c>
      <c r="G325" s="16" t="s">
        <v>8</v>
      </c>
      <c r="H325" s="16">
        <v>26</v>
      </c>
      <c r="I325" s="16">
        <v>983</v>
      </c>
      <c r="J325" s="16">
        <v>1270</v>
      </c>
      <c r="K325" s="17">
        <f t="shared" si="20"/>
        <v>25558</v>
      </c>
      <c r="L325" s="17">
        <f t="shared" si="21"/>
        <v>33020</v>
      </c>
      <c r="M325" s="17">
        <f t="shared" si="22"/>
        <v>7462</v>
      </c>
      <c r="N325" s="17" t="str">
        <f t="shared" si="23"/>
        <v>profit</v>
      </c>
    </row>
    <row r="326" spans="1:14" ht="15.6" thickTop="1" thickBot="1" x14ac:dyDescent="0.35">
      <c r="A326" s="15">
        <v>45410</v>
      </c>
      <c r="B326" s="15" t="s">
        <v>56</v>
      </c>
      <c r="C326" s="16" t="s">
        <v>173</v>
      </c>
      <c r="D326" s="16" t="s">
        <v>71</v>
      </c>
      <c r="E326" s="16" t="s">
        <v>88</v>
      </c>
      <c r="F326" s="16" t="s">
        <v>137</v>
      </c>
      <c r="G326" s="16" t="s">
        <v>8</v>
      </c>
      <c r="H326" s="16">
        <v>28</v>
      </c>
      <c r="I326" s="16">
        <v>814</v>
      </c>
      <c r="J326" s="16">
        <v>1343</v>
      </c>
      <c r="K326" s="17">
        <f t="shared" si="20"/>
        <v>22792</v>
      </c>
      <c r="L326" s="17">
        <f t="shared" si="21"/>
        <v>37604</v>
      </c>
      <c r="M326" s="17">
        <f t="shared" si="22"/>
        <v>14812</v>
      </c>
      <c r="N326" s="17" t="str">
        <f t="shared" si="23"/>
        <v>profit</v>
      </c>
    </row>
    <row r="327" spans="1:14" ht="15.6" thickTop="1" thickBot="1" x14ac:dyDescent="0.35">
      <c r="A327" s="15">
        <v>45411</v>
      </c>
      <c r="B327" s="15" t="s">
        <v>56</v>
      </c>
      <c r="C327" s="16" t="s">
        <v>174</v>
      </c>
      <c r="D327" s="16" t="s">
        <v>71</v>
      </c>
      <c r="E327" s="16" t="s">
        <v>88</v>
      </c>
      <c r="F327" s="16" t="s">
        <v>69</v>
      </c>
      <c r="G327" s="16" t="s">
        <v>8</v>
      </c>
      <c r="H327" s="16">
        <v>26</v>
      </c>
      <c r="I327" s="16">
        <v>835</v>
      </c>
      <c r="J327" s="16">
        <v>973</v>
      </c>
      <c r="K327" s="17">
        <f t="shared" si="20"/>
        <v>21710</v>
      </c>
      <c r="L327" s="17">
        <f t="shared" si="21"/>
        <v>25298</v>
      </c>
      <c r="M327" s="17">
        <f t="shared" si="22"/>
        <v>3588</v>
      </c>
      <c r="N327" s="17" t="str">
        <f t="shared" si="23"/>
        <v>profit</v>
      </c>
    </row>
    <row r="328" spans="1:14" ht="15.6" thickTop="1" thickBot="1" x14ac:dyDescent="0.35">
      <c r="A328" s="15">
        <v>45709</v>
      </c>
      <c r="B328" s="15" t="s">
        <v>262</v>
      </c>
      <c r="C328" s="16" t="s">
        <v>277</v>
      </c>
      <c r="D328" s="16" t="s">
        <v>58</v>
      </c>
      <c r="E328" s="16" t="s">
        <v>123</v>
      </c>
      <c r="F328" s="16" t="s">
        <v>176</v>
      </c>
      <c r="G328" s="16" t="s">
        <v>12</v>
      </c>
      <c r="H328" s="16">
        <v>88</v>
      </c>
      <c r="I328" s="16">
        <v>635</v>
      </c>
      <c r="J328" s="16">
        <v>1370</v>
      </c>
      <c r="K328" s="17">
        <f t="shared" si="20"/>
        <v>55880</v>
      </c>
      <c r="L328" s="17">
        <f t="shared" si="21"/>
        <v>120560</v>
      </c>
      <c r="M328" s="17">
        <f t="shared" si="22"/>
        <v>64680</v>
      </c>
      <c r="N328" s="17" t="str">
        <f t="shared" si="23"/>
        <v>profit</v>
      </c>
    </row>
    <row r="329" spans="1:14" ht="15.6" thickTop="1" thickBot="1" x14ac:dyDescent="0.35">
      <c r="A329" s="15">
        <v>45412</v>
      </c>
      <c r="B329" s="15" t="s">
        <v>56</v>
      </c>
      <c r="C329" s="16" t="s">
        <v>175</v>
      </c>
      <c r="D329" s="16" t="s">
        <v>71</v>
      </c>
      <c r="E329" s="16" t="s">
        <v>88</v>
      </c>
      <c r="F329" s="16" t="s">
        <v>176</v>
      </c>
      <c r="G329" s="16" t="s">
        <v>8</v>
      </c>
      <c r="H329" s="16">
        <v>24</v>
      </c>
      <c r="I329" s="16">
        <v>631</v>
      </c>
      <c r="J329" s="16">
        <v>1304</v>
      </c>
      <c r="K329" s="17">
        <f t="shared" si="20"/>
        <v>15144</v>
      </c>
      <c r="L329" s="17">
        <f t="shared" si="21"/>
        <v>31296</v>
      </c>
      <c r="M329" s="17">
        <f t="shared" si="22"/>
        <v>16152</v>
      </c>
      <c r="N329" s="17" t="str">
        <f t="shared" si="23"/>
        <v>profit</v>
      </c>
    </row>
    <row r="330" spans="1:14" ht="15.6" thickTop="1" thickBot="1" x14ac:dyDescent="0.35">
      <c r="A330" s="15">
        <v>45413</v>
      </c>
      <c r="B330" s="15" t="s">
        <v>121</v>
      </c>
      <c r="C330" s="16" t="s">
        <v>177</v>
      </c>
      <c r="D330" s="16" t="s">
        <v>71</v>
      </c>
      <c r="E330" s="16" t="s">
        <v>88</v>
      </c>
      <c r="F330" s="16" t="s">
        <v>178</v>
      </c>
      <c r="G330" s="16" t="s">
        <v>8</v>
      </c>
      <c r="H330" s="16">
        <v>24</v>
      </c>
      <c r="I330" s="16">
        <v>833</v>
      </c>
      <c r="J330" s="16">
        <v>1280</v>
      </c>
      <c r="K330" s="17">
        <f t="shared" si="20"/>
        <v>19992</v>
      </c>
      <c r="L330" s="17">
        <f t="shared" si="21"/>
        <v>30720</v>
      </c>
      <c r="M330" s="17">
        <f t="shared" si="22"/>
        <v>10728</v>
      </c>
      <c r="N330" s="17" t="str">
        <f t="shared" si="23"/>
        <v>profit</v>
      </c>
    </row>
    <row r="331" spans="1:14" ht="15.6" thickTop="1" thickBot="1" x14ac:dyDescent="0.35">
      <c r="A331" s="15">
        <v>45414</v>
      </c>
      <c r="B331" s="18" t="s">
        <v>121</v>
      </c>
      <c r="C331" s="19" t="s">
        <v>179</v>
      </c>
      <c r="D331" s="19" t="s">
        <v>71</v>
      </c>
      <c r="E331" s="19" t="s">
        <v>88</v>
      </c>
      <c r="F331" s="19" t="s">
        <v>45</v>
      </c>
      <c r="G331" s="16" t="s">
        <v>12</v>
      </c>
      <c r="H331" s="16">
        <v>21</v>
      </c>
      <c r="I331" s="16">
        <v>680</v>
      </c>
      <c r="J331" s="16">
        <v>1049</v>
      </c>
      <c r="K331" s="17">
        <f t="shared" si="20"/>
        <v>14280</v>
      </c>
      <c r="L331" s="17">
        <f t="shared" si="21"/>
        <v>22029</v>
      </c>
      <c r="M331" s="17">
        <f t="shared" si="22"/>
        <v>7749</v>
      </c>
      <c r="N331" s="17" t="str">
        <f t="shared" si="23"/>
        <v>profit</v>
      </c>
    </row>
    <row r="332" spans="1:14" ht="15.6" thickTop="1" thickBot="1" x14ac:dyDescent="0.35">
      <c r="A332" s="15">
        <v>45415</v>
      </c>
      <c r="B332" s="20" t="s">
        <v>121</v>
      </c>
      <c r="C332" s="21" t="s">
        <v>180</v>
      </c>
      <c r="D332" s="19" t="s">
        <v>71</v>
      </c>
      <c r="E332" s="21" t="s">
        <v>88</v>
      </c>
      <c r="F332" s="19" t="s">
        <v>47</v>
      </c>
      <c r="G332" s="16" t="s">
        <v>12</v>
      </c>
      <c r="H332" s="16">
        <v>23</v>
      </c>
      <c r="I332" s="16">
        <v>667</v>
      </c>
      <c r="J332" s="16">
        <v>962</v>
      </c>
      <c r="K332" s="17">
        <f t="shared" si="20"/>
        <v>15341</v>
      </c>
      <c r="L332" s="17">
        <f t="shared" si="21"/>
        <v>22126</v>
      </c>
      <c r="M332" s="17">
        <f t="shared" si="22"/>
        <v>6785</v>
      </c>
      <c r="N332" s="17" t="str">
        <f t="shared" si="23"/>
        <v>profit</v>
      </c>
    </row>
    <row r="333" spans="1:14" ht="15.6" thickTop="1" thickBot="1" x14ac:dyDescent="0.35">
      <c r="A333" s="15">
        <v>45416</v>
      </c>
      <c r="B333" s="15" t="s">
        <v>121</v>
      </c>
      <c r="C333" s="16" t="s">
        <v>181</v>
      </c>
      <c r="D333" s="16" t="s">
        <v>71</v>
      </c>
      <c r="E333" s="16" t="s">
        <v>88</v>
      </c>
      <c r="F333" s="16" t="s">
        <v>49</v>
      </c>
      <c r="G333" s="16" t="s">
        <v>12</v>
      </c>
      <c r="H333" s="16">
        <v>24</v>
      </c>
      <c r="I333" s="16">
        <v>504</v>
      </c>
      <c r="J333" s="16">
        <v>1283</v>
      </c>
      <c r="K333" s="17">
        <f t="shared" si="20"/>
        <v>12096</v>
      </c>
      <c r="L333" s="17">
        <f t="shared" si="21"/>
        <v>30792</v>
      </c>
      <c r="M333" s="17">
        <f t="shared" si="22"/>
        <v>18696</v>
      </c>
      <c r="N333" s="17" t="str">
        <f t="shared" si="23"/>
        <v>profit</v>
      </c>
    </row>
    <row r="334" spans="1:14" ht="15.6" thickTop="1" thickBot="1" x14ac:dyDescent="0.35">
      <c r="A334" s="15">
        <v>45417</v>
      </c>
      <c r="B334" s="15" t="s">
        <v>121</v>
      </c>
      <c r="C334" s="16" t="s">
        <v>182</v>
      </c>
      <c r="D334" s="16" t="s">
        <v>71</v>
      </c>
      <c r="E334" s="16" t="s">
        <v>88</v>
      </c>
      <c r="F334" s="16" t="s">
        <v>51</v>
      </c>
      <c r="G334" s="16" t="s">
        <v>12</v>
      </c>
      <c r="H334" s="16">
        <v>26</v>
      </c>
      <c r="I334" s="16">
        <v>985</v>
      </c>
      <c r="J334" s="16">
        <v>1407</v>
      </c>
      <c r="K334" s="17">
        <f t="shared" si="20"/>
        <v>25610</v>
      </c>
      <c r="L334" s="17">
        <f t="shared" si="21"/>
        <v>36582</v>
      </c>
      <c r="M334" s="17">
        <f t="shared" si="22"/>
        <v>10972</v>
      </c>
      <c r="N334" s="17" t="str">
        <f t="shared" si="23"/>
        <v>profit</v>
      </c>
    </row>
    <row r="335" spans="1:14" ht="15.6" thickTop="1" thickBot="1" x14ac:dyDescent="0.35">
      <c r="A335" s="15">
        <v>45418</v>
      </c>
      <c r="B335" s="15" t="s">
        <v>121</v>
      </c>
      <c r="C335" s="16" t="s">
        <v>183</v>
      </c>
      <c r="D335" s="16" t="s">
        <v>71</v>
      </c>
      <c r="E335" s="16" t="s">
        <v>88</v>
      </c>
      <c r="F335" s="16" t="s">
        <v>51</v>
      </c>
      <c r="G335" s="16" t="s">
        <v>8</v>
      </c>
      <c r="H335" s="16">
        <v>27</v>
      </c>
      <c r="I335" s="16">
        <v>890</v>
      </c>
      <c r="J335" s="16">
        <v>853</v>
      </c>
      <c r="K335" s="17">
        <f t="shared" si="20"/>
        <v>24030</v>
      </c>
      <c r="L335" s="17">
        <f t="shared" si="21"/>
        <v>23031</v>
      </c>
      <c r="M335" s="17">
        <f t="shared" si="22"/>
        <v>-999</v>
      </c>
      <c r="N335" s="17" t="str">
        <f t="shared" si="23"/>
        <v>loss</v>
      </c>
    </row>
    <row r="336" spans="1:14" ht="15.6" thickTop="1" thickBot="1" x14ac:dyDescent="0.35">
      <c r="A336" s="15">
        <v>45419</v>
      </c>
      <c r="B336" s="15" t="s">
        <v>121</v>
      </c>
      <c r="C336" s="16" t="s">
        <v>187</v>
      </c>
      <c r="D336" s="16" t="s">
        <v>71</v>
      </c>
      <c r="E336" s="16" t="s">
        <v>10</v>
      </c>
      <c r="F336" s="16" t="s">
        <v>53</v>
      </c>
      <c r="G336" s="16" t="s">
        <v>8</v>
      </c>
      <c r="H336" s="16">
        <v>21</v>
      </c>
      <c r="I336" s="16">
        <v>722</v>
      </c>
      <c r="J336" s="16">
        <v>1247</v>
      </c>
      <c r="K336" s="17">
        <f t="shared" si="20"/>
        <v>15162</v>
      </c>
      <c r="L336" s="17">
        <f t="shared" si="21"/>
        <v>26187</v>
      </c>
      <c r="M336" s="17">
        <f t="shared" si="22"/>
        <v>11025</v>
      </c>
      <c r="N336" s="17" t="str">
        <f t="shared" si="23"/>
        <v>profit</v>
      </c>
    </row>
    <row r="337" spans="1:14" ht="15.6" thickTop="1" thickBot="1" x14ac:dyDescent="0.35">
      <c r="A337" s="15">
        <v>45420</v>
      </c>
      <c r="B337" s="15" t="s">
        <v>121</v>
      </c>
      <c r="C337" s="16" t="s">
        <v>188</v>
      </c>
      <c r="D337" s="16" t="s">
        <v>71</v>
      </c>
      <c r="E337" s="16" t="s">
        <v>10</v>
      </c>
      <c r="F337" s="16" t="s">
        <v>55</v>
      </c>
      <c r="G337" s="16" t="s">
        <v>8</v>
      </c>
      <c r="H337" s="16">
        <v>22</v>
      </c>
      <c r="I337" s="16">
        <v>725</v>
      </c>
      <c r="J337" s="16">
        <v>765</v>
      </c>
      <c r="K337" s="17">
        <f t="shared" si="20"/>
        <v>15950</v>
      </c>
      <c r="L337" s="17">
        <f t="shared" si="21"/>
        <v>16830</v>
      </c>
      <c r="M337" s="17">
        <f t="shared" si="22"/>
        <v>880</v>
      </c>
      <c r="N337" s="17" t="str">
        <f t="shared" si="23"/>
        <v>profit</v>
      </c>
    </row>
    <row r="338" spans="1:14" ht="15.6" thickTop="1" thickBot="1" x14ac:dyDescent="0.35">
      <c r="A338" s="15">
        <v>45421</v>
      </c>
      <c r="B338" s="15" t="s">
        <v>121</v>
      </c>
      <c r="C338" s="16" t="s">
        <v>190</v>
      </c>
      <c r="D338" s="16" t="s">
        <v>71</v>
      </c>
      <c r="E338" s="16" t="s">
        <v>10</v>
      </c>
      <c r="F338" s="16" t="s">
        <v>51</v>
      </c>
      <c r="G338" s="16" t="s">
        <v>8</v>
      </c>
      <c r="H338" s="16">
        <v>26</v>
      </c>
      <c r="I338" s="16">
        <v>509</v>
      </c>
      <c r="J338" s="16">
        <v>1120</v>
      </c>
      <c r="K338" s="17">
        <f t="shared" si="20"/>
        <v>13234</v>
      </c>
      <c r="L338" s="17">
        <f t="shared" si="21"/>
        <v>29120</v>
      </c>
      <c r="M338" s="17">
        <f t="shared" si="22"/>
        <v>15886</v>
      </c>
      <c r="N338" s="17" t="str">
        <f t="shared" si="23"/>
        <v>profit</v>
      </c>
    </row>
    <row r="339" spans="1:14" ht="15.6" thickTop="1" thickBot="1" x14ac:dyDescent="0.35">
      <c r="A339" s="15">
        <v>45389</v>
      </c>
      <c r="B339" s="15" t="s">
        <v>56</v>
      </c>
      <c r="C339" s="16" t="s">
        <v>57</v>
      </c>
      <c r="D339" s="16" t="s">
        <v>58</v>
      </c>
      <c r="E339" s="16" t="s">
        <v>59</v>
      </c>
      <c r="F339" s="16" t="s">
        <v>60</v>
      </c>
      <c r="G339" s="16" t="s">
        <v>12</v>
      </c>
      <c r="H339" s="16">
        <v>55</v>
      </c>
      <c r="I339" s="16">
        <v>906</v>
      </c>
      <c r="J339" s="16">
        <v>880</v>
      </c>
      <c r="K339" s="17">
        <f t="shared" si="20"/>
        <v>49830</v>
      </c>
      <c r="L339" s="17">
        <f t="shared" si="21"/>
        <v>48400</v>
      </c>
      <c r="M339" s="17">
        <f t="shared" si="22"/>
        <v>-1430</v>
      </c>
      <c r="N339" s="17" t="str">
        <f t="shared" si="23"/>
        <v>loss</v>
      </c>
    </row>
    <row r="340" spans="1:14" ht="15.6" thickTop="1" thickBot="1" x14ac:dyDescent="0.35">
      <c r="A340" s="15">
        <v>45422</v>
      </c>
      <c r="B340" s="15" t="s">
        <v>121</v>
      </c>
      <c r="C340" s="16" t="s">
        <v>191</v>
      </c>
      <c r="D340" s="16" t="s">
        <v>71</v>
      </c>
      <c r="E340" s="16" t="s">
        <v>10</v>
      </c>
      <c r="F340" s="16" t="s">
        <v>100</v>
      </c>
      <c r="G340" s="16" t="s">
        <v>8</v>
      </c>
      <c r="H340" s="16">
        <v>28</v>
      </c>
      <c r="I340" s="16">
        <v>905</v>
      </c>
      <c r="J340" s="16">
        <v>958</v>
      </c>
      <c r="K340" s="17">
        <f t="shared" si="20"/>
        <v>25340</v>
      </c>
      <c r="L340" s="17">
        <f t="shared" si="21"/>
        <v>26824</v>
      </c>
      <c r="M340" s="17">
        <f t="shared" si="22"/>
        <v>1484</v>
      </c>
      <c r="N340" s="17" t="str">
        <f t="shared" si="23"/>
        <v>profit</v>
      </c>
    </row>
    <row r="341" spans="1:14" ht="15.6" thickTop="1" thickBot="1" x14ac:dyDescent="0.35">
      <c r="A341" s="15">
        <v>45423</v>
      </c>
      <c r="B341" s="15" t="s">
        <v>121</v>
      </c>
      <c r="C341" s="16" t="s">
        <v>192</v>
      </c>
      <c r="D341" s="16" t="s">
        <v>71</v>
      </c>
      <c r="E341" s="16" t="s">
        <v>10</v>
      </c>
      <c r="F341" s="16" t="s">
        <v>7</v>
      </c>
      <c r="G341" s="16" t="s">
        <v>8</v>
      </c>
      <c r="H341" s="16">
        <v>22</v>
      </c>
      <c r="I341" s="16">
        <v>866</v>
      </c>
      <c r="J341" s="16">
        <v>1453</v>
      </c>
      <c r="K341" s="17">
        <f t="shared" si="20"/>
        <v>19052</v>
      </c>
      <c r="L341" s="17">
        <f t="shared" si="21"/>
        <v>31966</v>
      </c>
      <c r="M341" s="17">
        <f t="shared" si="22"/>
        <v>12914</v>
      </c>
      <c r="N341" s="17" t="str">
        <f t="shared" si="23"/>
        <v>profit</v>
      </c>
    </row>
    <row r="342" spans="1:14" ht="15.6" thickTop="1" thickBot="1" x14ac:dyDescent="0.35">
      <c r="A342" s="15">
        <v>45424</v>
      </c>
      <c r="B342" s="15" t="s">
        <v>121</v>
      </c>
      <c r="C342" s="16" t="s">
        <v>193</v>
      </c>
      <c r="D342" s="16" t="s">
        <v>71</v>
      </c>
      <c r="E342" s="16" t="s">
        <v>10</v>
      </c>
      <c r="F342" s="16" t="s">
        <v>69</v>
      </c>
      <c r="G342" s="16" t="s">
        <v>8</v>
      </c>
      <c r="H342" s="16">
        <v>23</v>
      </c>
      <c r="I342" s="16">
        <v>816</v>
      </c>
      <c r="J342" s="16">
        <v>1273</v>
      </c>
      <c r="K342" s="17">
        <f t="shared" si="20"/>
        <v>18768</v>
      </c>
      <c r="L342" s="17">
        <f t="shared" si="21"/>
        <v>29279</v>
      </c>
      <c r="M342" s="17">
        <f t="shared" si="22"/>
        <v>10511</v>
      </c>
      <c r="N342" s="17" t="str">
        <f t="shared" si="23"/>
        <v>profit</v>
      </c>
    </row>
    <row r="343" spans="1:14" ht="15.6" thickTop="1" thickBot="1" x14ac:dyDescent="0.35">
      <c r="A343" s="15">
        <v>45425</v>
      </c>
      <c r="B343" s="15" t="s">
        <v>121</v>
      </c>
      <c r="C343" s="16" t="s">
        <v>195</v>
      </c>
      <c r="D343" s="16" t="s">
        <v>71</v>
      </c>
      <c r="E343" s="16" t="s">
        <v>10</v>
      </c>
      <c r="F343" s="16" t="s">
        <v>51</v>
      </c>
      <c r="G343" s="16" t="s">
        <v>8</v>
      </c>
      <c r="H343" s="16">
        <v>30</v>
      </c>
      <c r="I343" s="16">
        <v>738</v>
      </c>
      <c r="J343" s="16">
        <v>1216</v>
      </c>
      <c r="K343" s="17">
        <f t="shared" si="20"/>
        <v>22140</v>
      </c>
      <c r="L343" s="17">
        <f t="shared" si="21"/>
        <v>36480</v>
      </c>
      <c r="M343" s="17">
        <f t="shared" si="22"/>
        <v>14340</v>
      </c>
      <c r="N343" s="17" t="str">
        <f t="shared" si="23"/>
        <v>profit</v>
      </c>
    </row>
    <row r="344" spans="1:14" ht="15.6" thickTop="1" thickBot="1" x14ac:dyDescent="0.35">
      <c r="A344" s="15">
        <v>45426</v>
      </c>
      <c r="B344" s="15" t="s">
        <v>121</v>
      </c>
      <c r="C344" s="16" t="s">
        <v>196</v>
      </c>
      <c r="D344" s="16" t="s">
        <v>71</v>
      </c>
      <c r="E344" s="16" t="s">
        <v>10</v>
      </c>
      <c r="F344" s="16" t="s">
        <v>89</v>
      </c>
      <c r="G344" s="16" t="s">
        <v>8</v>
      </c>
      <c r="H344" s="16">
        <v>24</v>
      </c>
      <c r="I344" s="16">
        <v>653</v>
      </c>
      <c r="J344" s="16">
        <v>1293</v>
      </c>
      <c r="K344" s="17">
        <f t="shared" si="20"/>
        <v>15672</v>
      </c>
      <c r="L344" s="17">
        <f t="shared" si="21"/>
        <v>31032</v>
      </c>
      <c r="M344" s="17">
        <f t="shared" si="22"/>
        <v>15360</v>
      </c>
      <c r="N344" s="17" t="str">
        <f t="shared" si="23"/>
        <v>profit</v>
      </c>
    </row>
    <row r="345" spans="1:14" ht="15.6" thickTop="1" thickBot="1" x14ac:dyDescent="0.35">
      <c r="A345" s="15">
        <v>45395</v>
      </c>
      <c r="B345" s="15" t="s">
        <v>56</v>
      </c>
      <c r="C345" s="16" t="s">
        <v>70</v>
      </c>
      <c r="D345" s="16" t="s">
        <v>71</v>
      </c>
      <c r="E345" s="16" t="s">
        <v>72</v>
      </c>
      <c r="F345" s="16" t="s">
        <v>69</v>
      </c>
      <c r="G345" s="16" t="s">
        <v>8</v>
      </c>
      <c r="H345" s="16">
        <v>22</v>
      </c>
      <c r="I345" s="16">
        <v>692</v>
      </c>
      <c r="J345" s="16">
        <v>906</v>
      </c>
      <c r="K345" s="17">
        <f t="shared" si="20"/>
        <v>15224</v>
      </c>
      <c r="L345" s="17">
        <f t="shared" si="21"/>
        <v>19932</v>
      </c>
      <c r="M345" s="17">
        <f t="shared" si="22"/>
        <v>4708</v>
      </c>
      <c r="N345" s="17" t="str">
        <f t="shared" si="23"/>
        <v>profit</v>
      </c>
    </row>
    <row r="346" spans="1:14" ht="15.6" thickTop="1" thickBot="1" x14ac:dyDescent="0.35">
      <c r="A346" s="15">
        <v>45427</v>
      </c>
      <c r="B346" s="15" t="s">
        <v>121</v>
      </c>
      <c r="C346" s="16" t="s">
        <v>197</v>
      </c>
      <c r="D346" s="16" t="s">
        <v>71</v>
      </c>
      <c r="E346" s="16" t="s">
        <v>10</v>
      </c>
      <c r="F346" s="16" t="s">
        <v>100</v>
      </c>
      <c r="G346" s="16" t="s">
        <v>8</v>
      </c>
      <c r="H346" s="16">
        <v>30</v>
      </c>
      <c r="I346" s="16">
        <v>583</v>
      </c>
      <c r="J346" s="16">
        <v>1500</v>
      </c>
      <c r="K346" s="17">
        <f t="shared" si="20"/>
        <v>17490</v>
      </c>
      <c r="L346" s="17">
        <f t="shared" si="21"/>
        <v>45000</v>
      </c>
      <c r="M346" s="17">
        <f t="shared" si="22"/>
        <v>27510</v>
      </c>
      <c r="N346" s="17" t="str">
        <f t="shared" si="23"/>
        <v>profit</v>
      </c>
    </row>
    <row r="347" spans="1:14" ht="15.6" thickTop="1" thickBot="1" x14ac:dyDescent="0.35">
      <c r="A347" s="15">
        <v>45428</v>
      </c>
      <c r="B347" s="15" t="s">
        <v>121</v>
      </c>
      <c r="C347" s="16" t="s">
        <v>199</v>
      </c>
      <c r="D347" s="16" t="s">
        <v>71</v>
      </c>
      <c r="E347" s="16" t="s">
        <v>10</v>
      </c>
      <c r="F347" s="16" t="s">
        <v>102</v>
      </c>
      <c r="G347" s="16" t="s">
        <v>12</v>
      </c>
      <c r="H347" s="16">
        <v>26</v>
      </c>
      <c r="I347" s="16">
        <v>1000</v>
      </c>
      <c r="J347" s="16">
        <v>765</v>
      </c>
      <c r="K347" s="17">
        <f t="shared" si="20"/>
        <v>26000</v>
      </c>
      <c r="L347" s="17">
        <f t="shared" si="21"/>
        <v>19890</v>
      </c>
      <c r="M347" s="17">
        <f t="shared" si="22"/>
        <v>-6110</v>
      </c>
      <c r="N347" s="17" t="str">
        <f t="shared" si="23"/>
        <v>loss</v>
      </c>
    </row>
    <row r="348" spans="1:14" ht="15.6" thickTop="1" thickBot="1" x14ac:dyDescent="0.35">
      <c r="A348" s="15">
        <v>45429</v>
      </c>
      <c r="B348" s="15" t="s">
        <v>121</v>
      </c>
      <c r="C348" s="16" t="s">
        <v>201</v>
      </c>
      <c r="D348" s="16" t="s">
        <v>71</v>
      </c>
      <c r="E348" s="16" t="s">
        <v>10</v>
      </c>
      <c r="F348" s="16" t="s">
        <v>60</v>
      </c>
      <c r="G348" s="16" t="s">
        <v>12</v>
      </c>
      <c r="H348" s="16">
        <v>27</v>
      </c>
      <c r="I348" s="16">
        <v>913</v>
      </c>
      <c r="J348" s="16">
        <v>1197</v>
      </c>
      <c r="K348" s="17">
        <f t="shared" si="20"/>
        <v>24651</v>
      </c>
      <c r="L348" s="17">
        <f t="shared" si="21"/>
        <v>32319</v>
      </c>
      <c r="M348" s="17">
        <f t="shared" si="22"/>
        <v>7668</v>
      </c>
      <c r="N348" s="17" t="str">
        <f t="shared" si="23"/>
        <v>profit</v>
      </c>
    </row>
    <row r="349" spans="1:14" ht="15.6" thickTop="1" thickBot="1" x14ac:dyDescent="0.35">
      <c r="A349" s="15">
        <v>45430</v>
      </c>
      <c r="B349" s="15" t="s">
        <v>121</v>
      </c>
      <c r="C349" s="16" t="s">
        <v>202</v>
      </c>
      <c r="D349" s="16" t="s">
        <v>71</v>
      </c>
      <c r="E349" s="16" t="s">
        <v>10</v>
      </c>
      <c r="F349" s="16" t="s">
        <v>69</v>
      </c>
      <c r="G349" s="16" t="s">
        <v>12</v>
      </c>
      <c r="H349" s="16">
        <v>29</v>
      </c>
      <c r="I349" s="16">
        <v>735</v>
      </c>
      <c r="J349" s="16">
        <v>1388</v>
      </c>
      <c r="K349" s="17">
        <f t="shared" si="20"/>
        <v>21315</v>
      </c>
      <c r="L349" s="17">
        <f t="shared" si="21"/>
        <v>40252</v>
      </c>
      <c r="M349" s="17">
        <f t="shared" si="22"/>
        <v>18937</v>
      </c>
      <c r="N349" s="17" t="str">
        <f t="shared" si="23"/>
        <v>profit</v>
      </c>
    </row>
    <row r="350" spans="1:14" ht="15.6" thickTop="1" thickBot="1" x14ac:dyDescent="0.35">
      <c r="A350" s="15">
        <v>45484</v>
      </c>
      <c r="B350" s="15" t="s">
        <v>65</v>
      </c>
      <c r="C350" s="16" t="s">
        <v>203</v>
      </c>
      <c r="D350" s="16" t="s">
        <v>71</v>
      </c>
      <c r="E350" s="16" t="s">
        <v>10</v>
      </c>
      <c r="F350" s="16" t="s">
        <v>64</v>
      </c>
      <c r="G350" s="16" t="s">
        <v>12</v>
      </c>
      <c r="H350" s="16">
        <v>29</v>
      </c>
      <c r="I350" s="16">
        <v>965</v>
      </c>
      <c r="J350" s="16">
        <v>1195</v>
      </c>
      <c r="K350" s="17">
        <f t="shared" si="20"/>
        <v>27985</v>
      </c>
      <c r="L350" s="17">
        <f t="shared" si="21"/>
        <v>34655</v>
      </c>
      <c r="M350" s="17">
        <f t="shared" si="22"/>
        <v>6670</v>
      </c>
      <c r="N350" s="17" t="str">
        <f t="shared" si="23"/>
        <v>profit</v>
      </c>
    </row>
    <row r="351" spans="1:14" ht="15.6" thickTop="1" thickBot="1" x14ac:dyDescent="0.35">
      <c r="A351" s="15">
        <v>45485</v>
      </c>
      <c r="B351" s="15" t="s">
        <v>65</v>
      </c>
      <c r="C351" s="16" t="s">
        <v>204</v>
      </c>
      <c r="D351" s="16" t="s">
        <v>71</v>
      </c>
      <c r="E351" s="16" t="s">
        <v>10</v>
      </c>
      <c r="F351" s="16" t="s">
        <v>89</v>
      </c>
      <c r="G351" s="16" t="s">
        <v>12</v>
      </c>
      <c r="H351" s="16">
        <v>24</v>
      </c>
      <c r="I351" s="16">
        <v>970</v>
      </c>
      <c r="J351" s="16">
        <v>1256</v>
      </c>
      <c r="K351" s="17">
        <f t="shared" si="20"/>
        <v>23280</v>
      </c>
      <c r="L351" s="17">
        <f t="shared" si="21"/>
        <v>30144</v>
      </c>
      <c r="M351" s="17">
        <f t="shared" si="22"/>
        <v>6864</v>
      </c>
      <c r="N351" s="17" t="str">
        <f t="shared" si="23"/>
        <v>profit</v>
      </c>
    </row>
    <row r="352" spans="1:14" ht="15.6" thickTop="1" thickBot="1" x14ac:dyDescent="0.35">
      <c r="A352" s="15">
        <v>45486</v>
      </c>
      <c r="B352" s="15" t="s">
        <v>65</v>
      </c>
      <c r="C352" s="16" t="s">
        <v>205</v>
      </c>
      <c r="D352" s="16" t="s">
        <v>71</v>
      </c>
      <c r="E352" s="16" t="s">
        <v>10</v>
      </c>
      <c r="F352" s="16" t="s">
        <v>89</v>
      </c>
      <c r="G352" s="16" t="s">
        <v>12</v>
      </c>
      <c r="H352" s="16">
        <v>22</v>
      </c>
      <c r="I352" s="16">
        <v>974</v>
      </c>
      <c r="J352" s="16">
        <v>1329</v>
      </c>
      <c r="K352" s="17">
        <f t="shared" si="20"/>
        <v>21428</v>
      </c>
      <c r="L352" s="17">
        <f t="shared" si="21"/>
        <v>29238</v>
      </c>
      <c r="M352" s="17">
        <f t="shared" si="22"/>
        <v>7810</v>
      </c>
      <c r="N352" s="17" t="str">
        <f t="shared" si="23"/>
        <v>profit</v>
      </c>
    </row>
    <row r="353" spans="1:14" ht="15.6" thickTop="1" thickBot="1" x14ac:dyDescent="0.35">
      <c r="A353" s="15">
        <v>45487</v>
      </c>
      <c r="B353" s="15" t="s">
        <v>65</v>
      </c>
      <c r="C353" s="16" t="s">
        <v>206</v>
      </c>
      <c r="D353" s="16" t="s">
        <v>71</v>
      </c>
      <c r="E353" s="16" t="s">
        <v>10</v>
      </c>
      <c r="F353" s="16" t="s">
        <v>85</v>
      </c>
      <c r="G353" s="16" t="s">
        <v>12</v>
      </c>
      <c r="H353" s="16">
        <v>21</v>
      </c>
      <c r="I353" s="16">
        <v>915</v>
      </c>
      <c r="J353" s="16">
        <v>1442</v>
      </c>
      <c r="K353" s="17">
        <f t="shared" si="20"/>
        <v>19215</v>
      </c>
      <c r="L353" s="17">
        <f t="shared" si="21"/>
        <v>30282</v>
      </c>
      <c r="M353" s="17">
        <f t="shared" si="22"/>
        <v>11067</v>
      </c>
      <c r="N353" s="17" t="str">
        <f t="shared" si="23"/>
        <v>profit</v>
      </c>
    </row>
    <row r="354" spans="1:14" ht="15.6" thickTop="1" thickBot="1" x14ac:dyDescent="0.35">
      <c r="A354" s="15">
        <v>45489</v>
      </c>
      <c r="B354" s="15" t="s">
        <v>65</v>
      </c>
      <c r="C354" s="16" t="s">
        <v>207</v>
      </c>
      <c r="D354" s="16" t="s">
        <v>71</v>
      </c>
      <c r="E354" s="16" t="s">
        <v>10</v>
      </c>
      <c r="F354" s="16" t="s">
        <v>55</v>
      </c>
      <c r="G354" s="16" t="s">
        <v>8</v>
      </c>
      <c r="H354" s="16">
        <v>27</v>
      </c>
      <c r="I354" s="16">
        <v>605</v>
      </c>
      <c r="J354" s="16">
        <v>826</v>
      </c>
      <c r="K354" s="17">
        <f t="shared" si="20"/>
        <v>16335</v>
      </c>
      <c r="L354" s="17">
        <f t="shared" si="21"/>
        <v>22302</v>
      </c>
      <c r="M354" s="17">
        <f t="shared" si="22"/>
        <v>5967</v>
      </c>
      <c r="N354" s="17" t="str">
        <f t="shared" si="23"/>
        <v>profit</v>
      </c>
    </row>
    <row r="355" spans="1:14" ht="15.6" thickTop="1" thickBot="1" x14ac:dyDescent="0.35">
      <c r="A355" s="15">
        <v>45405</v>
      </c>
      <c r="B355" s="15" t="s">
        <v>56</v>
      </c>
      <c r="C355" s="16" t="s">
        <v>87</v>
      </c>
      <c r="D355" s="16" t="s">
        <v>71</v>
      </c>
      <c r="E355" s="16" t="s">
        <v>88</v>
      </c>
      <c r="F355" s="16" t="s">
        <v>89</v>
      </c>
      <c r="G355" s="16" t="s">
        <v>12</v>
      </c>
      <c r="H355" s="16">
        <v>29</v>
      </c>
      <c r="I355" s="16">
        <v>893</v>
      </c>
      <c r="J355" s="16">
        <v>865</v>
      </c>
      <c r="K355" s="17">
        <f t="shared" si="20"/>
        <v>25897</v>
      </c>
      <c r="L355" s="17">
        <f t="shared" si="21"/>
        <v>25085</v>
      </c>
      <c r="M355" s="17">
        <f t="shared" si="22"/>
        <v>-812</v>
      </c>
      <c r="N355" s="17" t="str">
        <f t="shared" si="23"/>
        <v>loss</v>
      </c>
    </row>
    <row r="356" spans="1:14" ht="15.6" thickTop="1" thickBot="1" x14ac:dyDescent="0.35">
      <c r="A356" s="15">
        <v>45490</v>
      </c>
      <c r="B356" s="15" t="s">
        <v>65</v>
      </c>
      <c r="C356" s="16" t="s">
        <v>208</v>
      </c>
      <c r="D356" s="16" t="s">
        <v>71</v>
      </c>
      <c r="E356" s="16" t="s">
        <v>10</v>
      </c>
      <c r="F356" s="16" t="s">
        <v>137</v>
      </c>
      <c r="G356" s="16" t="s">
        <v>8</v>
      </c>
      <c r="H356" s="16">
        <v>29</v>
      </c>
      <c r="I356" s="16">
        <v>689</v>
      </c>
      <c r="J356" s="16">
        <v>783</v>
      </c>
      <c r="K356" s="17">
        <f t="shared" si="20"/>
        <v>19981</v>
      </c>
      <c r="L356" s="17">
        <f t="shared" si="21"/>
        <v>22707</v>
      </c>
      <c r="M356" s="17">
        <f t="shared" si="22"/>
        <v>2726</v>
      </c>
      <c r="N356" s="17" t="str">
        <f t="shared" si="23"/>
        <v>profit</v>
      </c>
    </row>
    <row r="357" spans="1:14" ht="15.6" thickTop="1" thickBot="1" x14ac:dyDescent="0.35">
      <c r="A357" s="15">
        <v>45407</v>
      </c>
      <c r="B357" s="15" t="s">
        <v>56</v>
      </c>
      <c r="C357" s="16" t="s">
        <v>91</v>
      </c>
      <c r="D357" s="16" t="s">
        <v>71</v>
      </c>
      <c r="E357" s="16" t="s">
        <v>88</v>
      </c>
      <c r="F357" s="16" t="s">
        <v>85</v>
      </c>
      <c r="G357" s="16" t="s">
        <v>8</v>
      </c>
      <c r="H357" s="16">
        <v>24</v>
      </c>
      <c r="I357" s="16">
        <v>859</v>
      </c>
      <c r="J357" s="16">
        <v>1473</v>
      </c>
      <c r="K357" s="17">
        <f t="shared" si="20"/>
        <v>20616</v>
      </c>
      <c r="L357" s="17">
        <f t="shared" si="21"/>
        <v>35352</v>
      </c>
      <c r="M357" s="17">
        <f t="shared" si="22"/>
        <v>14736</v>
      </c>
      <c r="N357" s="17" t="str">
        <f t="shared" si="23"/>
        <v>profit</v>
      </c>
    </row>
    <row r="358" spans="1:14" ht="15.6" thickTop="1" thickBot="1" x14ac:dyDescent="0.35">
      <c r="A358" s="15">
        <v>45491</v>
      </c>
      <c r="B358" s="15" t="s">
        <v>65</v>
      </c>
      <c r="C358" s="16" t="s">
        <v>209</v>
      </c>
      <c r="D358" s="16" t="s">
        <v>71</v>
      </c>
      <c r="E358" s="16" t="s">
        <v>10</v>
      </c>
      <c r="F358" s="16" t="s">
        <v>69</v>
      </c>
      <c r="G358" s="16" t="s">
        <v>8</v>
      </c>
      <c r="H358" s="16">
        <v>25</v>
      </c>
      <c r="I358" s="16">
        <v>861</v>
      </c>
      <c r="J358" s="16">
        <v>843</v>
      </c>
      <c r="K358" s="17">
        <f t="shared" si="20"/>
        <v>21525</v>
      </c>
      <c r="L358" s="17">
        <f t="shared" si="21"/>
        <v>21075</v>
      </c>
      <c r="M358" s="17">
        <f t="shared" si="22"/>
        <v>-450</v>
      </c>
      <c r="N358" s="17" t="str">
        <f t="shared" si="23"/>
        <v>loss</v>
      </c>
    </row>
    <row r="359" spans="1:14" ht="15.6" thickTop="1" thickBot="1" x14ac:dyDescent="0.35">
      <c r="A359" s="15">
        <v>45492</v>
      </c>
      <c r="B359" s="15" t="s">
        <v>65</v>
      </c>
      <c r="C359" s="16" t="s">
        <v>211</v>
      </c>
      <c r="D359" s="16" t="s">
        <v>71</v>
      </c>
      <c r="E359" s="16" t="s">
        <v>10</v>
      </c>
      <c r="F359" s="16" t="s">
        <v>176</v>
      </c>
      <c r="G359" s="16" t="s">
        <v>8</v>
      </c>
      <c r="H359" s="16">
        <v>22</v>
      </c>
      <c r="I359" s="16">
        <v>629</v>
      </c>
      <c r="J359" s="16">
        <v>1263</v>
      </c>
      <c r="K359" s="17">
        <f t="shared" si="20"/>
        <v>13838</v>
      </c>
      <c r="L359" s="17">
        <f t="shared" si="21"/>
        <v>27786</v>
      </c>
      <c r="M359" s="17">
        <f t="shared" si="22"/>
        <v>13948</v>
      </c>
      <c r="N359" s="17" t="str">
        <f t="shared" si="23"/>
        <v>profit</v>
      </c>
    </row>
    <row r="360" spans="1:14" ht="15.6" thickTop="1" thickBot="1" x14ac:dyDescent="0.35">
      <c r="A360" s="15">
        <v>45493</v>
      </c>
      <c r="B360" s="15" t="s">
        <v>65</v>
      </c>
      <c r="C360" s="16" t="s">
        <v>212</v>
      </c>
      <c r="D360" s="16" t="s">
        <v>71</v>
      </c>
      <c r="E360" s="16" t="s">
        <v>10</v>
      </c>
      <c r="F360" s="16" t="s">
        <v>178</v>
      </c>
      <c r="G360" s="16" t="s">
        <v>8</v>
      </c>
      <c r="H360" s="16">
        <v>22</v>
      </c>
      <c r="I360" s="16">
        <v>779</v>
      </c>
      <c r="J360" s="16">
        <v>1301</v>
      </c>
      <c r="K360" s="17">
        <f t="shared" si="20"/>
        <v>17138</v>
      </c>
      <c r="L360" s="17">
        <f t="shared" si="21"/>
        <v>28622</v>
      </c>
      <c r="M360" s="17">
        <f t="shared" si="22"/>
        <v>11484</v>
      </c>
      <c r="N360" s="17" t="str">
        <f t="shared" si="23"/>
        <v>profit</v>
      </c>
    </row>
    <row r="361" spans="1:14" ht="15.6" thickTop="1" thickBot="1" x14ac:dyDescent="0.35">
      <c r="A361" s="15">
        <v>45494</v>
      </c>
      <c r="B361" s="15" t="s">
        <v>65</v>
      </c>
      <c r="C361" s="16" t="s">
        <v>215</v>
      </c>
      <c r="D361" s="16" t="s">
        <v>71</v>
      </c>
      <c r="E361" s="16" t="s">
        <v>10</v>
      </c>
      <c r="F361" s="16" t="s">
        <v>45</v>
      </c>
      <c r="G361" s="16" t="s">
        <v>8</v>
      </c>
      <c r="H361" s="16">
        <v>23</v>
      </c>
      <c r="I361" s="16">
        <v>730</v>
      </c>
      <c r="J361" s="16">
        <v>1189</v>
      </c>
      <c r="K361" s="17">
        <f t="shared" si="20"/>
        <v>16790</v>
      </c>
      <c r="L361" s="17">
        <f t="shared" si="21"/>
        <v>27347</v>
      </c>
      <c r="M361" s="17">
        <f t="shared" si="22"/>
        <v>10557</v>
      </c>
      <c r="N361" s="17" t="str">
        <f t="shared" si="23"/>
        <v>profit</v>
      </c>
    </row>
    <row r="362" spans="1:14" ht="15.6" thickTop="1" thickBot="1" x14ac:dyDescent="0.35">
      <c r="A362" s="15">
        <v>45517</v>
      </c>
      <c r="B362" s="15" t="s">
        <v>82</v>
      </c>
      <c r="C362" s="16" t="s">
        <v>216</v>
      </c>
      <c r="D362" s="16" t="s">
        <v>71</v>
      </c>
      <c r="E362" s="16" t="s">
        <v>10</v>
      </c>
      <c r="F362" s="16" t="s">
        <v>69</v>
      </c>
      <c r="G362" s="16" t="s">
        <v>12</v>
      </c>
      <c r="H362" s="16">
        <v>26</v>
      </c>
      <c r="I362" s="16">
        <v>847</v>
      </c>
      <c r="J362" s="16">
        <v>1116</v>
      </c>
      <c r="K362" s="17">
        <f t="shared" si="20"/>
        <v>22022</v>
      </c>
      <c r="L362" s="17">
        <f t="shared" si="21"/>
        <v>29016</v>
      </c>
      <c r="M362" s="17">
        <f t="shared" si="22"/>
        <v>6994</v>
      </c>
      <c r="N362" s="17" t="str">
        <f t="shared" si="23"/>
        <v>profit</v>
      </c>
    </row>
    <row r="363" spans="1:14" ht="15.6" thickTop="1" thickBot="1" x14ac:dyDescent="0.35">
      <c r="A363" s="15">
        <v>45518</v>
      </c>
      <c r="B363" s="15" t="s">
        <v>82</v>
      </c>
      <c r="C363" s="16" t="s">
        <v>217</v>
      </c>
      <c r="D363" s="16" t="s">
        <v>71</v>
      </c>
      <c r="E363" s="16" t="s">
        <v>10</v>
      </c>
      <c r="F363" s="16" t="s">
        <v>74</v>
      </c>
      <c r="G363" s="16" t="s">
        <v>12</v>
      </c>
      <c r="H363" s="16">
        <v>24</v>
      </c>
      <c r="I363" s="16">
        <v>942</v>
      </c>
      <c r="J363" s="16">
        <v>1313</v>
      </c>
      <c r="K363" s="17">
        <f t="shared" si="20"/>
        <v>22608</v>
      </c>
      <c r="L363" s="17">
        <f t="shared" si="21"/>
        <v>31512</v>
      </c>
      <c r="M363" s="17">
        <f t="shared" si="22"/>
        <v>8904</v>
      </c>
      <c r="N363" s="17" t="str">
        <f t="shared" si="23"/>
        <v>profit</v>
      </c>
    </row>
    <row r="364" spans="1:14" ht="15.6" thickTop="1" thickBot="1" x14ac:dyDescent="0.35">
      <c r="A364" s="15">
        <v>45519</v>
      </c>
      <c r="B364" s="15" t="s">
        <v>82</v>
      </c>
      <c r="C364" s="16" t="s">
        <v>218</v>
      </c>
      <c r="D364" s="16" t="s">
        <v>71</v>
      </c>
      <c r="E364" s="16" t="s">
        <v>10</v>
      </c>
      <c r="F364" s="16" t="s">
        <v>53</v>
      </c>
      <c r="G364" s="16" t="s">
        <v>8</v>
      </c>
      <c r="H364" s="16">
        <v>20</v>
      </c>
      <c r="I364" s="16">
        <v>751</v>
      </c>
      <c r="J364" s="16">
        <v>861</v>
      </c>
      <c r="K364" s="17">
        <f t="shared" si="20"/>
        <v>15020</v>
      </c>
      <c r="L364" s="17">
        <f t="shared" si="21"/>
        <v>17220</v>
      </c>
      <c r="M364" s="17">
        <f t="shared" si="22"/>
        <v>2200</v>
      </c>
      <c r="N364" s="17" t="str">
        <f t="shared" si="23"/>
        <v>profit</v>
      </c>
    </row>
    <row r="365" spans="1:14" ht="15.6" thickTop="1" thickBot="1" x14ac:dyDescent="0.35">
      <c r="A365" s="15">
        <v>45521</v>
      </c>
      <c r="B365" s="15" t="s">
        <v>82</v>
      </c>
      <c r="C365" s="16" t="s">
        <v>220</v>
      </c>
      <c r="D365" s="16" t="s">
        <v>71</v>
      </c>
      <c r="E365" s="16" t="s">
        <v>10</v>
      </c>
      <c r="F365" s="16" t="s">
        <v>79</v>
      </c>
      <c r="G365" s="16" t="s">
        <v>12</v>
      </c>
      <c r="H365" s="16">
        <v>28</v>
      </c>
      <c r="I365" s="16">
        <v>855</v>
      </c>
      <c r="J365" s="16">
        <v>930</v>
      </c>
      <c r="K365" s="17">
        <f t="shared" si="20"/>
        <v>23940</v>
      </c>
      <c r="L365" s="17">
        <f t="shared" si="21"/>
        <v>26040</v>
      </c>
      <c r="M365" s="17">
        <f t="shared" si="22"/>
        <v>2100</v>
      </c>
      <c r="N365" s="17" t="str">
        <f t="shared" si="23"/>
        <v>profit</v>
      </c>
    </row>
    <row r="366" spans="1:14" ht="15.6" thickTop="1" thickBot="1" x14ac:dyDescent="0.35">
      <c r="A366" s="15">
        <v>45522</v>
      </c>
      <c r="B366" s="15" t="s">
        <v>82</v>
      </c>
      <c r="C366" s="16" t="s">
        <v>131</v>
      </c>
      <c r="D366" s="16" t="s">
        <v>71</v>
      </c>
      <c r="E366" s="16" t="s">
        <v>10</v>
      </c>
      <c r="F366" s="16" t="s">
        <v>60</v>
      </c>
      <c r="G366" s="16" t="s">
        <v>12</v>
      </c>
      <c r="H366" s="16">
        <v>22</v>
      </c>
      <c r="I366" s="16">
        <v>806</v>
      </c>
      <c r="J366" s="16">
        <v>1391</v>
      </c>
      <c r="K366" s="17">
        <f t="shared" si="20"/>
        <v>17732</v>
      </c>
      <c r="L366" s="17">
        <f t="shared" si="21"/>
        <v>30602</v>
      </c>
      <c r="M366" s="17">
        <f t="shared" si="22"/>
        <v>12870</v>
      </c>
      <c r="N366" s="17" t="str">
        <f t="shared" si="23"/>
        <v>profit</v>
      </c>
    </row>
    <row r="367" spans="1:14" ht="15.6" thickTop="1" thickBot="1" x14ac:dyDescent="0.35">
      <c r="A367" s="15">
        <v>45523</v>
      </c>
      <c r="B367" s="15" t="s">
        <v>82</v>
      </c>
      <c r="C367" s="16" t="s">
        <v>222</v>
      </c>
      <c r="D367" s="16" t="s">
        <v>71</v>
      </c>
      <c r="E367" s="16" t="s">
        <v>10</v>
      </c>
      <c r="F367" s="16" t="s">
        <v>64</v>
      </c>
      <c r="G367" s="16" t="s">
        <v>12</v>
      </c>
      <c r="H367" s="16">
        <v>30</v>
      </c>
      <c r="I367" s="16">
        <v>624</v>
      </c>
      <c r="J367" s="16">
        <v>999</v>
      </c>
      <c r="K367" s="17">
        <f t="shared" si="20"/>
        <v>18720</v>
      </c>
      <c r="L367" s="17">
        <f t="shared" si="21"/>
        <v>29970</v>
      </c>
      <c r="M367" s="17">
        <f t="shared" si="22"/>
        <v>11250</v>
      </c>
      <c r="N367" s="17" t="str">
        <f t="shared" si="23"/>
        <v>profit</v>
      </c>
    </row>
    <row r="368" spans="1:14" ht="15.6" thickTop="1" thickBot="1" x14ac:dyDescent="0.35">
      <c r="A368" s="15">
        <v>45524</v>
      </c>
      <c r="B368" s="15" t="s">
        <v>82</v>
      </c>
      <c r="C368" s="16" t="s">
        <v>129</v>
      </c>
      <c r="D368" s="16" t="s">
        <v>71</v>
      </c>
      <c r="E368" s="16" t="s">
        <v>10</v>
      </c>
      <c r="F368" s="16" t="s">
        <v>64</v>
      </c>
      <c r="G368" s="16" t="s">
        <v>8</v>
      </c>
      <c r="H368" s="16">
        <v>25</v>
      </c>
      <c r="I368" s="16">
        <v>533</v>
      </c>
      <c r="J368" s="16">
        <v>860</v>
      </c>
      <c r="K368" s="17">
        <f t="shared" si="20"/>
        <v>13325</v>
      </c>
      <c r="L368" s="17">
        <f t="shared" si="21"/>
        <v>21500</v>
      </c>
      <c r="M368" s="17">
        <f t="shared" si="22"/>
        <v>8175</v>
      </c>
      <c r="N368" s="17" t="str">
        <f t="shared" si="23"/>
        <v>profit</v>
      </c>
    </row>
    <row r="369" spans="1:14" ht="15.6" thickTop="1" thickBot="1" x14ac:dyDescent="0.35">
      <c r="A369" s="15">
        <v>45525</v>
      </c>
      <c r="B369" s="15" t="s">
        <v>82</v>
      </c>
      <c r="C369" s="16" t="s">
        <v>223</v>
      </c>
      <c r="D369" s="16" t="s">
        <v>71</v>
      </c>
      <c r="E369" s="16" t="s">
        <v>10</v>
      </c>
      <c r="F369" s="16" t="s">
        <v>89</v>
      </c>
      <c r="G369" s="16" t="s">
        <v>8</v>
      </c>
      <c r="H369" s="16">
        <v>20</v>
      </c>
      <c r="I369" s="16">
        <v>681</v>
      </c>
      <c r="J369" s="16">
        <v>823</v>
      </c>
      <c r="K369" s="17">
        <f t="shared" si="20"/>
        <v>13620</v>
      </c>
      <c r="L369" s="17">
        <f t="shared" si="21"/>
        <v>16460</v>
      </c>
      <c r="M369" s="17">
        <f t="shared" si="22"/>
        <v>2840</v>
      </c>
      <c r="N369" s="17" t="str">
        <f t="shared" si="23"/>
        <v>profit</v>
      </c>
    </row>
    <row r="370" spans="1:14" ht="15.6" thickTop="1" thickBot="1" x14ac:dyDescent="0.35">
      <c r="A370" s="15">
        <v>45527</v>
      </c>
      <c r="B370" s="15" t="s">
        <v>82</v>
      </c>
      <c r="C370" s="16" t="s">
        <v>224</v>
      </c>
      <c r="D370" s="16" t="s">
        <v>71</v>
      </c>
      <c r="E370" s="16" t="s">
        <v>10</v>
      </c>
      <c r="F370" s="16" t="s">
        <v>85</v>
      </c>
      <c r="G370" s="16" t="s">
        <v>8</v>
      </c>
      <c r="H370" s="16">
        <v>23</v>
      </c>
      <c r="I370" s="16">
        <v>577</v>
      </c>
      <c r="J370" s="16">
        <v>1125</v>
      </c>
      <c r="K370" s="17">
        <f t="shared" si="20"/>
        <v>13271</v>
      </c>
      <c r="L370" s="17">
        <f t="shared" si="21"/>
        <v>25875</v>
      </c>
      <c r="M370" s="17">
        <f t="shared" si="22"/>
        <v>12604</v>
      </c>
      <c r="N370" s="17" t="str">
        <f t="shared" si="23"/>
        <v>profit</v>
      </c>
    </row>
    <row r="371" spans="1:14" ht="15.6" thickTop="1" thickBot="1" x14ac:dyDescent="0.35">
      <c r="A371" s="15">
        <v>45589</v>
      </c>
      <c r="B371" s="15" t="s">
        <v>109</v>
      </c>
      <c r="C371" s="16" t="s">
        <v>226</v>
      </c>
      <c r="D371" s="16" t="s">
        <v>71</v>
      </c>
      <c r="E371" s="16" t="s">
        <v>156</v>
      </c>
      <c r="F371" s="16" t="s">
        <v>85</v>
      </c>
      <c r="G371" s="16" t="s">
        <v>8</v>
      </c>
      <c r="H371" s="16">
        <v>28</v>
      </c>
      <c r="I371" s="16">
        <v>537</v>
      </c>
      <c r="J371" s="16">
        <v>828</v>
      </c>
      <c r="K371" s="17">
        <f t="shared" si="20"/>
        <v>15036</v>
      </c>
      <c r="L371" s="17">
        <f t="shared" si="21"/>
        <v>23184</v>
      </c>
      <c r="M371" s="17">
        <f t="shared" si="22"/>
        <v>8148</v>
      </c>
      <c r="N371" s="17" t="str">
        <f t="shared" si="23"/>
        <v>profit</v>
      </c>
    </row>
    <row r="372" spans="1:14" ht="15.6" thickTop="1" thickBot="1" x14ac:dyDescent="0.35">
      <c r="A372" s="15">
        <v>45591</v>
      </c>
      <c r="B372" s="15" t="s">
        <v>109</v>
      </c>
      <c r="C372" s="16" t="s">
        <v>227</v>
      </c>
      <c r="D372" s="16" t="s">
        <v>71</v>
      </c>
      <c r="E372" s="16" t="s">
        <v>156</v>
      </c>
      <c r="F372" s="16" t="s">
        <v>55</v>
      </c>
      <c r="G372" s="16" t="s">
        <v>12</v>
      </c>
      <c r="H372" s="16">
        <v>23</v>
      </c>
      <c r="I372" s="16">
        <v>746</v>
      </c>
      <c r="J372" s="16">
        <v>1410</v>
      </c>
      <c r="K372" s="17">
        <f t="shared" si="20"/>
        <v>17158</v>
      </c>
      <c r="L372" s="17">
        <f t="shared" si="21"/>
        <v>32430</v>
      </c>
      <c r="M372" s="17">
        <f t="shared" si="22"/>
        <v>15272</v>
      </c>
      <c r="N372" s="17" t="str">
        <f t="shared" si="23"/>
        <v>profit</v>
      </c>
    </row>
    <row r="373" spans="1:14" ht="15.6" thickTop="1" thickBot="1" x14ac:dyDescent="0.35">
      <c r="A373" s="15">
        <v>45596</v>
      </c>
      <c r="B373" s="15" t="s">
        <v>109</v>
      </c>
      <c r="C373" s="16" t="s">
        <v>228</v>
      </c>
      <c r="D373" s="16" t="s">
        <v>71</v>
      </c>
      <c r="E373" s="16" t="s">
        <v>72</v>
      </c>
      <c r="F373" s="16" t="s">
        <v>45</v>
      </c>
      <c r="G373" s="16" t="s">
        <v>12</v>
      </c>
      <c r="H373" s="16">
        <v>29</v>
      </c>
      <c r="I373" s="16">
        <v>895</v>
      </c>
      <c r="J373" s="16">
        <v>882</v>
      </c>
      <c r="K373" s="17">
        <f t="shared" si="20"/>
        <v>25955</v>
      </c>
      <c r="L373" s="17">
        <f t="shared" si="21"/>
        <v>25578</v>
      </c>
      <c r="M373" s="17">
        <f t="shared" si="22"/>
        <v>-377</v>
      </c>
      <c r="N373" s="17" t="str">
        <f t="shared" si="23"/>
        <v>loss</v>
      </c>
    </row>
    <row r="374" spans="1:14" ht="15.6" thickTop="1" thickBot="1" x14ac:dyDescent="0.35">
      <c r="A374" s="15">
        <v>45597</v>
      </c>
      <c r="B374" s="15" t="s">
        <v>184</v>
      </c>
      <c r="C374" s="16" t="s">
        <v>230</v>
      </c>
      <c r="D374" s="16" t="s">
        <v>71</v>
      </c>
      <c r="E374" s="16" t="s">
        <v>72</v>
      </c>
      <c r="F374" s="16" t="s">
        <v>47</v>
      </c>
      <c r="G374" s="16" t="s">
        <v>12</v>
      </c>
      <c r="H374" s="16">
        <v>26</v>
      </c>
      <c r="I374" s="16">
        <v>728</v>
      </c>
      <c r="J374" s="16">
        <v>1466</v>
      </c>
      <c r="K374" s="17">
        <f t="shared" si="20"/>
        <v>18928</v>
      </c>
      <c r="L374" s="17">
        <f t="shared" si="21"/>
        <v>38116</v>
      </c>
      <c r="M374" s="17">
        <f t="shared" si="22"/>
        <v>19188</v>
      </c>
      <c r="N374" s="17" t="str">
        <f t="shared" si="23"/>
        <v>profit</v>
      </c>
    </row>
    <row r="375" spans="1:14" ht="15.6" thickTop="1" thickBot="1" x14ac:dyDescent="0.35">
      <c r="A375" s="15">
        <v>45598</v>
      </c>
      <c r="B375" s="15" t="s">
        <v>184</v>
      </c>
      <c r="C375" s="16" t="s">
        <v>232</v>
      </c>
      <c r="D375" s="16" t="s">
        <v>71</v>
      </c>
      <c r="E375" s="16" t="s">
        <v>72</v>
      </c>
      <c r="F375" s="16" t="s">
        <v>49</v>
      </c>
      <c r="G375" s="16" t="s">
        <v>12</v>
      </c>
      <c r="H375" s="16">
        <v>22</v>
      </c>
      <c r="I375" s="16">
        <v>586</v>
      </c>
      <c r="J375" s="16">
        <v>1206</v>
      </c>
      <c r="K375" s="17">
        <f t="shared" si="20"/>
        <v>12892</v>
      </c>
      <c r="L375" s="17">
        <f t="shared" si="21"/>
        <v>26532</v>
      </c>
      <c r="M375" s="17">
        <f t="shared" si="22"/>
        <v>13640</v>
      </c>
      <c r="N375" s="17" t="str">
        <f t="shared" si="23"/>
        <v>profit</v>
      </c>
    </row>
    <row r="376" spans="1:14" ht="15.6" thickTop="1" thickBot="1" x14ac:dyDescent="0.35">
      <c r="A376" s="15">
        <v>45599</v>
      </c>
      <c r="B376" s="15" t="s">
        <v>184</v>
      </c>
      <c r="C376" s="16" t="s">
        <v>233</v>
      </c>
      <c r="D376" s="16" t="s">
        <v>71</v>
      </c>
      <c r="E376" s="16" t="s">
        <v>72</v>
      </c>
      <c r="F376" s="16" t="s">
        <v>51</v>
      </c>
      <c r="G376" s="16" t="s">
        <v>8</v>
      </c>
      <c r="H376" s="16">
        <v>29</v>
      </c>
      <c r="I376" s="16">
        <v>724</v>
      </c>
      <c r="J376" s="16">
        <v>858</v>
      </c>
      <c r="K376" s="17">
        <f t="shared" si="20"/>
        <v>20996</v>
      </c>
      <c r="L376" s="17">
        <f t="shared" si="21"/>
        <v>24882</v>
      </c>
      <c r="M376" s="17">
        <f t="shared" si="22"/>
        <v>3886</v>
      </c>
      <c r="N376" s="17" t="str">
        <f t="shared" si="23"/>
        <v>profit</v>
      </c>
    </row>
    <row r="377" spans="1:14" ht="15.6" thickTop="1" thickBot="1" x14ac:dyDescent="0.35">
      <c r="A377" s="15">
        <v>45600</v>
      </c>
      <c r="B377" s="15" t="s">
        <v>184</v>
      </c>
      <c r="C377" s="16" t="s">
        <v>234</v>
      </c>
      <c r="D377" s="16" t="s">
        <v>71</v>
      </c>
      <c r="E377" s="16" t="s">
        <v>72</v>
      </c>
      <c r="F377" s="16" t="s">
        <v>51</v>
      </c>
      <c r="G377" s="16" t="s">
        <v>8</v>
      </c>
      <c r="H377" s="16">
        <v>20</v>
      </c>
      <c r="I377" s="16">
        <v>941</v>
      </c>
      <c r="J377" s="16">
        <v>1181</v>
      </c>
      <c r="K377" s="17">
        <f t="shared" si="20"/>
        <v>18820</v>
      </c>
      <c r="L377" s="17">
        <f t="shared" si="21"/>
        <v>23620</v>
      </c>
      <c r="M377" s="17">
        <f t="shared" si="22"/>
        <v>4800</v>
      </c>
      <c r="N377" s="17" t="str">
        <f t="shared" si="23"/>
        <v>profit</v>
      </c>
    </row>
    <row r="378" spans="1:14" ht="15.6" thickTop="1" thickBot="1" x14ac:dyDescent="0.35">
      <c r="A378" s="15">
        <v>45601</v>
      </c>
      <c r="B378" s="15" t="s">
        <v>184</v>
      </c>
      <c r="C378" s="16" t="s">
        <v>235</v>
      </c>
      <c r="D378" s="16" t="s">
        <v>71</v>
      </c>
      <c r="E378" s="16" t="s">
        <v>72</v>
      </c>
      <c r="F378" s="16" t="s">
        <v>53</v>
      </c>
      <c r="G378" s="16" t="s">
        <v>8</v>
      </c>
      <c r="H378" s="16">
        <v>22</v>
      </c>
      <c r="I378" s="16">
        <v>618</v>
      </c>
      <c r="J378" s="16">
        <v>1373</v>
      </c>
      <c r="K378" s="17">
        <f t="shared" si="20"/>
        <v>13596</v>
      </c>
      <c r="L378" s="17">
        <f t="shared" si="21"/>
        <v>30206</v>
      </c>
      <c r="M378" s="17">
        <f t="shared" si="22"/>
        <v>16610</v>
      </c>
      <c r="N378" s="17" t="str">
        <f t="shared" si="23"/>
        <v>profit</v>
      </c>
    </row>
    <row r="379" spans="1:14" ht="15.6" thickTop="1" thickBot="1" x14ac:dyDescent="0.35">
      <c r="A379" s="15">
        <v>45609</v>
      </c>
      <c r="B379" s="15" t="s">
        <v>184</v>
      </c>
      <c r="C379" s="16" t="s">
        <v>237</v>
      </c>
      <c r="D379" s="16" t="s">
        <v>71</v>
      </c>
      <c r="E379" s="16" t="s">
        <v>88</v>
      </c>
      <c r="F379" s="16" t="s">
        <v>100</v>
      </c>
      <c r="G379" s="16" t="s">
        <v>12</v>
      </c>
      <c r="H379" s="16">
        <v>28</v>
      </c>
      <c r="I379" s="16">
        <v>896</v>
      </c>
      <c r="J379" s="16">
        <v>1363</v>
      </c>
      <c r="K379" s="17">
        <f t="shared" si="20"/>
        <v>25088</v>
      </c>
      <c r="L379" s="17">
        <f t="shared" si="21"/>
        <v>38164</v>
      </c>
      <c r="M379" s="17">
        <f t="shared" si="22"/>
        <v>13076</v>
      </c>
      <c r="N379" s="17" t="str">
        <f t="shared" si="23"/>
        <v>profit</v>
      </c>
    </row>
    <row r="380" spans="1:14" ht="15.6" thickTop="1" thickBot="1" x14ac:dyDescent="0.35">
      <c r="A380" s="15">
        <v>45611</v>
      </c>
      <c r="B380" s="15" t="s">
        <v>184</v>
      </c>
      <c r="C380" s="16" t="s">
        <v>238</v>
      </c>
      <c r="D380" s="16" t="s">
        <v>71</v>
      </c>
      <c r="E380" s="16" t="s">
        <v>88</v>
      </c>
      <c r="F380" s="16" t="s">
        <v>60</v>
      </c>
      <c r="G380" s="16" t="s">
        <v>12</v>
      </c>
      <c r="H380" s="16">
        <v>28</v>
      </c>
      <c r="I380" s="16">
        <v>986</v>
      </c>
      <c r="J380" s="16">
        <v>866</v>
      </c>
      <c r="K380" s="17">
        <f t="shared" si="20"/>
        <v>27608</v>
      </c>
      <c r="L380" s="17">
        <f t="shared" si="21"/>
        <v>24248</v>
      </c>
      <c r="M380" s="17">
        <f t="shared" si="22"/>
        <v>-3360</v>
      </c>
      <c r="N380" s="17" t="str">
        <f t="shared" si="23"/>
        <v>loss</v>
      </c>
    </row>
    <row r="381" spans="1:14" ht="15.6" thickTop="1" thickBot="1" x14ac:dyDescent="0.35">
      <c r="A381" s="15">
        <v>45612</v>
      </c>
      <c r="B381" s="15" t="s">
        <v>184</v>
      </c>
      <c r="C381" s="16" t="s">
        <v>239</v>
      </c>
      <c r="D381" s="16" t="s">
        <v>71</v>
      </c>
      <c r="E381" s="16" t="s">
        <v>88</v>
      </c>
      <c r="F381" s="16" t="s">
        <v>69</v>
      </c>
      <c r="G381" s="16" t="s">
        <v>12</v>
      </c>
      <c r="H381" s="16">
        <v>27</v>
      </c>
      <c r="I381" s="16">
        <v>951</v>
      </c>
      <c r="J381" s="16">
        <v>1255</v>
      </c>
      <c r="K381" s="17">
        <f t="shared" si="20"/>
        <v>25677</v>
      </c>
      <c r="L381" s="17">
        <f t="shared" si="21"/>
        <v>33885</v>
      </c>
      <c r="M381" s="17">
        <f t="shared" si="22"/>
        <v>8208</v>
      </c>
      <c r="N381" s="17" t="str">
        <f t="shared" si="23"/>
        <v>profit</v>
      </c>
    </row>
    <row r="382" spans="1:14" ht="15.6" thickTop="1" thickBot="1" x14ac:dyDescent="0.35">
      <c r="A382" s="15">
        <v>45432</v>
      </c>
      <c r="B382" s="15" t="s">
        <v>121</v>
      </c>
      <c r="C382" s="16" t="s">
        <v>122</v>
      </c>
      <c r="D382" s="16" t="s">
        <v>58</v>
      </c>
      <c r="E382" s="16" t="s">
        <v>123</v>
      </c>
      <c r="F382" s="16" t="s">
        <v>60</v>
      </c>
      <c r="G382" s="16" t="s">
        <v>12</v>
      </c>
      <c r="H382" s="16">
        <v>63</v>
      </c>
      <c r="I382" s="16">
        <v>929</v>
      </c>
      <c r="J382" s="16">
        <v>1320</v>
      </c>
      <c r="K382" s="17">
        <f t="shared" si="20"/>
        <v>58527</v>
      </c>
      <c r="L382" s="17">
        <f t="shared" si="21"/>
        <v>83160</v>
      </c>
      <c r="M382" s="17">
        <f t="shared" si="22"/>
        <v>24633</v>
      </c>
      <c r="N382" s="17" t="str">
        <f t="shared" si="23"/>
        <v>profit</v>
      </c>
    </row>
    <row r="383" spans="1:14" ht="15.6" thickTop="1" thickBot="1" x14ac:dyDescent="0.35">
      <c r="A383" s="15">
        <v>45613</v>
      </c>
      <c r="B383" s="15" t="s">
        <v>184</v>
      </c>
      <c r="C383" s="16" t="s">
        <v>240</v>
      </c>
      <c r="D383" s="16" t="s">
        <v>71</v>
      </c>
      <c r="E383" s="16" t="s">
        <v>88</v>
      </c>
      <c r="F383" s="16" t="s">
        <v>85</v>
      </c>
      <c r="G383" s="16" t="s">
        <v>12</v>
      </c>
      <c r="H383" s="16">
        <v>22</v>
      </c>
      <c r="I383" s="16">
        <v>783</v>
      </c>
      <c r="J383" s="16">
        <v>886</v>
      </c>
      <c r="K383" s="17">
        <f t="shared" si="20"/>
        <v>17226</v>
      </c>
      <c r="L383" s="17">
        <f t="shared" si="21"/>
        <v>19492</v>
      </c>
      <c r="M383" s="17">
        <f t="shared" si="22"/>
        <v>2266</v>
      </c>
      <c r="N383" s="17" t="str">
        <f t="shared" si="23"/>
        <v>profit</v>
      </c>
    </row>
    <row r="384" spans="1:14" ht="15.6" thickTop="1" thickBot="1" x14ac:dyDescent="0.35">
      <c r="A384" s="15">
        <v>45615</v>
      </c>
      <c r="B384" s="15" t="s">
        <v>184</v>
      </c>
      <c r="C384" s="16" t="s">
        <v>241</v>
      </c>
      <c r="D384" s="16" t="s">
        <v>71</v>
      </c>
      <c r="E384" s="16" t="s">
        <v>88</v>
      </c>
      <c r="F384" s="16" t="s">
        <v>64</v>
      </c>
      <c r="G384" s="16" t="s">
        <v>8</v>
      </c>
      <c r="H384" s="16">
        <v>21</v>
      </c>
      <c r="I384" s="16">
        <v>547</v>
      </c>
      <c r="J384" s="16">
        <v>784</v>
      </c>
      <c r="K384" s="17">
        <f t="shared" si="20"/>
        <v>11487</v>
      </c>
      <c r="L384" s="17">
        <f t="shared" si="21"/>
        <v>16464</v>
      </c>
      <c r="M384" s="17">
        <f t="shared" si="22"/>
        <v>4977</v>
      </c>
      <c r="N384" s="17" t="str">
        <f t="shared" si="23"/>
        <v>profit</v>
      </c>
    </row>
    <row r="385" spans="1:14" ht="15.6" thickTop="1" thickBot="1" x14ac:dyDescent="0.35">
      <c r="A385" s="15">
        <v>45617</v>
      </c>
      <c r="B385" s="15" t="s">
        <v>184</v>
      </c>
      <c r="C385" s="16" t="s">
        <v>242</v>
      </c>
      <c r="D385" s="16" t="s">
        <v>71</v>
      </c>
      <c r="E385" s="16" t="s">
        <v>88</v>
      </c>
      <c r="F385" s="16" t="s">
        <v>69</v>
      </c>
      <c r="G385" s="16" t="s">
        <v>12</v>
      </c>
      <c r="H385" s="16">
        <v>20</v>
      </c>
      <c r="I385" s="16">
        <v>737</v>
      </c>
      <c r="J385" s="16">
        <v>932</v>
      </c>
      <c r="K385" s="17">
        <f t="shared" si="20"/>
        <v>14740</v>
      </c>
      <c r="L385" s="17">
        <f t="shared" si="21"/>
        <v>18640</v>
      </c>
      <c r="M385" s="17">
        <f t="shared" si="22"/>
        <v>3900</v>
      </c>
      <c r="N385" s="17" t="str">
        <f t="shared" si="23"/>
        <v>profit</v>
      </c>
    </row>
    <row r="386" spans="1:14" ht="15.6" thickTop="1" thickBot="1" x14ac:dyDescent="0.35">
      <c r="A386" s="15">
        <v>45618</v>
      </c>
      <c r="B386" s="15" t="s">
        <v>184</v>
      </c>
      <c r="C386" s="16" t="s">
        <v>244</v>
      </c>
      <c r="D386" s="16" t="s">
        <v>71</v>
      </c>
      <c r="E386" s="16" t="s">
        <v>88</v>
      </c>
      <c r="F386" s="16" t="s">
        <v>53</v>
      </c>
      <c r="G386" s="16" t="s">
        <v>12</v>
      </c>
      <c r="H386" s="16">
        <v>25</v>
      </c>
      <c r="I386" s="16">
        <v>924</v>
      </c>
      <c r="J386" s="16">
        <v>1062</v>
      </c>
      <c r="K386" s="17">
        <f t="shared" ref="K386:K449" si="24">H386*I386</f>
        <v>23100</v>
      </c>
      <c r="L386" s="17">
        <f t="shared" ref="L386:L449" si="25">H386*J386</f>
        <v>26550</v>
      </c>
      <c r="M386" s="17">
        <f t="shared" ref="M386:M449" si="26">L386-K386</f>
        <v>3450</v>
      </c>
      <c r="N386" s="17" t="str">
        <f t="shared" ref="N386:N449" si="27">IF(M386&gt;0,"profit","loss")</f>
        <v>profit</v>
      </c>
    </row>
    <row r="387" spans="1:14" ht="15.6" thickTop="1" thickBot="1" x14ac:dyDescent="0.35">
      <c r="A387" s="15">
        <v>45619</v>
      </c>
      <c r="B387" s="15" t="s">
        <v>184</v>
      </c>
      <c r="C387" s="16" t="s">
        <v>246</v>
      </c>
      <c r="D387" s="16" t="s">
        <v>71</v>
      </c>
      <c r="E387" s="16" t="s">
        <v>88</v>
      </c>
      <c r="F387" s="16" t="s">
        <v>69</v>
      </c>
      <c r="G387" s="16" t="s">
        <v>12</v>
      </c>
      <c r="H387" s="16">
        <v>28</v>
      </c>
      <c r="I387" s="16">
        <v>665</v>
      </c>
      <c r="J387" s="16">
        <v>1467</v>
      </c>
      <c r="K387" s="17">
        <f t="shared" si="24"/>
        <v>18620</v>
      </c>
      <c r="L387" s="17">
        <f t="shared" si="25"/>
        <v>41076</v>
      </c>
      <c r="M387" s="17">
        <f t="shared" si="26"/>
        <v>22456</v>
      </c>
      <c r="N387" s="17" t="str">
        <f t="shared" si="27"/>
        <v>profit</v>
      </c>
    </row>
    <row r="388" spans="1:14" ht="15.6" thickTop="1" thickBot="1" x14ac:dyDescent="0.35">
      <c r="A388" s="15">
        <v>45620</v>
      </c>
      <c r="B388" s="15" t="s">
        <v>184</v>
      </c>
      <c r="C388" s="16" t="s">
        <v>248</v>
      </c>
      <c r="D388" s="16" t="s">
        <v>71</v>
      </c>
      <c r="E388" s="16" t="s">
        <v>88</v>
      </c>
      <c r="F388" s="16" t="s">
        <v>74</v>
      </c>
      <c r="G388" s="16" t="s">
        <v>12</v>
      </c>
      <c r="H388" s="16">
        <v>24</v>
      </c>
      <c r="I388" s="16">
        <v>839</v>
      </c>
      <c r="J388" s="16">
        <v>1092</v>
      </c>
      <c r="K388" s="17">
        <f t="shared" si="24"/>
        <v>20136</v>
      </c>
      <c r="L388" s="17">
        <f t="shared" si="25"/>
        <v>26208</v>
      </c>
      <c r="M388" s="17">
        <f t="shared" si="26"/>
        <v>6072</v>
      </c>
      <c r="N388" s="17" t="str">
        <f t="shared" si="27"/>
        <v>profit</v>
      </c>
    </row>
    <row r="389" spans="1:14" ht="15.6" thickTop="1" thickBot="1" x14ac:dyDescent="0.35">
      <c r="A389" s="15">
        <v>45621</v>
      </c>
      <c r="B389" s="15" t="s">
        <v>184</v>
      </c>
      <c r="C389" s="16" t="s">
        <v>249</v>
      </c>
      <c r="D389" s="16" t="s">
        <v>71</v>
      </c>
      <c r="E389" s="16" t="s">
        <v>88</v>
      </c>
      <c r="F389" s="16" t="s">
        <v>53</v>
      </c>
      <c r="G389" s="16" t="s">
        <v>12</v>
      </c>
      <c r="H389" s="16">
        <v>30</v>
      </c>
      <c r="I389" s="16">
        <v>790</v>
      </c>
      <c r="J389" s="16">
        <v>1245</v>
      </c>
      <c r="K389" s="17">
        <f t="shared" si="24"/>
        <v>23700</v>
      </c>
      <c r="L389" s="17">
        <f t="shared" si="25"/>
        <v>37350</v>
      </c>
      <c r="M389" s="17">
        <f t="shared" si="26"/>
        <v>13650</v>
      </c>
      <c r="N389" s="17" t="str">
        <f t="shared" si="27"/>
        <v>profit</v>
      </c>
    </row>
    <row r="390" spans="1:14" ht="15.6" thickTop="1" thickBot="1" x14ac:dyDescent="0.35">
      <c r="A390" s="15">
        <v>45622</v>
      </c>
      <c r="B390" s="15" t="s">
        <v>184</v>
      </c>
      <c r="C390" s="16" t="s">
        <v>250</v>
      </c>
      <c r="D390" s="16" t="s">
        <v>71</v>
      </c>
      <c r="E390" s="16" t="s">
        <v>88</v>
      </c>
      <c r="F390" s="16" t="s">
        <v>77</v>
      </c>
      <c r="G390" s="16" t="s">
        <v>8</v>
      </c>
      <c r="H390" s="16">
        <v>30</v>
      </c>
      <c r="I390" s="16">
        <v>651</v>
      </c>
      <c r="J390" s="16">
        <v>1277</v>
      </c>
      <c r="K390" s="17">
        <f t="shared" si="24"/>
        <v>19530</v>
      </c>
      <c r="L390" s="17">
        <f t="shared" si="25"/>
        <v>38310</v>
      </c>
      <c r="M390" s="17">
        <f t="shared" si="26"/>
        <v>18780</v>
      </c>
      <c r="N390" s="17" t="str">
        <f t="shared" si="27"/>
        <v>profit</v>
      </c>
    </row>
    <row r="391" spans="1:14" ht="15.6" thickTop="1" thickBot="1" x14ac:dyDescent="0.35">
      <c r="A391" s="15">
        <v>45441</v>
      </c>
      <c r="B391" s="15" t="s">
        <v>121</v>
      </c>
      <c r="C391" s="16" t="s">
        <v>132</v>
      </c>
      <c r="D391" s="16" t="s">
        <v>58</v>
      </c>
      <c r="E391" s="16" t="s">
        <v>123</v>
      </c>
      <c r="F391" s="16" t="s">
        <v>79</v>
      </c>
      <c r="G391" s="16" t="s">
        <v>12</v>
      </c>
      <c r="H391" s="16">
        <v>67</v>
      </c>
      <c r="I391" s="16">
        <v>796</v>
      </c>
      <c r="J391" s="16">
        <v>1347</v>
      </c>
      <c r="K391" s="17">
        <f t="shared" si="24"/>
        <v>53332</v>
      </c>
      <c r="L391" s="17">
        <f t="shared" si="25"/>
        <v>90249</v>
      </c>
      <c r="M391" s="17">
        <f t="shared" si="26"/>
        <v>36917</v>
      </c>
      <c r="N391" s="17" t="str">
        <f t="shared" si="27"/>
        <v>profit</v>
      </c>
    </row>
    <row r="392" spans="1:14" ht="15.6" thickTop="1" thickBot="1" x14ac:dyDescent="0.35">
      <c r="A392" s="15">
        <v>45623</v>
      </c>
      <c r="B392" s="15" t="s">
        <v>184</v>
      </c>
      <c r="C392" s="16" t="s">
        <v>251</v>
      </c>
      <c r="D392" s="16" t="s">
        <v>71</v>
      </c>
      <c r="E392" s="16" t="s">
        <v>88</v>
      </c>
      <c r="F392" s="16" t="s">
        <v>79</v>
      </c>
      <c r="G392" s="16" t="s">
        <v>8</v>
      </c>
      <c r="H392" s="16">
        <v>23</v>
      </c>
      <c r="I392" s="16">
        <v>531</v>
      </c>
      <c r="J392" s="16">
        <v>1072</v>
      </c>
      <c r="K392" s="17">
        <f t="shared" si="24"/>
        <v>12213</v>
      </c>
      <c r="L392" s="17">
        <f t="shared" si="25"/>
        <v>24656</v>
      </c>
      <c r="M392" s="17">
        <f t="shared" si="26"/>
        <v>12443</v>
      </c>
      <c r="N392" s="17" t="str">
        <f t="shared" si="27"/>
        <v>profit</v>
      </c>
    </row>
    <row r="393" spans="1:14" ht="15.6" thickTop="1" thickBot="1" x14ac:dyDescent="0.35">
      <c r="A393" s="15">
        <v>45624</v>
      </c>
      <c r="B393" s="15" t="s">
        <v>184</v>
      </c>
      <c r="C393" s="16" t="s">
        <v>252</v>
      </c>
      <c r="D393" s="16" t="s">
        <v>71</v>
      </c>
      <c r="E393" s="16" t="s">
        <v>10</v>
      </c>
      <c r="F393" s="16" t="s">
        <v>60</v>
      </c>
      <c r="G393" s="16" t="s">
        <v>8</v>
      </c>
      <c r="H393" s="16">
        <v>30</v>
      </c>
      <c r="I393" s="16">
        <v>591</v>
      </c>
      <c r="J393" s="16">
        <v>949</v>
      </c>
      <c r="K393" s="17">
        <f t="shared" si="24"/>
        <v>17730</v>
      </c>
      <c r="L393" s="17">
        <f t="shared" si="25"/>
        <v>28470</v>
      </c>
      <c r="M393" s="17">
        <f t="shared" si="26"/>
        <v>10740</v>
      </c>
      <c r="N393" s="17" t="str">
        <f t="shared" si="27"/>
        <v>profit</v>
      </c>
    </row>
    <row r="394" spans="1:14" ht="15.6" thickTop="1" thickBot="1" x14ac:dyDescent="0.35">
      <c r="A394" s="15">
        <v>45625</v>
      </c>
      <c r="B394" s="15" t="s">
        <v>184</v>
      </c>
      <c r="C394" s="16" t="s">
        <v>253</v>
      </c>
      <c r="D394" s="16" t="s">
        <v>71</v>
      </c>
      <c r="E394" s="16" t="s">
        <v>10</v>
      </c>
      <c r="F394" s="16" t="s">
        <v>64</v>
      </c>
      <c r="G394" s="16" t="s">
        <v>8</v>
      </c>
      <c r="H394" s="16">
        <v>29</v>
      </c>
      <c r="I394" s="16">
        <v>621</v>
      </c>
      <c r="J394" s="16">
        <v>1485</v>
      </c>
      <c r="K394" s="17">
        <f t="shared" si="24"/>
        <v>18009</v>
      </c>
      <c r="L394" s="17">
        <f t="shared" si="25"/>
        <v>43065</v>
      </c>
      <c r="M394" s="17">
        <f t="shared" si="26"/>
        <v>25056</v>
      </c>
      <c r="N394" s="17" t="str">
        <f t="shared" si="27"/>
        <v>profit</v>
      </c>
    </row>
    <row r="395" spans="1:14" ht="15.6" thickTop="1" thickBot="1" x14ac:dyDescent="0.35">
      <c r="A395" s="15">
        <v>45627</v>
      </c>
      <c r="B395" s="15" t="s">
        <v>213</v>
      </c>
      <c r="C395" s="16" t="s">
        <v>255</v>
      </c>
      <c r="D395" s="16" t="s">
        <v>71</v>
      </c>
      <c r="E395" s="16" t="s">
        <v>10</v>
      </c>
      <c r="F395" s="16" t="s">
        <v>89</v>
      </c>
      <c r="G395" s="16" t="s">
        <v>8</v>
      </c>
      <c r="H395" s="16">
        <v>30</v>
      </c>
      <c r="I395" s="16">
        <v>857</v>
      </c>
      <c r="J395" s="16">
        <v>1455</v>
      </c>
      <c r="K395" s="17">
        <f t="shared" si="24"/>
        <v>25710</v>
      </c>
      <c r="L395" s="17">
        <f t="shared" si="25"/>
        <v>43650</v>
      </c>
      <c r="M395" s="17">
        <f t="shared" si="26"/>
        <v>17940</v>
      </c>
      <c r="N395" s="17" t="str">
        <f t="shared" si="27"/>
        <v>profit</v>
      </c>
    </row>
    <row r="396" spans="1:14" ht="15.6" thickTop="1" thickBot="1" x14ac:dyDescent="0.35">
      <c r="A396" s="15">
        <v>45628</v>
      </c>
      <c r="B396" s="15" t="s">
        <v>213</v>
      </c>
      <c r="C396" s="16" t="s">
        <v>256</v>
      </c>
      <c r="D396" s="16" t="s">
        <v>71</v>
      </c>
      <c r="E396" s="16" t="s">
        <v>10</v>
      </c>
      <c r="F396" s="16" t="s">
        <v>89</v>
      </c>
      <c r="G396" s="16" t="s">
        <v>8</v>
      </c>
      <c r="H396" s="16">
        <v>20</v>
      </c>
      <c r="I396" s="16">
        <v>897</v>
      </c>
      <c r="J396" s="16">
        <v>1024</v>
      </c>
      <c r="K396" s="17">
        <f t="shared" si="24"/>
        <v>17940</v>
      </c>
      <c r="L396" s="17">
        <f t="shared" si="25"/>
        <v>20480</v>
      </c>
      <c r="M396" s="17">
        <f t="shared" si="26"/>
        <v>2540</v>
      </c>
      <c r="N396" s="17" t="str">
        <f t="shared" si="27"/>
        <v>profit</v>
      </c>
    </row>
    <row r="397" spans="1:14" ht="15.6" thickTop="1" thickBot="1" x14ac:dyDescent="0.35">
      <c r="A397" s="15">
        <v>45630</v>
      </c>
      <c r="B397" s="15" t="s">
        <v>213</v>
      </c>
      <c r="C397" s="16" t="s">
        <v>257</v>
      </c>
      <c r="D397" s="16" t="s">
        <v>71</v>
      </c>
      <c r="E397" s="16" t="s">
        <v>10</v>
      </c>
      <c r="F397" s="16" t="s">
        <v>64</v>
      </c>
      <c r="G397" s="16" t="s">
        <v>12</v>
      </c>
      <c r="H397" s="16">
        <v>22</v>
      </c>
      <c r="I397" s="16">
        <v>781</v>
      </c>
      <c r="J397" s="16">
        <v>1423</v>
      </c>
      <c r="K397" s="17">
        <f t="shared" si="24"/>
        <v>17182</v>
      </c>
      <c r="L397" s="17">
        <f t="shared" si="25"/>
        <v>31306</v>
      </c>
      <c r="M397" s="17">
        <f t="shared" si="26"/>
        <v>14124</v>
      </c>
      <c r="N397" s="17" t="str">
        <f t="shared" si="27"/>
        <v>profit</v>
      </c>
    </row>
    <row r="398" spans="1:14" ht="15.6" thickTop="1" thickBot="1" x14ac:dyDescent="0.35">
      <c r="A398" s="15">
        <v>45631</v>
      </c>
      <c r="B398" s="15" t="s">
        <v>213</v>
      </c>
      <c r="C398" s="16" t="s">
        <v>258</v>
      </c>
      <c r="D398" s="16" t="s">
        <v>71</v>
      </c>
      <c r="E398" s="16" t="s">
        <v>10</v>
      </c>
      <c r="F398" s="16" t="s">
        <v>55</v>
      </c>
      <c r="G398" s="16" t="s">
        <v>12</v>
      </c>
      <c r="H398" s="16">
        <v>20</v>
      </c>
      <c r="I398" s="16">
        <v>854</v>
      </c>
      <c r="J398" s="16">
        <v>956</v>
      </c>
      <c r="K398" s="17">
        <f t="shared" si="24"/>
        <v>17080</v>
      </c>
      <c r="L398" s="17">
        <f t="shared" si="25"/>
        <v>19120</v>
      </c>
      <c r="M398" s="17">
        <f t="shared" si="26"/>
        <v>2040</v>
      </c>
      <c r="N398" s="17" t="str">
        <f t="shared" si="27"/>
        <v>profit</v>
      </c>
    </row>
    <row r="399" spans="1:14" ht="15.6" thickTop="1" thickBot="1" x14ac:dyDescent="0.35">
      <c r="A399" s="15">
        <v>45632</v>
      </c>
      <c r="B399" s="15" t="s">
        <v>213</v>
      </c>
      <c r="C399" s="16" t="s">
        <v>259</v>
      </c>
      <c r="D399" s="16" t="s">
        <v>71</v>
      </c>
      <c r="E399" s="16" t="s">
        <v>10</v>
      </c>
      <c r="F399" s="16" t="s">
        <v>137</v>
      </c>
      <c r="G399" s="16" t="s">
        <v>12</v>
      </c>
      <c r="H399" s="16">
        <v>26</v>
      </c>
      <c r="I399" s="16">
        <v>909</v>
      </c>
      <c r="J399" s="16">
        <v>1206</v>
      </c>
      <c r="K399" s="17">
        <f t="shared" si="24"/>
        <v>23634</v>
      </c>
      <c r="L399" s="17">
        <f t="shared" si="25"/>
        <v>31356</v>
      </c>
      <c r="M399" s="17">
        <f t="shared" si="26"/>
        <v>7722</v>
      </c>
      <c r="N399" s="17" t="str">
        <f t="shared" si="27"/>
        <v>profit</v>
      </c>
    </row>
    <row r="400" spans="1:14" ht="15.6" thickTop="1" thickBot="1" x14ac:dyDescent="0.35">
      <c r="A400" s="15">
        <v>45633</v>
      </c>
      <c r="B400" s="15" t="s">
        <v>213</v>
      </c>
      <c r="C400" s="16" t="s">
        <v>260</v>
      </c>
      <c r="D400" s="16" t="s">
        <v>71</v>
      </c>
      <c r="E400" s="16" t="s">
        <v>10</v>
      </c>
      <c r="F400" s="16" t="s">
        <v>69</v>
      </c>
      <c r="G400" s="16" t="s">
        <v>8</v>
      </c>
      <c r="H400" s="16">
        <v>20</v>
      </c>
      <c r="I400" s="16">
        <v>976</v>
      </c>
      <c r="J400" s="16">
        <v>905</v>
      </c>
      <c r="K400" s="17">
        <f t="shared" si="24"/>
        <v>19520</v>
      </c>
      <c r="L400" s="17">
        <f t="shared" si="25"/>
        <v>18100</v>
      </c>
      <c r="M400" s="17">
        <f t="shared" si="26"/>
        <v>-1420</v>
      </c>
      <c r="N400" s="17" t="str">
        <f t="shared" si="27"/>
        <v>loss</v>
      </c>
    </row>
    <row r="401" spans="1:14" ht="15.6" thickTop="1" thickBot="1" x14ac:dyDescent="0.35">
      <c r="A401" s="15">
        <v>45635</v>
      </c>
      <c r="B401" s="15" t="s">
        <v>213</v>
      </c>
      <c r="C401" s="16" t="s">
        <v>261</v>
      </c>
      <c r="D401" s="16" t="s">
        <v>71</v>
      </c>
      <c r="E401" s="16" t="s">
        <v>10</v>
      </c>
      <c r="F401" s="16" t="s">
        <v>178</v>
      </c>
      <c r="G401" s="16" t="s">
        <v>12</v>
      </c>
      <c r="H401" s="16">
        <v>24</v>
      </c>
      <c r="I401" s="16">
        <v>787</v>
      </c>
      <c r="J401" s="16">
        <v>1122</v>
      </c>
      <c r="K401" s="17">
        <f t="shared" si="24"/>
        <v>18888</v>
      </c>
      <c r="L401" s="17">
        <f t="shared" si="25"/>
        <v>26928</v>
      </c>
      <c r="M401" s="17">
        <f t="shared" si="26"/>
        <v>8040</v>
      </c>
      <c r="N401" s="17" t="str">
        <f t="shared" si="27"/>
        <v>profit</v>
      </c>
    </row>
    <row r="402" spans="1:14" ht="15.6" thickTop="1" thickBot="1" x14ac:dyDescent="0.35">
      <c r="A402" s="15">
        <v>45689</v>
      </c>
      <c r="B402" s="15" t="s">
        <v>262</v>
      </c>
      <c r="C402" s="16" t="s">
        <v>263</v>
      </c>
      <c r="D402" s="16" t="s">
        <v>71</v>
      </c>
      <c r="E402" s="16" t="s">
        <v>10</v>
      </c>
      <c r="F402" s="16" t="s">
        <v>69</v>
      </c>
      <c r="G402" s="16" t="s">
        <v>8</v>
      </c>
      <c r="H402" s="16">
        <v>23</v>
      </c>
      <c r="I402" s="16">
        <v>755</v>
      </c>
      <c r="J402" s="16">
        <v>806</v>
      </c>
      <c r="K402" s="17">
        <f t="shared" si="24"/>
        <v>17365</v>
      </c>
      <c r="L402" s="17">
        <f t="shared" si="25"/>
        <v>18538</v>
      </c>
      <c r="M402" s="17">
        <f t="shared" si="26"/>
        <v>1173</v>
      </c>
      <c r="N402" s="17" t="str">
        <f t="shared" si="27"/>
        <v>profit</v>
      </c>
    </row>
    <row r="403" spans="1:14" ht="15.6" thickTop="1" thickBot="1" x14ac:dyDescent="0.35">
      <c r="A403" s="15">
        <v>45690</v>
      </c>
      <c r="B403" s="15" t="s">
        <v>262</v>
      </c>
      <c r="C403" s="16" t="s">
        <v>264</v>
      </c>
      <c r="D403" s="16" t="s">
        <v>71</v>
      </c>
      <c r="E403" s="16" t="s">
        <v>10</v>
      </c>
      <c r="F403" s="16" t="s">
        <v>176</v>
      </c>
      <c r="G403" s="16" t="s">
        <v>8</v>
      </c>
      <c r="H403" s="16">
        <v>26</v>
      </c>
      <c r="I403" s="16">
        <v>573</v>
      </c>
      <c r="J403" s="16">
        <v>1309</v>
      </c>
      <c r="K403" s="17">
        <f t="shared" si="24"/>
        <v>14898</v>
      </c>
      <c r="L403" s="17">
        <f t="shared" si="25"/>
        <v>34034</v>
      </c>
      <c r="M403" s="17">
        <f t="shared" si="26"/>
        <v>19136</v>
      </c>
      <c r="N403" s="17" t="str">
        <f t="shared" si="27"/>
        <v>profit</v>
      </c>
    </row>
    <row r="404" spans="1:14" ht="15.6" thickTop="1" thickBot="1" x14ac:dyDescent="0.35">
      <c r="A404" s="15">
        <v>45691</v>
      </c>
      <c r="B404" s="15" t="s">
        <v>262</v>
      </c>
      <c r="C404" s="16" t="s">
        <v>265</v>
      </c>
      <c r="D404" s="16" t="s">
        <v>71</v>
      </c>
      <c r="E404" s="16" t="s">
        <v>10</v>
      </c>
      <c r="F404" s="16" t="s">
        <v>178</v>
      </c>
      <c r="G404" s="16" t="s">
        <v>8</v>
      </c>
      <c r="H404" s="16">
        <v>30</v>
      </c>
      <c r="I404" s="16">
        <v>946</v>
      </c>
      <c r="J404" s="16">
        <v>1089</v>
      </c>
      <c r="K404" s="17">
        <f t="shared" si="24"/>
        <v>28380</v>
      </c>
      <c r="L404" s="17">
        <f t="shared" si="25"/>
        <v>32670</v>
      </c>
      <c r="M404" s="17">
        <f t="shared" si="26"/>
        <v>4290</v>
      </c>
      <c r="N404" s="17" t="str">
        <f t="shared" si="27"/>
        <v>profit</v>
      </c>
    </row>
    <row r="405" spans="1:14" ht="15.6" thickTop="1" thickBot="1" x14ac:dyDescent="0.35">
      <c r="A405" s="15">
        <v>45692</v>
      </c>
      <c r="B405" s="15" t="s">
        <v>262</v>
      </c>
      <c r="C405" s="16" t="s">
        <v>267</v>
      </c>
      <c r="D405" s="16" t="s">
        <v>71</v>
      </c>
      <c r="E405" s="16" t="s">
        <v>10</v>
      </c>
      <c r="F405" s="16" t="s">
        <v>45</v>
      </c>
      <c r="G405" s="16" t="s">
        <v>12</v>
      </c>
      <c r="H405" s="16">
        <v>22</v>
      </c>
      <c r="I405" s="16">
        <v>679</v>
      </c>
      <c r="J405" s="16">
        <v>1463</v>
      </c>
      <c r="K405" s="17">
        <f t="shared" si="24"/>
        <v>14938</v>
      </c>
      <c r="L405" s="17">
        <f t="shared" si="25"/>
        <v>32186</v>
      </c>
      <c r="M405" s="17">
        <f t="shared" si="26"/>
        <v>17248</v>
      </c>
      <c r="N405" s="17" t="str">
        <f t="shared" si="27"/>
        <v>profit</v>
      </c>
    </row>
    <row r="406" spans="1:14" ht="15.6" thickTop="1" thickBot="1" x14ac:dyDescent="0.35">
      <c r="A406" s="15">
        <v>45693</v>
      </c>
      <c r="B406" s="15" t="s">
        <v>262</v>
      </c>
      <c r="C406" s="16" t="s">
        <v>268</v>
      </c>
      <c r="D406" s="16" t="s">
        <v>71</v>
      </c>
      <c r="E406" s="16" t="s">
        <v>10</v>
      </c>
      <c r="F406" s="16" t="s">
        <v>47</v>
      </c>
      <c r="G406" s="16" t="s">
        <v>12</v>
      </c>
      <c r="H406" s="16">
        <v>25</v>
      </c>
      <c r="I406" s="16">
        <v>975</v>
      </c>
      <c r="J406" s="16">
        <v>935</v>
      </c>
      <c r="K406" s="17">
        <f t="shared" si="24"/>
        <v>24375</v>
      </c>
      <c r="L406" s="17">
        <f t="shared" si="25"/>
        <v>23375</v>
      </c>
      <c r="M406" s="17">
        <f t="shared" si="26"/>
        <v>-1000</v>
      </c>
      <c r="N406" s="17" t="str">
        <f t="shared" si="27"/>
        <v>loss</v>
      </c>
    </row>
    <row r="407" spans="1:14" ht="15.6" thickTop="1" thickBot="1" x14ac:dyDescent="0.35">
      <c r="A407" s="15">
        <v>45694</v>
      </c>
      <c r="B407" s="15" t="s">
        <v>262</v>
      </c>
      <c r="C407" s="16" t="s">
        <v>269</v>
      </c>
      <c r="D407" s="16" t="s">
        <v>71</v>
      </c>
      <c r="E407" s="16" t="s">
        <v>10</v>
      </c>
      <c r="F407" s="16" t="s">
        <v>49</v>
      </c>
      <c r="G407" s="16" t="s">
        <v>12</v>
      </c>
      <c r="H407" s="16">
        <v>24</v>
      </c>
      <c r="I407" s="16">
        <v>642</v>
      </c>
      <c r="J407" s="16">
        <v>996</v>
      </c>
      <c r="K407" s="17">
        <f t="shared" si="24"/>
        <v>15408</v>
      </c>
      <c r="L407" s="17">
        <f t="shared" si="25"/>
        <v>23904</v>
      </c>
      <c r="M407" s="17">
        <f t="shared" si="26"/>
        <v>8496</v>
      </c>
      <c r="N407" s="17" t="str">
        <f t="shared" si="27"/>
        <v>profit</v>
      </c>
    </row>
    <row r="408" spans="1:14" ht="15.6" thickTop="1" thickBot="1" x14ac:dyDescent="0.35">
      <c r="A408" s="15">
        <v>45458</v>
      </c>
      <c r="B408" s="15" t="s">
        <v>41</v>
      </c>
      <c r="C408" s="16" t="s">
        <v>138</v>
      </c>
      <c r="D408" s="16" t="s">
        <v>43</v>
      </c>
      <c r="E408" s="16" t="s">
        <v>44</v>
      </c>
      <c r="F408" s="16" t="s">
        <v>51</v>
      </c>
      <c r="G408" s="16" t="s">
        <v>8</v>
      </c>
      <c r="H408" s="16">
        <v>14</v>
      </c>
      <c r="I408" s="16">
        <v>603</v>
      </c>
      <c r="J408" s="16">
        <v>1104</v>
      </c>
      <c r="K408" s="17">
        <f t="shared" si="24"/>
        <v>8442</v>
      </c>
      <c r="L408" s="17">
        <f t="shared" si="25"/>
        <v>15456</v>
      </c>
      <c r="M408" s="17">
        <f t="shared" si="26"/>
        <v>7014</v>
      </c>
      <c r="N408" s="17" t="str">
        <f t="shared" si="27"/>
        <v>profit</v>
      </c>
    </row>
    <row r="409" spans="1:14" ht="15.6" thickTop="1" thickBot="1" x14ac:dyDescent="0.35">
      <c r="A409" s="15">
        <v>45695</v>
      </c>
      <c r="B409" s="15" t="s">
        <v>262</v>
      </c>
      <c r="C409" s="16" t="s">
        <v>271</v>
      </c>
      <c r="D409" s="16" t="s">
        <v>71</v>
      </c>
      <c r="E409" s="16" t="s">
        <v>10</v>
      </c>
      <c r="F409" s="16" t="s">
        <v>51</v>
      </c>
      <c r="G409" s="16" t="s">
        <v>12</v>
      </c>
      <c r="H409" s="16">
        <v>29</v>
      </c>
      <c r="I409" s="16">
        <v>598</v>
      </c>
      <c r="J409" s="16">
        <v>923</v>
      </c>
      <c r="K409" s="17">
        <f t="shared" si="24"/>
        <v>17342</v>
      </c>
      <c r="L409" s="17">
        <f t="shared" si="25"/>
        <v>26767</v>
      </c>
      <c r="M409" s="17">
        <f t="shared" si="26"/>
        <v>9425</v>
      </c>
      <c r="N409" s="17" t="str">
        <f t="shared" si="27"/>
        <v>profit</v>
      </c>
    </row>
    <row r="410" spans="1:14" ht="15.6" thickTop="1" thickBot="1" x14ac:dyDescent="0.35">
      <c r="A410" s="15">
        <v>45696</v>
      </c>
      <c r="B410" s="15" t="s">
        <v>262</v>
      </c>
      <c r="C410" s="16" t="s">
        <v>272</v>
      </c>
      <c r="D410" s="16" t="s">
        <v>71</v>
      </c>
      <c r="E410" s="16" t="s">
        <v>10</v>
      </c>
      <c r="F410" s="16" t="s">
        <v>51</v>
      </c>
      <c r="G410" s="16" t="s">
        <v>12</v>
      </c>
      <c r="H410" s="16">
        <v>22</v>
      </c>
      <c r="I410" s="16">
        <v>719</v>
      </c>
      <c r="J410" s="16">
        <v>1079</v>
      </c>
      <c r="K410" s="17">
        <f t="shared" si="24"/>
        <v>15818</v>
      </c>
      <c r="L410" s="17">
        <f t="shared" si="25"/>
        <v>23738</v>
      </c>
      <c r="M410" s="17">
        <f t="shared" si="26"/>
        <v>7920</v>
      </c>
      <c r="N410" s="17" t="str">
        <f t="shared" si="27"/>
        <v>profit</v>
      </c>
    </row>
    <row r="411" spans="1:14" ht="15.6" thickTop="1" thickBot="1" x14ac:dyDescent="0.35">
      <c r="A411" s="15">
        <v>45697</v>
      </c>
      <c r="B411" s="15" t="s">
        <v>262</v>
      </c>
      <c r="C411" s="16" t="s">
        <v>273</v>
      </c>
      <c r="D411" s="16" t="s">
        <v>71</v>
      </c>
      <c r="E411" s="16" t="s">
        <v>10</v>
      </c>
      <c r="F411" s="16" t="s">
        <v>53</v>
      </c>
      <c r="G411" s="16" t="s">
        <v>8</v>
      </c>
      <c r="H411" s="16">
        <v>30</v>
      </c>
      <c r="I411" s="16">
        <v>716</v>
      </c>
      <c r="J411" s="16">
        <v>956</v>
      </c>
      <c r="K411" s="17">
        <f t="shared" si="24"/>
        <v>21480</v>
      </c>
      <c r="L411" s="17">
        <f t="shared" si="25"/>
        <v>28680</v>
      </c>
      <c r="M411" s="17">
        <f t="shared" si="26"/>
        <v>7200</v>
      </c>
      <c r="N411" s="17" t="str">
        <f t="shared" si="27"/>
        <v>profit</v>
      </c>
    </row>
    <row r="412" spans="1:14" ht="15.6" thickTop="1" thickBot="1" x14ac:dyDescent="0.35">
      <c r="A412" s="15">
        <v>45699</v>
      </c>
      <c r="B412" s="15" t="s">
        <v>262</v>
      </c>
      <c r="C412" s="16" t="s">
        <v>274</v>
      </c>
      <c r="D412" s="16" t="s">
        <v>71</v>
      </c>
      <c r="E412" s="16" t="s">
        <v>10</v>
      </c>
      <c r="F412" s="16" t="s">
        <v>60</v>
      </c>
      <c r="G412" s="16" t="s">
        <v>8</v>
      </c>
      <c r="H412" s="16">
        <v>29</v>
      </c>
      <c r="I412" s="16">
        <v>623</v>
      </c>
      <c r="J412" s="16">
        <v>919</v>
      </c>
      <c r="K412" s="17">
        <f t="shared" si="24"/>
        <v>18067</v>
      </c>
      <c r="L412" s="17">
        <f t="shared" si="25"/>
        <v>26651</v>
      </c>
      <c r="M412" s="17">
        <f t="shared" si="26"/>
        <v>8584</v>
      </c>
      <c r="N412" s="17" t="str">
        <f t="shared" si="27"/>
        <v>profit</v>
      </c>
    </row>
    <row r="413" spans="1:14" ht="15.6" thickTop="1" thickBot="1" x14ac:dyDescent="0.35">
      <c r="A413" s="15">
        <v>45383</v>
      </c>
      <c r="B413" s="15" t="s">
        <v>56</v>
      </c>
      <c r="C413" s="16" t="s">
        <v>154</v>
      </c>
      <c r="D413" s="16" t="s">
        <v>71</v>
      </c>
      <c r="E413" s="16" t="s">
        <v>72</v>
      </c>
      <c r="F413" s="16" t="s">
        <v>7</v>
      </c>
      <c r="G413" s="16" t="s">
        <v>12</v>
      </c>
      <c r="H413" s="16">
        <v>21</v>
      </c>
      <c r="I413" s="16">
        <v>553</v>
      </c>
      <c r="J413" s="16">
        <v>1459</v>
      </c>
      <c r="K413" s="17">
        <f t="shared" si="24"/>
        <v>11613</v>
      </c>
      <c r="L413" s="17">
        <f t="shared" si="25"/>
        <v>30639</v>
      </c>
      <c r="M413" s="17">
        <f t="shared" si="26"/>
        <v>19026</v>
      </c>
      <c r="N413" s="17" t="str">
        <f t="shared" si="27"/>
        <v>profit</v>
      </c>
    </row>
    <row r="414" spans="1:14" ht="15.6" thickTop="1" thickBot="1" x14ac:dyDescent="0.35">
      <c r="A414" s="15">
        <v>45464</v>
      </c>
      <c r="B414" s="15" t="s">
        <v>41</v>
      </c>
      <c r="C414" s="16" t="s">
        <v>139</v>
      </c>
      <c r="D414" s="16" t="s">
        <v>58</v>
      </c>
      <c r="E414" s="16" t="s">
        <v>123</v>
      </c>
      <c r="F414" s="16" t="s">
        <v>69</v>
      </c>
      <c r="G414" s="16" t="s">
        <v>8</v>
      </c>
      <c r="H414" s="16">
        <v>77</v>
      </c>
      <c r="I414" s="16">
        <v>923</v>
      </c>
      <c r="J414" s="16">
        <v>1132</v>
      </c>
      <c r="K414" s="17">
        <f t="shared" si="24"/>
        <v>71071</v>
      </c>
      <c r="L414" s="17">
        <f t="shared" si="25"/>
        <v>87164</v>
      </c>
      <c r="M414" s="17">
        <f t="shared" si="26"/>
        <v>16093</v>
      </c>
      <c r="N414" s="17" t="str">
        <f t="shared" si="27"/>
        <v>profit</v>
      </c>
    </row>
    <row r="415" spans="1:14" ht="15.6" thickTop="1" thickBot="1" x14ac:dyDescent="0.35">
      <c r="A415" s="15">
        <v>45384</v>
      </c>
      <c r="B415" s="15" t="s">
        <v>56</v>
      </c>
      <c r="C415" s="16" t="s">
        <v>155</v>
      </c>
      <c r="D415" s="16" t="s">
        <v>71</v>
      </c>
      <c r="E415" s="16" t="s">
        <v>156</v>
      </c>
      <c r="F415" s="16" t="s">
        <v>69</v>
      </c>
      <c r="G415" s="16" t="s">
        <v>12</v>
      </c>
      <c r="H415" s="16">
        <v>30</v>
      </c>
      <c r="I415" s="16">
        <v>719</v>
      </c>
      <c r="J415" s="16">
        <v>1162</v>
      </c>
      <c r="K415" s="17">
        <f t="shared" si="24"/>
        <v>21570</v>
      </c>
      <c r="L415" s="17">
        <f t="shared" si="25"/>
        <v>34860</v>
      </c>
      <c r="M415" s="17">
        <f t="shared" si="26"/>
        <v>13290</v>
      </c>
      <c r="N415" s="17" t="str">
        <f t="shared" si="27"/>
        <v>profit</v>
      </c>
    </row>
    <row r="416" spans="1:14" ht="15.6" thickTop="1" thickBot="1" x14ac:dyDescent="0.35">
      <c r="A416" s="15">
        <v>45385</v>
      </c>
      <c r="B416" s="15" t="s">
        <v>56</v>
      </c>
      <c r="C416" s="16" t="s">
        <v>157</v>
      </c>
      <c r="D416" s="16" t="s">
        <v>71</v>
      </c>
      <c r="E416" s="16" t="s">
        <v>156</v>
      </c>
      <c r="F416" s="16" t="s">
        <v>51</v>
      </c>
      <c r="G416" s="16" t="s">
        <v>12</v>
      </c>
      <c r="H416" s="16">
        <v>25</v>
      </c>
      <c r="I416" s="16">
        <v>980</v>
      </c>
      <c r="J416" s="16">
        <v>926</v>
      </c>
      <c r="K416" s="17">
        <f t="shared" si="24"/>
        <v>24500</v>
      </c>
      <c r="L416" s="17">
        <f t="shared" si="25"/>
        <v>23150</v>
      </c>
      <c r="M416" s="17">
        <f t="shared" si="26"/>
        <v>-1350</v>
      </c>
      <c r="N416" s="17" t="str">
        <f t="shared" si="27"/>
        <v>loss</v>
      </c>
    </row>
    <row r="417" spans="1:14" ht="15.6" thickTop="1" thickBot="1" x14ac:dyDescent="0.35">
      <c r="A417" s="15">
        <v>45386</v>
      </c>
      <c r="B417" s="15" t="s">
        <v>56</v>
      </c>
      <c r="C417" s="16" t="s">
        <v>159</v>
      </c>
      <c r="D417" s="16" t="s">
        <v>71</v>
      </c>
      <c r="E417" s="16" t="s">
        <v>156</v>
      </c>
      <c r="F417" s="16" t="s">
        <v>89</v>
      </c>
      <c r="G417" s="16" t="s">
        <v>12</v>
      </c>
      <c r="H417" s="16">
        <v>22</v>
      </c>
      <c r="I417" s="16">
        <v>718</v>
      </c>
      <c r="J417" s="16">
        <v>1335</v>
      </c>
      <c r="K417" s="17">
        <f t="shared" si="24"/>
        <v>15796</v>
      </c>
      <c r="L417" s="17">
        <f t="shared" si="25"/>
        <v>29370</v>
      </c>
      <c r="M417" s="17">
        <f t="shared" si="26"/>
        <v>13574</v>
      </c>
      <c r="N417" s="17" t="str">
        <f t="shared" si="27"/>
        <v>profit</v>
      </c>
    </row>
    <row r="418" spans="1:14" ht="15.6" thickTop="1" thickBot="1" x14ac:dyDescent="0.35">
      <c r="A418" s="15">
        <v>45391</v>
      </c>
      <c r="B418" s="15" t="s">
        <v>56</v>
      </c>
      <c r="C418" s="16" t="s">
        <v>160</v>
      </c>
      <c r="D418" s="16" t="s">
        <v>71</v>
      </c>
      <c r="E418" s="16" t="s">
        <v>72</v>
      </c>
      <c r="F418" s="16" t="s">
        <v>85</v>
      </c>
      <c r="G418" s="16" t="s">
        <v>8</v>
      </c>
      <c r="H418" s="16">
        <v>30</v>
      </c>
      <c r="I418" s="16">
        <v>520</v>
      </c>
      <c r="J418" s="16">
        <v>1251</v>
      </c>
      <c r="K418" s="17">
        <f t="shared" si="24"/>
        <v>15600</v>
      </c>
      <c r="L418" s="17">
        <f t="shared" si="25"/>
        <v>37530</v>
      </c>
      <c r="M418" s="17">
        <f t="shared" si="26"/>
        <v>21930</v>
      </c>
      <c r="N418" s="17" t="str">
        <f t="shared" si="27"/>
        <v>profit</v>
      </c>
    </row>
    <row r="419" spans="1:14" ht="15.6" thickTop="1" thickBot="1" x14ac:dyDescent="0.35">
      <c r="A419" s="15">
        <v>45392</v>
      </c>
      <c r="B419" s="15" t="s">
        <v>56</v>
      </c>
      <c r="C419" s="16" t="s">
        <v>161</v>
      </c>
      <c r="D419" s="16" t="s">
        <v>71</v>
      </c>
      <c r="E419" s="16" t="s">
        <v>72</v>
      </c>
      <c r="F419" s="16" t="s">
        <v>60</v>
      </c>
      <c r="G419" s="16" t="s">
        <v>8</v>
      </c>
      <c r="H419" s="16">
        <v>26</v>
      </c>
      <c r="I419" s="16">
        <v>808</v>
      </c>
      <c r="J419" s="16">
        <v>1135</v>
      </c>
      <c r="K419" s="17">
        <f t="shared" si="24"/>
        <v>21008</v>
      </c>
      <c r="L419" s="17">
        <f t="shared" si="25"/>
        <v>29510</v>
      </c>
      <c r="M419" s="17">
        <f t="shared" si="26"/>
        <v>8502</v>
      </c>
      <c r="N419" s="17" t="str">
        <f t="shared" si="27"/>
        <v>profit</v>
      </c>
    </row>
    <row r="420" spans="1:14" ht="15.6" thickTop="1" thickBot="1" x14ac:dyDescent="0.35">
      <c r="A420" s="15">
        <v>45393</v>
      </c>
      <c r="B420" s="15" t="s">
        <v>56</v>
      </c>
      <c r="C420" s="16" t="s">
        <v>162</v>
      </c>
      <c r="D420" s="16" t="s">
        <v>71</v>
      </c>
      <c r="E420" s="16" t="s">
        <v>72</v>
      </c>
      <c r="F420" s="16" t="s">
        <v>64</v>
      </c>
      <c r="G420" s="16" t="s">
        <v>8</v>
      </c>
      <c r="H420" s="16">
        <v>23</v>
      </c>
      <c r="I420" s="16">
        <v>504</v>
      </c>
      <c r="J420" s="16">
        <v>1328</v>
      </c>
      <c r="K420" s="17">
        <f t="shared" si="24"/>
        <v>11592</v>
      </c>
      <c r="L420" s="17">
        <f t="shared" si="25"/>
        <v>30544</v>
      </c>
      <c r="M420" s="17">
        <f t="shared" si="26"/>
        <v>18952</v>
      </c>
      <c r="N420" s="17" t="str">
        <f t="shared" si="27"/>
        <v>profit</v>
      </c>
    </row>
    <row r="421" spans="1:14" ht="15.6" thickTop="1" thickBot="1" x14ac:dyDescent="0.35">
      <c r="A421" s="15">
        <v>45394</v>
      </c>
      <c r="B421" s="15" t="s">
        <v>56</v>
      </c>
      <c r="C421" s="16" t="s">
        <v>164</v>
      </c>
      <c r="D421" s="16" t="s">
        <v>71</v>
      </c>
      <c r="E421" s="16" t="s">
        <v>72</v>
      </c>
      <c r="F421" s="16" t="s">
        <v>64</v>
      </c>
      <c r="G421" s="16" t="s">
        <v>8</v>
      </c>
      <c r="H421" s="16">
        <v>28</v>
      </c>
      <c r="I421" s="16">
        <v>918</v>
      </c>
      <c r="J421" s="16">
        <v>808</v>
      </c>
      <c r="K421" s="17">
        <f t="shared" si="24"/>
        <v>25704</v>
      </c>
      <c r="L421" s="17">
        <f t="shared" si="25"/>
        <v>22624</v>
      </c>
      <c r="M421" s="17">
        <f t="shared" si="26"/>
        <v>-3080</v>
      </c>
      <c r="N421" s="17" t="str">
        <f t="shared" si="27"/>
        <v>loss</v>
      </c>
    </row>
    <row r="422" spans="1:14" ht="15.6" thickTop="1" thickBot="1" x14ac:dyDescent="0.35">
      <c r="A422" s="15">
        <v>45396</v>
      </c>
      <c r="B422" s="15" t="s">
        <v>56</v>
      </c>
      <c r="C422" s="16" t="s">
        <v>165</v>
      </c>
      <c r="D422" s="16" t="s">
        <v>71</v>
      </c>
      <c r="E422" s="16" t="s">
        <v>72</v>
      </c>
      <c r="F422" s="16" t="s">
        <v>53</v>
      </c>
      <c r="G422" s="16" t="s">
        <v>8</v>
      </c>
      <c r="H422" s="16">
        <v>27</v>
      </c>
      <c r="I422" s="16">
        <v>966</v>
      </c>
      <c r="J422" s="16">
        <v>850</v>
      </c>
      <c r="K422" s="17">
        <f t="shared" si="24"/>
        <v>26082</v>
      </c>
      <c r="L422" s="17">
        <f t="shared" si="25"/>
        <v>22950</v>
      </c>
      <c r="M422" s="17">
        <f t="shared" si="26"/>
        <v>-3132</v>
      </c>
      <c r="N422" s="17" t="str">
        <f t="shared" si="27"/>
        <v>loss</v>
      </c>
    </row>
    <row r="423" spans="1:14" ht="15.6" thickTop="1" thickBot="1" x14ac:dyDescent="0.35">
      <c r="A423" s="15">
        <v>45404</v>
      </c>
      <c r="B423" s="15" t="s">
        <v>56</v>
      </c>
      <c r="C423" s="16" t="s">
        <v>167</v>
      </c>
      <c r="D423" s="16" t="s">
        <v>71</v>
      </c>
      <c r="E423" s="16" t="s">
        <v>88</v>
      </c>
      <c r="F423" s="16" t="s">
        <v>64</v>
      </c>
      <c r="G423" s="16" t="s">
        <v>12</v>
      </c>
      <c r="H423" s="16">
        <v>20</v>
      </c>
      <c r="I423" s="16">
        <v>664</v>
      </c>
      <c r="J423" s="16">
        <v>924</v>
      </c>
      <c r="K423" s="17">
        <f t="shared" si="24"/>
        <v>13280</v>
      </c>
      <c r="L423" s="17">
        <f t="shared" si="25"/>
        <v>18480</v>
      </c>
      <c r="M423" s="17">
        <f t="shared" si="26"/>
        <v>5200</v>
      </c>
      <c r="N423" s="17" t="str">
        <f t="shared" si="27"/>
        <v>profit</v>
      </c>
    </row>
    <row r="424" spans="1:14" ht="15.6" thickTop="1" thickBot="1" x14ac:dyDescent="0.35">
      <c r="A424" s="15">
        <v>45406</v>
      </c>
      <c r="B424" s="15" t="s">
        <v>56</v>
      </c>
      <c r="C424" s="16" t="s">
        <v>169</v>
      </c>
      <c r="D424" s="16" t="s">
        <v>71</v>
      </c>
      <c r="E424" s="16" t="s">
        <v>88</v>
      </c>
      <c r="F424" s="16" t="s">
        <v>89</v>
      </c>
      <c r="G424" s="16" t="s">
        <v>12</v>
      </c>
      <c r="H424" s="16">
        <v>26</v>
      </c>
      <c r="I424" s="16">
        <v>608</v>
      </c>
      <c r="J424" s="16">
        <v>1125</v>
      </c>
      <c r="K424" s="17">
        <f t="shared" si="24"/>
        <v>15808</v>
      </c>
      <c r="L424" s="17">
        <f t="shared" si="25"/>
        <v>29250</v>
      </c>
      <c r="M424" s="17">
        <f t="shared" si="26"/>
        <v>13442</v>
      </c>
      <c r="N424" s="17" t="str">
        <f t="shared" si="27"/>
        <v>profit</v>
      </c>
    </row>
    <row r="425" spans="1:14" ht="15.6" thickTop="1" thickBot="1" x14ac:dyDescent="0.35">
      <c r="A425" s="15">
        <v>45475</v>
      </c>
      <c r="B425" s="15" t="s">
        <v>65</v>
      </c>
      <c r="C425" s="16" t="s">
        <v>140</v>
      </c>
      <c r="D425" s="16" t="s">
        <v>43</v>
      </c>
      <c r="E425" s="16" t="s">
        <v>62</v>
      </c>
      <c r="F425" s="16" t="s">
        <v>69</v>
      </c>
      <c r="G425" s="16" t="s">
        <v>8</v>
      </c>
      <c r="H425" s="16">
        <v>19</v>
      </c>
      <c r="I425" s="16">
        <v>860</v>
      </c>
      <c r="J425" s="16">
        <v>1234</v>
      </c>
      <c r="K425" s="17">
        <f t="shared" si="24"/>
        <v>16340</v>
      </c>
      <c r="L425" s="17">
        <f t="shared" si="25"/>
        <v>23446</v>
      </c>
      <c r="M425" s="17">
        <f t="shared" si="26"/>
        <v>7106</v>
      </c>
      <c r="N425" s="17" t="str">
        <f t="shared" si="27"/>
        <v>profit</v>
      </c>
    </row>
    <row r="426" spans="1:14" ht="15.6" thickTop="1" thickBot="1" x14ac:dyDescent="0.35">
      <c r="A426" s="15">
        <v>45408</v>
      </c>
      <c r="B426" s="15" t="s">
        <v>56</v>
      </c>
      <c r="C426" s="16" t="s">
        <v>171</v>
      </c>
      <c r="D426" s="16" t="s">
        <v>71</v>
      </c>
      <c r="E426" s="16" t="s">
        <v>88</v>
      </c>
      <c r="F426" s="16" t="s">
        <v>64</v>
      </c>
      <c r="G426" s="16" t="s">
        <v>8</v>
      </c>
      <c r="H426" s="16">
        <v>24</v>
      </c>
      <c r="I426" s="16">
        <v>826</v>
      </c>
      <c r="J426" s="16">
        <v>975</v>
      </c>
      <c r="K426" s="17">
        <f t="shared" si="24"/>
        <v>19824</v>
      </c>
      <c r="L426" s="17">
        <f t="shared" si="25"/>
        <v>23400</v>
      </c>
      <c r="M426" s="17">
        <f t="shared" si="26"/>
        <v>3576</v>
      </c>
      <c r="N426" s="17" t="str">
        <f t="shared" si="27"/>
        <v>profit</v>
      </c>
    </row>
    <row r="427" spans="1:14" ht="15.6" thickTop="1" thickBot="1" x14ac:dyDescent="0.35">
      <c r="A427" s="15">
        <v>45409</v>
      </c>
      <c r="B427" s="15" t="s">
        <v>56</v>
      </c>
      <c r="C427" s="16" t="s">
        <v>172</v>
      </c>
      <c r="D427" s="16" t="s">
        <v>71</v>
      </c>
      <c r="E427" s="16" t="s">
        <v>88</v>
      </c>
      <c r="F427" s="16" t="s">
        <v>55</v>
      </c>
      <c r="G427" s="16" t="s">
        <v>8</v>
      </c>
      <c r="H427" s="16">
        <v>24</v>
      </c>
      <c r="I427" s="16">
        <v>877</v>
      </c>
      <c r="J427" s="16">
        <v>762</v>
      </c>
      <c r="K427" s="17">
        <f t="shared" si="24"/>
        <v>21048</v>
      </c>
      <c r="L427" s="17">
        <f t="shared" si="25"/>
        <v>18288</v>
      </c>
      <c r="M427" s="17">
        <f t="shared" si="26"/>
        <v>-2760</v>
      </c>
      <c r="N427" s="17" t="str">
        <f t="shared" si="27"/>
        <v>loss</v>
      </c>
    </row>
    <row r="428" spans="1:14" ht="15.6" thickTop="1" thickBot="1" x14ac:dyDescent="0.35">
      <c r="A428" s="15">
        <v>45410</v>
      </c>
      <c r="B428" s="15" t="s">
        <v>56</v>
      </c>
      <c r="C428" s="16" t="s">
        <v>173</v>
      </c>
      <c r="D428" s="16" t="s">
        <v>71</v>
      </c>
      <c r="E428" s="16" t="s">
        <v>88</v>
      </c>
      <c r="F428" s="16" t="s">
        <v>137</v>
      </c>
      <c r="G428" s="16" t="s">
        <v>8</v>
      </c>
      <c r="H428" s="16">
        <v>23</v>
      </c>
      <c r="I428" s="16">
        <v>736</v>
      </c>
      <c r="J428" s="16">
        <v>872</v>
      </c>
      <c r="K428" s="17">
        <f t="shared" si="24"/>
        <v>16928</v>
      </c>
      <c r="L428" s="17">
        <f t="shared" si="25"/>
        <v>20056</v>
      </c>
      <c r="M428" s="17">
        <f t="shared" si="26"/>
        <v>3128</v>
      </c>
      <c r="N428" s="17" t="str">
        <f t="shared" si="27"/>
        <v>profit</v>
      </c>
    </row>
    <row r="429" spans="1:14" ht="15.6" thickTop="1" thickBot="1" x14ac:dyDescent="0.35">
      <c r="A429" s="15">
        <v>45411</v>
      </c>
      <c r="B429" s="15" t="s">
        <v>56</v>
      </c>
      <c r="C429" s="16" t="s">
        <v>174</v>
      </c>
      <c r="D429" s="16" t="s">
        <v>71</v>
      </c>
      <c r="E429" s="16" t="s">
        <v>88</v>
      </c>
      <c r="F429" s="16" t="s">
        <v>69</v>
      </c>
      <c r="G429" s="16" t="s">
        <v>8</v>
      </c>
      <c r="H429" s="16">
        <v>27</v>
      </c>
      <c r="I429" s="16">
        <v>828</v>
      </c>
      <c r="J429" s="16">
        <v>1008</v>
      </c>
      <c r="K429" s="17">
        <f t="shared" si="24"/>
        <v>22356</v>
      </c>
      <c r="L429" s="17">
        <f t="shared" si="25"/>
        <v>27216</v>
      </c>
      <c r="M429" s="17">
        <f t="shared" si="26"/>
        <v>4860</v>
      </c>
      <c r="N429" s="17" t="str">
        <f t="shared" si="27"/>
        <v>profit</v>
      </c>
    </row>
    <row r="430" spans="1:14" ht="15.6" thickTop="1" thickBot="1" x14ac:dyDescent="0.35">
      <c r="A430" s="15">
        <v>45412</v>
      </c>
      <c r="B430" s="15" t="s">
        <v>56</v>
      </c>
      <c r="C430" s="16" t="s">
        <v>175</v>
      </c>
      <c r="D430" s="16" t="s">
        <v>71</v>
      </c>
      <c r="E430" s="16" t="s">
        <v>88</v>
      </c>
      <c r="F430" s="16" t="s">
        <v>176</v>
      </c>
      <c r="G430" s="16" t="s">
        <v>8</v>
      </c>
      <c r="H430" s="16">
        <v>28</v>
      </c>
      <c r="I430" s="16">
        <v>901</v>
      </c>
      <c r="J430" s="16">
        <v>1260</v>
      </c>
      <c r="K430" s="17">
        <f t="shared" si="24"/>
        <v>25228</v>
      </c>
      <c r="L430" s="17">
        <f t="shared" si="25"/>
        <v>35280</v>
      </c>
      <c r="M430" s="17">
        <f t="shared" si="26"/>
        <v>10052</v>
      </c>
      <c r="N430" s="17" t="str">
        <f t="shared" si="27"/>
        <v>profit</v>
      </c>
    </row>
    <row r="431" spans="1:14" ht="15.6" thickTop="1" thickBot="1" x14ac:dyDescent="0.35">
      <c r="A431" s="15">
        <v>45413</v>
      </c>
      <c r="B431" s="15" t="s">
        <v>121</v>
      </c>
      <c r="C431" s="16" t="s">
        <v>177</v>
      </c>
      <c r="D431" s="16" t="s">
        <v>71</v>
      </c>
      <c r="E431" s="16" t="s">
        <v>88</v>
      </c>
      <c r="F431" s="16" t="s">
        <v>178</v>
      </c>
      <c r="G431" s="16" t="s">
        <v>8</v>
      </c>
      <c r="H431" s="16">
        <v>28</v>
      </c>
      <c r="I431" s="16">
        <v>796</v>
      </c>
      <c r="J431" s="16">
        <v>1407</v>
      </c>
      <c r="K431" s="17">
        <f t="shared" si="24"/>
        <v>22288</v>
      </c>
      <c r="L431" s="17">
        <f t="shared" si="25"/>
        <v>39396</v>
      </c>
      <c r="M431" s="17">
        <f t="shared" si="26"/>
        <v>17108</v>
      </c>
      <c r="N431" s="17" t="str">
        <f t="shared" si="27"/>
        <v>profit</v>
      </c>
    </row>
    <row r="432" spans="1:14" ht="15.6" thickTop="1" thickBot="1" x14ac:dyDescent="0.35">
      <c r="A432" s="15">
        <v>45414</v>
      </c>
      <c r="B432" s="15" t="s">
        <v>121</v>
      </c>
      <c r="C432" s="16" t="s">
        <v>179</v>
      </c>
      <c r="D432" s="16" t="s">
        <v>71</v>
      </c>
      <c r="E432" s="16" t="s">
        <v>88</v>
      </c>
      <c r="F432" s="16" t="s">
        <v>45</v>
      </c>
      <c r="G432" s="16" t="s">
        <v>12</v>
      </c>
      <c r="H432" s="16">
        <v>27</v>
      </c>
      <c r="I432" s="16">
        <v>794</v>
      </c>
      <c r="J432" s="16">
        <v>905</v>
      </c>
      <c r="K432" s="17">
        <f t="shared" si="24"/>
        <v>21438</v>
      </c>
      <c r="L432" s="17">
        <f t="shared" si="25"/>
        <v>24435</v>
      </c>
      <c r="M432" s="17">
        <f t="shared" si="26"/>
        <v>2997</v>
      </c>
      <c r="N432" s="17" t="str">
        <f t="shared" si="27"/>
        <v>profit</v>
      </c>
    </row>
    <row r="433" spans="1:14" ht="15.6" thickTop="1" thickBot="1" x14ac:dyDescent="0.35">
      <c r="A433" s="15">
        <v>45415</v>
      </c>
      <c r="B433" s="15" t="s">
        <v>121</v>
      </c>
      <c r="C433" s="16" t="s">
        <v>180</v>
      </c>
      <c r="D433" s="16" t="s">
        <v>71</v>
      </c>
      <c r="E433" s="16" t="s">
        <v>88</v>
      </c>
      <c r="F433" s="16" t="s">
        <v>47</v>
      </c>
      <c r="G433" s="16" t="s">
        <v>12</v>
      </c>
      <c r="H433" s="16">
        <v>20</v>
      </c>
      <c r="I433" s="16">
        <v>812</v>
      </c>
      <c r="J433" s="16">
        <v>1248</v>
      </c>
      <c r="K433" s="17">
        <f t="shared" si="24"/>
        <v>16240</v>
      </c>
      <c r="L433" s="17">
        <f t="shared" si="25"/>
        <v>24960</v>
      </c>
      <c r="M433" s="17">
        <f t="shared" si="26"/>
        <v>8720</v>
      </c>
      <c r="N433" s="17" t="str">
        <f t="shared" si="27"/>
        <v>profit</v>
      </c>
    </row>
    <row r="434" spans="1:14" ht="15.6" thickTop="1" thickBot="1" x14ac:dyDescent="0.35">
      <c r="A434" s="15">
        <v>45416</v>
      </c>
      <c r="B434" s="15" t="s">
        <v>121</v>
      </c>
      <c r="C434" s="16" t="s">
        <v>181</v>
      </c>
      <c r="D434" s="16" t="s">
        <v>71</v>
      </c>
      <c r="E434" s="16" t="s">
        <v>88</v>
      </c>
      <c r="F434" s="16" t="s">
        <v>49</v>
      </c>
      <c r="G434" s="16" t="s">
        <v>12</v>
      </c>
      <c r="H434" s="16">
        <v>20</v>
      </c>
      <c r="I434" s="16">
        <v>908</v>
      </c>
      <c r="J434" s="16">
        <v>1130</v>
      </c>
      <c r="K434" s="17">
        <f t="shared" si="24"/>
        <v>18160</v>
      </c>
      <c r="L434" s="17">
        <f t="shared" si="25"/>
        <v>22600</v>
      </c>
      <c r="M434" s="17">
        <f t="shared" si="26"/>
        <v>4440</v>
      </c>
      <c r="N434" s="17" t="str">
        <f t="shared" si="27"/>
        <v>profit</v>
      </c>
    </row>
    <row r="435" spans="1:14" ht="15.6" thickTop="1" thickBot="1" x14ac:dyDescent="0.35">
      <c r="A435" s="15">
        <v>45417</v>
      </c>
      <c r="B435" s="15" t="s">
        <v>121</v>
      </c>
      <c r="C435" s="16" t="s">
        <v>182</v>
      </c>
      <c r="D435" s="16" t="s">
        <v>71</v>
      </c>
      <c r="E435" s="16" t="s">
        <v>88</v>
      </c>
      <c r="F435" s="16" t="s">
        <v>51</v>
      </c>
      <c r="G435" s="16" t="s">
        <v>12</v>
      </c>
      <c r="H435" s="16">
        <v>23</v>
      </c>
      <c r="I435" s="16">
        <v>846</v>
      </c>
      <c r="J435" s="16">
        <v>1143</v>
      </c>
      <c r="K435" s="17">
        <f t="shared" si="24"/>
        <v>19458</v>
      </c>
      <c r="L435" s="17">
        <f t="shared" si="25"/>
        <v>26289</v>
      </c>
      <c r="M435" s="17">
        <f t="shared" si="26"/>
        <v>6831</v>
      </c>
      <c r="N435" s="17" t="str">
        <f t="shared" si="27"/>
        <v>profit</v>
      </c>
    </row>
    <row r="436" spans="1:14" ht="15.6" thickTop="1" thickBot="1" x14ac:dyDescent="0.35">
      <c r="A436" s="15">
        <v>45418</v>
      </c>
      <c r="B436" s="15" t="s">
        <v>121</v>
      </c>
      <c r="C436" s="16" t="s">
        <v>183</v>
      </c>
      <c r="D436" s="16" t="s">
        <v>71</v>
      </c>
      <c r="E436" s="16" t="s">
        <v>88</v>
      </c>
      <c r="F436" s="16" t="s">
        <v>51</v>
      </c>
      <c r="G436" s="16" t="s">
        <v>8</v>
      </c>
      <c r="H436" s="16">
        <v>25</v>
      </c>
      <c r="I436" s="16">
        <v>627</v>
      </c>
      <c r="J436" s="16">
        <v>1071</v>
      </c>
      <c r="K436" s="17">
        <f t="shared" si="24"/>
        <v>15675</v>
      </c>
      <c r="L436" s="17">
        <f t="shared" si="25"/>
        <v>26775</v>
      </c>
      <c r="M436" s="17">
        <f t="shared" si="26"/>
        <v>11100</v>
      </c>
      <c r="N436" s="17" t="str">
        <f t="shared" si="27"/>
        <v>profit</v>
      </c>
    </row>
    <row r="437" spans="1:14" ht="15.6" thickTop="1" thickBot="1" x14ac:dyDescent="0.35">
      <c r="A437" s="15">
        <v>45419</v>
      </c>
      <c r="B437" s="15" t="s">
        <v>121</v>
      </c>
      <c r="C437" s="16" t="s">
        <v>187</v>
      </c>
      <c r="D437" s="16" t="s">
        <v>71</v>
      </c>
      <c r="E437" s="16" t="s">
        <v>10</v>
      </c>
      <c r="F437" s="16" t="s">
        <v>53</v>
      </c>
      <c r="G437" s="16" t="s">
        <v>8</v>
      </c>
      <c r="H437" s="16">
        <v>27</v>
      </c>
      <c r="I437" s="16">
        <v>817</v>
      </c>
      <c r="J437" s="16">
        <v>977</v>
      </c>
      <c r="K437" s="17">
        <f t="shared" si="24"/>
        <v>22059</v>
      </c>
      <c r="L437" s="17">
        <f t="shared" si="25"/>
        <v>26379</v>
      </c>
      <c r="M437" s="17">
        <f t="shared" si="26"/>
        <v>4320</v>
      </c>
      <c r="N437" s="17" t="str">
        <f t="shared" si="27"/>
        <v>profit</v>
      </c>
    </row>
    <row r="438" spans="1:14" ht="15.6" thickTop="1" thickBot="1" x14ac:dyDescent="0.35">
      <c r="A438" s="15">
        <v>45488</v>
      </c>
      <c r="B438" s="15" t="s">
        <v>65</v>
      </c>
      <c r="C438" s="16" t="s">
        <v>141</v>
      </c>
      <c r="D438" s="16" t="s">
        <v>71</v>
      </c>
      <c r="E438" s="16" t="s">
        <v>10</v>
      </c>
      <c r="F438" s="16" t="s">
        <v>64</v>
      </c>
      <c r="G438" s="16" t="s">
        <v>8</v>
      </c>
      <c r="H438" s="16">
        <v>29</v>
      </c>
      <c r="I438" s="16">
        <v>929</v>
      </c>
      <c r="J438" s="16">
        <v>1429</v>
      </c>
      <c r="K438" s="17">
        <f t="shared" si="24"/>
        <v>26941</v>
      </c>
      <c r="L438" s="17">
        <f t="shared" si="25"/>
        <v>41441</v>
      </c>
      <c r="M438" s="17">
        <f t="shared" si="26"/>
        <v>14500</v>
      </c>
      <c r="N438" s="17" t="str">
        <f t="shared" si="27"/>
        <v>profit</v>
      </c>
    </row>
    <row r="439" spans="1:14" ht="15.6" thickTop="1" thickBot="1" x14ac:dyDescent="0.35">
      <c r="A439" s="15">
        <v>45420</v>
      </c>
      <c r="B439" s="15" t="s">
        <v>121</v>
      </c>
      <c r="C439" s="16" t="s">
        <v>188</v>
      </c>
      <c r="D439" s="16" t="s">
        <v>71</v>
      </c>
      <c r="E439" s="16" t="s">
        <v>10</v>
      </c>
      <c r="F439" s="16" t="s">
        <v>55</v>
      </c>
      <c r="G439" s="16" t="s">
        <v>8</v>
      </c>
      <c r="H439" s="16">
        <v>27</v>
      </c>
      <c r="I439" s="16">
        <v>675</v>
      </c>
      <c r="J439" s="16">
        <v>1138</v>
      </c>
      <c r="K439" s="17">
        <f t="shared" si="24"/>
        <v>18225</v>
      </c>
      <c r="L439" s="17">
        <f t="shared" si="25"/>
        <v>30726</v>
      </c>
      <c r="M439" s="17">
        <f t="shared" si="26"/>
        <v>12501</v>
      </c>
      <c r="N439" s="17" t="str">
        <f t="shared" si="27"/>
        <v>profit</v>
      </c>
    </row>
    <row r="440" spans="1:14" ht="15.6" thickTop="1" thickBot="1" x14ac:dyDescent="0.35">
      <c r="A440" s="15">
        <v>45421</v>
      </c>
      <c r="B440" s="15" t="s">
        <v>121</v>
      </c>
      <c r="C440" s="16" t="s">
        <v>190</v>
      </c>
      <c r="D440" s="16" t="s">
        <v>71</v>
      </c>
      <c r="E440" s="16" t="s">
        <v>10</v>
      </c>
      <c r="F440" s="16" t="s">
        <v>51</v>
      </c>
      <c r="G440" s="16" t="s">
        <v>8</v>
      </c>
      <c r="H440" s="16">
        <v>22</v>
      </c>
      <c r="I440" s="16">
        <v>695</v>
      </c>
      <c r="J440" s="16">
        <v>830</v>
      </c>
      <c r="K440" s="17">
        <f t="shared" si="24"/>
        <v>15290</v>
      </c>
      <c r="L440" s="17">
        <f t="shared" si="25"/>
        <v>18260</v>
      </c>
      <c r="M440" s="17">
        <f t="shared" si="26"/>
        <v>2970</v>
      </c>
      <c r="N440" s="17" t="str">
        <f t="shared" si="27"/>
        <v>profit</v>
      </c>
    </row>
    <row r="441" spans="1:14" ht="15.6" thickTop="1" thickBot="1" x14ac:dyDescent="0.35">
      <c r="A441" s="15">
        <v>45422</v>
      </c>
      <c r="B441" s="15" t="s">
        <v>121</v>
      </c>
      <c r="C441" s="16" t="s">
        <v>191</v>
      </c>
      <c r="D441" s="16" t="s">
        <v>71</v>
      </c>
      <c r="E441" s="16" t="s">
        <v>10</v>
      </c>
      <c r="F441" s="16" t="s">
        <v>100</v>
      </c>
      <c r="G441" s="16" t="s">
        <v>8</v>
      </c>
      <c r="H441" s="16">
        <v>21</v>
      </c>
      <c r="I441" s="16">
        <v>781</v>
      </c>
      <c r="J441" s="16">
        <v>816</v>
      </c>
      <c r="K441" s="17">
        <f t="shared" si="24"/>
        <v>16401</v>
      </c>
      <c r="L441" s="17">
        <f t="shared" si="25"/>
        <v>17136</v>
      </c>
      <c r="M441" s="17">
        <f t="shared" si="26"/>
        <v>735</v>
      </c>
      <c r="N441" s="17" t="str">
        <f t="shared" si="27"/>
        <v>profit</v>
      </c>
    </row>
    <row r="442" spans="1:14" ht="15.6" thickTop="1" thickBot="1" x14ac:dyDescent="0.35">
      <c r="A442" s="15">
        <v>45423</v>
      </c>
      <c r="B442" s="15" t="s">
        <v>121</v>
      </c>
      <c r="C442" s="16" t="s">
        <v>192</v>
      </c>
      <c r="D442" s="16" t="s">
        <v>71</v>
      </c>
      <c r="E442" s="16" t="s">
        <v>10</v>
      </c>
      <c r="F442" s="16" t="s">
        <v>7</v>
      </c>
      <c r="G442" s="16" t="s">
        <v>8</v>
      </c>
      <c r="H442" s="16">
        <v>25</v>
      </c>
      <c r="I442" s="16">
        <v>517</v>
      </c>
      <c r="J442" s="16">
        <v>939</v>
      </c>
      <c r="K442" s="17">
        <f t="shared" si="24"/>
        <v>12925</v>
      </c>
      <c r="L442" s="17">
        <f t="shared" si="25"/>
        <v>23475</v>
      </c>
      <c r="M442" s="17">
        <f t="shared" si="26"/>
        <v>10550</v>
      </c>
      <c r="N442" s="17" t="str">
        <f t="shared" si="27"/>
        <v>profit</v>
      </c>
    </row>
    <row r="443" spans="1:14" ht="15.6" thickTop="1" thickBot="1" x14ac:dyDescent="0.35">
      <c r="A443" s="15">
        <v>45424</v>
      </c>
      <c r="B443" s="15" t="s">
        <v>121</v>
      </c>
      <c r="C443" s="16" t="s">
        <v>193</v>
      </c>
      <c r="D443" s="16" t="s">
        <v>71</v>
      </c>
      <c r="E443" s="16" t="s">
        <v>10</v>
      </c>
      <c r="F443" s="16" t="s">
        <v>69</v>
      </c>
      <c r="G443" s="16" t="s">
        <v>8</v>
      </c>
      <c r="H443" s="16">
        <v>24</v>
      </c>
      <c r="I443" s="16">
        <v>730</v>
      </c>
      <c r="J443" s="16">
        <v>886</v>
      </c>
      <c r="K443" s="17">
        <f t="shared" si="24"/>
        <v>17520</v>
      </c>
      <c r="L443" s="17">
        <f t="shared" si="25"/>
        <v>21264</v>
      </c>
      <c r="M443" s="17">
        <f t="shared" si="26"/>
        <v>3744</v>
      </c>
      <c r="N443" s="17" t="str">
        <f t="shared" si="27"/>
        <v>profit</v>
      </c>
    </row>
    <row r="444" spans="1:14" ht="15.6" thickTop="1" thickBot="1" x14ac:dyDescent="0.35">
      <c r="A444" s="15">
        <v>45425</v>
      </c>
      <c r="B444" s="15" t="s">
        <v>121</v>
      </c>
      <c r="C444" s="16" t="s">
        <v>195</v>
      </c>
      <c r="D444" s="16" t="s">
        <v>71</v>
      </c>
      <c r="E444" s="16" t="s">
        <v>10</v>
      </c>
      <c r="F444" s="16" t="s">
        <v>51</v>
      </c>
      <c r="G444" s="16" t="s">
        <v>8</v>
      </c>
      <c r="H444" s="16">
        <v>23</v>
      </c>
      <c r="I444" s="16">
        <v>811</v>
      </c>
      <c r="J444" s="16">
        <v>1142</v>
      </c>
      <c r="K444" s="17">
        <f t="shared" si="24"/>
        <v>18653</v>
      </c>
      <c r="L444" s="17">
        <f t="shared" si="25"/>
        <v>26266</v>
      </c>
      <c r="M444" s="17">
        <f t="shared" si="26"/>
        <v>7613</v>
      </c>
      <c r="N444" s="17" t="str">
        <f t="shared" si="27"/>
        <v>profit</v>
      </c>
    </row>
    <row r="445" spans="1:14" ht="15.6" thickTop="1" thickBot="1" x14ac:dyDescent="0.35">
      <c r="A445" s="15">
        <v>45426</v>
      </c>
      <c r="B445" s="15" t="s">
        <v>121</v>
      </c>
      <c r="C445" s="16" t="s">
        <v>196</v>
      </c>
      <c r="D445" s="16" t="s">
        <v>71</v>
      </c>
      <c r="E445" s="16" t="s">
        <v>10</v>
      </c>
      <c r="F445" s="16" t="s">
        <v>89</v>
      </c>
      <c r="G445" s="16" t="s">
        <v>8</v>
      </c>
      <c r="H445" s="16">
        <v>21</v>
      </c>
      <c r="I445" s="16">
        <v>967</v>
      </c>
      <c r="J445" s="16">
        <v>888</v>
      </c>
      <c r="K445" s="17">
        <f t="shared" si="24"/>
        <v>20307</v>
      </c>
      <c r="L445" s="17">
        <f t="shared" si="25"/>
        <v>18648</v>
      </c>
      <c r="M445" s="17">
        <f t="shared" si="26"/>
        <v>-1659</v>
      </c>
      <c r="N445" s="17" t="str">
        <f t="shared" si="27"/>
        <v>loss</v>
      </c>
    </row>
    <row r="446" spans="1:14" ht="15.6" thickTop="1" thickBot="1" x14ac:dyDescent="0.35">
      <c r="A446" s="15">
        <v>45427</v>
      </c>
      <c r="B446" s="15" t="s">
        <v>121</v>
      </c>
      <c r="C446" s="16" t="s">
        <v>197</v>
      </c>
      <c r="D446" s="16" t="s">
        <v>71</v>
      </c>
      <c r="E446" s="16" t="s">
        <v>10</v>
      </c>
      <c r="F446" s="16" t="s">
        <v>100</v>
      </c>
      <c r="G446" s="16" t="s">
        <v>8</v>
      </c>
      <c r="H446" s="16">
        <v>29</v>
      </c>
      <c r="I446" s="16">
        <v>655</v>
      </c>
      <c r="J446" s="16">
        <v>950</v>
      </c>
      <c r="K446" s="17">
        <f t="shared" si="24"/>
        <v>18995</v>
      </c>
      <c r="L446" s="17">
        <f t="shared" si="25"/>
        <v>27550</v>
      </c>
      <c r="M446" s="17">
        <f t="shared" si="26"/>
        <v>8555</v>
      </c>
      <c r="N446" s="17" t="str">
        <f t="shared" si="27"/>
        <v>profit</v>
      </c>
    </row>
    <row r="447" spans="1:14" ht="15.6" thickTop="1" thickBot="1" x14ac:dyDescent="0.35">
      <c r="A447" s="15">
        <v>45428</v>
      </c>
      <c r="B447" s="15" t="s">
        <v>121</v>
      </c>
      <c r="C447" s="16" t="s">
        <v>199</v>
      </c>
      <c r="D447" s="16" t="s">
        <v>71</v>
      </c>
      <c r="E447" s="16" t="s">
        <v>10</v>
      </c>
      <c r="F447" s="16" t="s">
        <v>102</v>
      </c>
      <c r="G447" s="16" t="s">
        <v>12</v>
      </c>
      <c r="H447" s="16">
        <v>30</v>
      </c>
      <c r="I447" s="16">
        <v>616</v>
      </c>
      <c r="J447" s="16">
        <v>804</v>
      </c>
      <c r="K447" s="17">
        <f t="shared" si="24"/>
        <v>18480</v>
      </c>
      <c r="L447" s="17">
        <f t="shared" si="25"/>
        <v>24120</v>
      </c>
      <c r="M447" s="17">
        <f t="shared" si="26"/>
        <v>5640</v>
      </c>
      <c r="N447" s="17" t="str">
        <f t="shared" si="27"/>
        <v>profit</v>
      </c>
    </row>
    <row r="448" spans="1:14" ht="15.6" thickTop="1" thickBot="1" x14ac:dyDescent="0.35">
      <c r="A448" s="15">
        <v>45429</v>
      </c>
      <c r="B448" s="15" t="s">
        <v>121</v>
      </c>
      <c r="C448" s="16" t="s">
        <v>201</v>
      </c>
      <c r="D448" s="16" t="s">
        <v>71</v>
      </c>
      <c r="E448" s="16" t="s">
        <v>10</v>
      </c>
      <c r="F448" s="16" t="s">
        <v>60</v>
      </c>
      <c r="G448" s="16" t="s">
        <v>12</v>
      </c>
      <c r="H448" s="16">
        <v>30</v>
      </c>
      <c r="I448" s="16">
        <v>709</v>
      </c>
      <c r="J448" s="16">
        <v>1209</v>
      </c>
      <c r="K448" s="17">
        <f t="shared" si="24"/>
        <v>21270</v>
      </c>
      <c r="L448" s="17">
        <f t="shared" si="25"/>
        <v>36270</v>
      </c>
      <c r="M448" s="17">
        <f t="shared" si="26"/>
        <v>15000</v>
      </c>
      <c r="N448" s="17" t="str">
        <f t="shared" si="27"/>
        <v>profit</v>
      </c>
    </row>
    <row r="449" spans="1:14" ht="15.6" thickTop="1" thickBot="1" x14ac:dyDescent="0.35">
      <c r="A449" s="15">
        <v>45430</v>
      </c>
      <c r="B449" s="15" t="s">
        <v>121</v>
      </c>
      <c r="C449" s="16" t="s">
        <v>202</v>
      </c>
      <c r="D449" s="16" t="s">
        <v>71</v>
      </c>
      <c r="E449" s="16" t="s">
        <v>10</v>
      </c>
      <c r="F449" s="16" t="s">
        <v>69</v>
      </c>
      <c r="G449" s="16" t="s">
        <v>12</v>
      </c>
      <c r="H449" s="16">
        <v>23</v>
      </c>
      <c r="I449" s="16">
        <v>875</v>
      </c>
      <c r="J449" s="16">
        <v>843</v>
      </c>
      <c r="K449" s="17">
        <f t="shared" si="24"/>
        <v>20125</v>
      </c>
      <c r="L449" s="17">
        <f t="shared" si="25"/>
        <v>19389</v>
      </c>
      <c r="M449" s="17">
        <f t="shared" si="26"/>
        <v>-736</v>
      </c>
      <c r="N449" s="17" t="str">
        <f t="shared" si="27"/>
        <v>loss</v>
      </c>
    </row>
    <row r="450" spans="1:14" ht="15.6" thickTop="1" thickBot="1" x14ac:dyDescent="0.35">
      <c r="A450" s="15">
        <v>45484</v>
      </c>
      <c r="B450" s="15" t="s">
        <v>65</v>
      </c>
      <c r="C450" s="16" t="s">
        <v>203</v>
      </c>
      <c r="D450" s="16" t="s">
        <v>71</v>
      </c>
      <c r="E450" s="16" t="s">
        <v>10</v>
      </c>
      <c r="F450" s="16" t="s">
        <v>64</v>
      </c>
      <c r="G450" s="16" t="s">
        <v>12</v>
      </c>
      <c r="H450" s="16">
        <v>26</v>
      </c>
      <c r="I450" s="16">
        <v>766</v>
      </c>
      <c r="J450" s="16">
        <v>836</v>
      </c>
      <c r="K450" s="17">
        <f t="shared" ref="K450:K513" si="28">H450*I450</f>
        <v>19916</v>
      </c>
      <c r="L450" s="17">
        <f t="shared" ref="L450:L513" si="29">H450*J450</f>
        <v>21736</v>
      </c>
      <c r="M450" s="17">
        <f t="shared" ref="M450:M513" si="30">L450-K450</f>
        <v>1820</v>
      </c>
      <c r="N450" s="17" t="str">
        <f t="shared" ref="N450:N513" si="31">IF(M450&gt;0,"profit","loss")</f>
        <v>profit</v>
      </c>
    </row>
    <row r="451" spans="1:14" ht="15.6" thickTop="1" thickBot="1" x14ac:dyDescent="0.35">
      <c r="A451" s="15">
        <v>45485</v>
      </c>
      <c r="B451" s="15" t="s">
        <v>65</v>
      </c>
      <c r="C451" s="16" t="s">
        <v>204</v>
      </c>
      <c r="D451" s="16" t="s">
        <v>71</v>
      </c>
      <c r="E451" s="16" t="s">
        <v>10</v>
      </c>
      <c r="F451" s="16" t="s">
        <v>89</v>
      </c>
      <c r="G451" s="16" t="s">
        <v>12</v>
      </c>
      <c r="H451" s="16">
        <v>23</v>
      </c>
      <c r="I451" s="16">
        <v>589</v>
      </c>
      <c r="J451" s="16">
        <v>982</v>
      </c>
      <c r="K451" s="17">
        <f t="shared" si="28"/>
        <v>13547</v>
      </c>
      <c r="L451" s="17">
        <f t="shared" si="29"/>
        <v>22586</v>
      </c>
      <c r="M451" s="17">
        <f t="shared" si="30"/>
        <v>9039</v>
      </c>
      <c r="N451" s="17" t="str">
        <f t="shared" si="31"/>
        <v>profit</v>
      </c>
    </row>
    <row r="452" spans="1:14" ht="15.6" thickTop="1" thickBot="1" x14ac:dyDescent="0.35">
      <c r="A452" s="15">
        <v>45486</v>
      </c>
      <c r="B452" s="15" t="s">
        <v>65</v>
      </c>
      <c r="C452" s="16" t="s">
        <v>205</v>
      </c>
      <c r="D452" s="16" t="s">
        <v>71</v>
      </c>
      <c r="E452" s="16" t="s">
        <v>10</v>
      </c>
      <c r="F452" s="16" t="s">
        <v>89</v>
      </c>
      <c r="G452" s="16" t="s">
        <v>12</v>
      </c>
      <c r="H452" s="16">
        <v>24</v>
      </c>
      <c r="I452" s="16">
        <v>718</v>
      </c>
      <c r="J452" s="16">
        <v>1218</v>
      </c>
      <c r="K452" s="17">
        <f t="shared" si="28"/>
        <v>17232</v>
      </c>
      <c r="L452" s="17">
        <f t="shared" si="29"/>
        <v>29232</v>
      </c>
      <c r="M452" s="17">
        <f t="shared" si="30"/>
        <v>12000</v>
      </c>
      <c r="N452" s="17" t="str">
        <f t="shared" si="31"/>
        <v>profit</v>
      </c>
    </row>
    <row r="453" spans="1:14" ht="15.6" thickTop="1" thickBot="1" x14ac:dyDescent="0.35">
      <c r="A453" s="15">
        <v>45487</v>
      </c>
      <c r="B453" s="15" t="s">
        <v>65</v>
      </c>
      <c r="C453" s="16" t="s">
        <v>206</v>
      </c>
      <c r="D453" s="16" t="s">
        <v>71</v>
      </c>
      <c r="E453" s="16" t="s">
        <v>10</v>
      </c>
      <c r="F453" s="16" t="s">
        <v>85</v>
      </c>
      <c r="G453" s="16" t="s">
        <v>12</v>
      </c>
      <c r="H453" s="16">
        <v>22</v>
      </c>
      <c r="I453" s="16">
        <v>877</v>
      </c>
      <c r="J453" s="16">
        <v>1120</v>
      </c>
      <c r="K453" s="17">
        <f t="shared" si="28"/>
        <v>19294</v>
      </c>
      <c r="L453" s="17">
        <f t="shared" si="29"/>
        <v>24640</v>
      </c>
      <c r="M453" s="17">
        <f t="shared" si="30"/>
        <v>5346</v>
      </c>
      <c r="N453" s="17" t="str">
        <f t="shared" si="31"/>
        <v>profit</v>
      </c>
    </row>
    <row r="454" spans="1:14" ht="15.6" thickTop="1" thickBot="1" x14ac:dyDescent="0.35">
      <c r="A454" s="15">
        <v>45489</v>
      </c>
      <c r="B454" s="15" t="s">
        <v>65</v>
      </c>
      <c r="C454" s="16" t="s">
        <v>207</v>
      </c>
      <c r="D454" s="16" t="s">
        <v>71</v>
      </c>
      <c r="E454" s="16" t="s">
        <v>10</v>
      </c>
      <c r="F454" s="16" t="s">
        <v>55</v>
      </c>
      <c r="G454" s="16" t="s">
        <v>8</v>
      </c>
      <c r="H454" s="16">
        <v>23</v>
      </c>
      <c r="I454" s="16">
        <v>641</v>
      </c>
      <c r="J454" s="16">
        <v>1445</v>
      </c>
      <c r="K454" s="17">
        <f t="shared" si="28"/>
        <v>14743</v>
      </c>
      <c r="L454" s="17">
        <f t="shared" si="29"/>
        <v>33235</v>
      </c>
      <c r="M454" s="17">
        <f t="shared" si="30"/>
        <v>18492</v>
      </c>
      <c r="N454" s="17" t="str">
        <f t="shared" si="31"/>
        <v>profit</v>
      </c>
    </row>
    <row r="455" spans="1:14" ht="15.6" thickTop="1" thickBot="1" x14ac:dyDescent="0.35">
      <c r="A455" s="15">
        <v>45490</v>
      </c>
      <c r="B455" s="15" t="s">
        <v>65</v>
      </c>
      <c r="C455" s="16" t="s">
        <v>208</v>
      </c>
      <c r="D455" s="16" t="s">
        <v>71</v>
      </c>
      <c r="E455" s="16" t="s">
        <v>10</v>
      </c>
      <c r="F455" s="16" t="s">
        <v>137</v>
      </c>
      <c r="G455" s="16" t="s">
        <v>8</v>
      </c>
      <c r="H455" s="16">
        <v>30</v>
      </c>
      <c r="I455" s="16">
        <v>916</v>
      </c>
      <c r="J455" s="16">
        <v>1497</v>
      </c>
      <c r="K455" s="17">
        <f t="shared" si="28"/>
        <v>27480</v>
      </c>
      <c r="L455" s="17">
        <f t="shared" si="29"/>
        <v>44910</v>
      </c>
      <c r="M455" s="17">
        <f t="shared" si="30"/>
        <v>17430</v>
      </c>
      <c r="N455" s="17" t="str">
        <f t="shared" si="31"/>
        <v>profit</v>
      </c>
    </row>
    <row r="456" spans="1:14" ht="15.6" thickTop="1" thickBot="1" x14ac:dyDescent="0.35">
      <c r="A456" s="15">
        <v>45491</v>
      </c>
      <c r="B456" s="15" t="s">
        <v>65</v>
      </c>
      <c r="C456" s="16" t="s">
        <v>209</v>
      </c>
      <c r="D456" s="16" t="s">
        <v>71</v>
      </c>
      <c r="E456" s="16" t="s">
        <v>10</v>
      </c>
      <c r="F456" s="16" t="s">
        <v>69</v>
      </c>
      <c r="G456" s="16" t="s">
        <v>8</v>
      </c>
      <c r="H456" s="16">
        <v>28</v>
      </c>
      <c r="I456" s="16">
        <v>588</v>
      </c>
      <c r="J456" s="16">
        <v>784</v>
      </c>
      <c r="K456" s="17">
        <f t="shared" si="28"/>
        <v>16464</v>
      </c>
      <c r="L456" s="17">
        <f t="shared" si="29"/>
        <v>21952</v>
      </c>
      <c r="M456" s="17">
        <f t="shared" si="30"/>
        <v>5488</v>
      </c>
      <c r="N456" s="17" t="str">
        <f t="shared" si="31"/>
        <v>profit</v>
      </c>
    </row>
    <row r="457" spans="1:14" ht="15.6" thickTop="1" thickBot="1" x14ac:dyDescent="0.35">
      <c r="A457" s="15">
        <v>45507</v>
      </c>
      <c r="B457" s="15" t="s">
        <v>82</v>
      </c>
      <c r="C457" s="16" t="s">
        <v>142</v>
      </c>
      <c r="D457" s="16" t="s">
        <v>58</v>
      </c>
      <c r="E457" s="16" t="s">
        <v>143</v>
      </c>
      <c r="F457" s="16" t="s">
        <v>100</v>
      </c>
      <c r="G457" s="16" t="s">
        <v>12</v>
      </c>
      <c r="H457" s="16">
        <v>60</v>
      </c>
      <c r="I457" s="16">
        <v>642</v>
      </c>
      <c r="J457" s="16">
        <v>1497</v>
      </c>
      <c r="K457" s="17">
        <f t="shared" si="28"/>
        <v>38520</v>
      </c>
      <c r="L457" s="17">
        <f t="shared" si="29"/>
        <v>89820</v>
      </c>
      <c r="M457" s="17">
        <f t="shared" si="30"/>
        <v>51300</v>
      </c>
      <c r="N457" s="17" t="str">
        <f t="shared" si="31"/>
        <v>profit</v>
      </c>
    </row>
    <row r="458" spans="1:14" ht="15.6" thickTop="1" thickBot="1" x14ac:dyDescent="0.35">
      <c r="A458" s="15">
        <v>45492</v>
      </c>
      <c r="B458" s="15" t="s">
        <v>65</v>
      </c>
      <c r="C458" s="16" t="s">
        <v>211</v>
      </c>
      <c r="D458" s="16" t="s">
        <v>71</v>
      </c>
      <c r="E458" s="16" t="s">
        <v>10</v>
      </c>
      <c r="F458" s="16" t="s">
        <v>176</v>
      </c>
      <c r="G458" s="16" t="s">
        <v>8</v>
      </c>
      <c r="H458" s="16">
        <v>26</v>
      </c>
      <c r="I458" s="16">
        <v>969</v>
      </c>
      <c r="J458" s="16">
        <v>1087</v>
      </c>
      <c r="K458" s="17">
        <f t="shared" si="28"/>
        <v>25194</v>
      </c>
      <c r="L458" s="17">
        <f t="shared" si="29"/>
        <v>28262</v>
      </c>
      <c r="M458" s="17">
        <f t="shared" si="30"/>
        <v>3068</v>
      </c>
      <c r="N458" s="17" t="str">
        <f t="shared" si="31"/>
        <v>profit</v>
      </c>
    </row>
    <row r="459" spans="1:14" ht="15.6" thickTop="1" thickBot="1" x14ac:dyDescent="0.35">
      <c r="A459" s="15">
        <v>45493</v>
      </c>
      <c r="B459" s="15" t="s">
        <v>65</v>
      </c>
      <c r="C459" s="16" t="s">
        <v>212</v>
      </c>
      <c r="D459" s="16" t="s">
        <v>71</v>
      </c>
      <c r="E459" s="16" t="s">
        <v>10</v>
      </c>
      <c r="F459" s="16" t="s">
        <v>178</v>
      </c>
      <c r="G459" s="16" t="s">
        <v>8</v>
      </c>
      <c r="H459" s="16">
        <v>25</v>
      </c>
      <c r="I459" s="16">
        <v>839</v>
      </c>
      <c r="J459" s="16">
        <v>1233</v>
      </c>
      <c r="K459" s="17">
        <f t="shared" si="28"/>
        <v>20975</v>
      </c>
      <c r="L459" s="17">
        <f t="shared" si="29"/>
        <v>30825</v>
      </c>
      <c r="M459" s="17">
        <f t="shared" si="30"/>
        <v>9850</v>
      </c>
      <c r="N459" s="17" t="str">
        <f t="shared" si="31"/>
        <v>profit</v>
      </c>
    </row>
    <row r="460" spans="1:14" ht="15.6" thickTop="1" thickBot="1" x14ac:dyDescent="0.35">
      <c r="A460" s="15">
        <v>45494</v>
      </c>
      <c r="B460" s="15" t="s">
        <v>65</v>
      </c>
      <c r="C460" s="16" t="s">
        <v>215</v>
      </c>
      <c r="D460" s="16" t="s">
        <v>71</v>
      </c>
      <c r="E460" s="16" t="s">
        <v>10</v>
      </c>
      <c r="F460" s="16" t="s">
        <v>45</v>
      </c>
      <c r="G460" s="16" t="s">
        <v>8</v>
      </c>
      <c r="H460" s="16">
        <v>25</v>
      </c>
      <c r="I460" s="16">
        <v>536</v>
      </c>
      <c r="J460" s="16">
        <v>1407</v>
      </c>
      <c r="K460" s="17">
        <f t="shared" si="28"/>
        <v>13400</v>
      </c>
      <c r="L460" s="17">
        <f t="shared" si="29"/>
        <v>35175</v>
      </c>
      <c r="M460" s="17">
        <f t="shared" si="30"/>
        <v>21775</v>
      </c>
      <c r="N460" s="17" t="str">
        <f t="shared" si="31"/>
        <v>profit</v>
      </c>
    </row>
    <row r="461" spans="1:14" ht="15.6" thickTop="1" thickBot="1" x14ac:dyDescent="0.35">
      <c r="A461" s="15">
        <v>45517</v>
      </c>
      <c r="B461" s="15" t="s">
        <v>82</v>
      </c>
      <c r="C461" s="16" t="s">
        <v>216</v>
      </c>
      <c r="D461" s="16" t="s">
        <v>71</v>
      </c>
      <c r="E461" s="16" t="s">
        <v>10</v>
      </c>
      <c r="F461" s="16" t="s">
        <v>69</v>
      </c>
      <c r="G461" s="16" t="s">
        <v>12</v>
      </c>
      <c r="H461" s="16">
        <v>27</v>
      </c>
      <c r="I461" s="16">
        <v>966</v>
      </c>
      <c r="J461" s="16">
        <v>1255</v>
      </c>
      <c r="K461" s="17">
        <f t="shared" si="28"/>
        <v>26082</v>
      </c>
      <c r="L461" s="17">
        <f t="shared" si="29"/>
        <v>33885</v>
      </c>
      <c r="M461" s="17">
        <f t="shared" si="30"/>
        <v>7803</v>
      </c>
      <c r="N461" s="17" t="str">
        <f t="shared" si="31"/>
        <v>profit</v>
      </c>
    </row>
    <row r="462" spans="1:14" ht="15.6" thickTop="1" thickBot="1" x14ac:dyDescent="0.35">
      <c r="A462" s="15">
        <v>45512</v>
      </c>
      <c r="B462" s="15" t="s">
        <v>82</v>
      </c>
      <c r="C462" s="16" t="s">
        <v>144</v>
      </c>
      <c r="D462" s="16" t="s">
        <v>43</v>
      </c>
      <c r="E462" s="16" t="s">
        <v>62</v>
      </c>
      <c r="F462" s="16" t="s">
        <v>60</v>
      </c>
      <c r="G462" s="16" t="s">
        <v>8</v>
      </c>
      <c r="H462" s="16">
        <v>20</v>
      </c>
      <c r="I462" s="16">
        <v>525</v>
      </c>
      <c r="J462" s="16">
        <v>1122</v>
      </c>
      <c r="K462" s="17">
        <f t="shared" si="28"/>
        <v>10500</v>
      </c>
      <c r="L462" s="17">
        <f t="shared" si="29"/>
        <v>22440</v>
      </c>
      <c r="M462" s="17">
        <f t="shared" si="30"/>
        <v>11940</v>
      </c>
      <c r="N462" s="17" t="str">
        <f t="shared" si="31"/>
        <v>profit</v>
      </c>
    </row>
    <row r="463" spans="1:14" ht="15.6" thickTop="1" thickBot="1" x14ac:dyDescent="0.35">
      <c r="A463" s="15">
        <v>45518</v>
      </c>
      <c r="B463" s="15" t="s">
        <v>82</v>
      </c>
      <c r="C463" s="16" t="s">
        <v>217</v>
      </c>
      <c r="D463" s="16" t="s">
        <v>71</v>
      </c>
      <c r="E463" s="16" t="s">
        <v>10</v>
      </c>
      <c r="F463" s="16" t="s">
        <v>74</v>
      </c>
      <c r="G463" s="16" t="s">
        <v>12</v>
      </c>
      <c r="H463" s="16">
        <v>23</v>
      </c>
      <c r="I463" s="16">
        <v>694</v>
      </c>
      <c r="J463" s="16">
        <v>1309</v>
      </c>
      <c r="K463" s="17">
        <f t="shared" si="28"/>
        <v>15962</v>
      </c>
      <c r="L463" s="17">
        <f t="shared" si="29"/>
        <v>30107</v>
      </c>
      <c r="M463" s="17">
        <f t="shared" si="30"/>
        <v>14145</v>
      </c>
      <c r="N463" s="17" t="str">
        <f t="shared" si="31"/>
        <v>profit</v>
      </c>
    </row>
    <row r="464" spans="1:14" ht="15.6" thickTop="1" thickBot="1" x14ac:dyDescent="0.35">
      <c r="A464" s="15">
        <v>45519</v>
      </c>
      <c r="B464" s="15" t="s">
        <v>82</v>
      </c>
      <c r="C464" s="16" t="s">
        <v>218</v>
      </c>
      <c r="D464" s="16" t="s">
        <v>71</v>
      </c>
      <c r="E464" s="16" t="s">
        <v>10</v>
      </c>
      <c r="F464" s="16" t="s">
        <v>53</v>
      </c>
      <c r="G464" s="16" t="s">
        <v>8</v>
      </c>
      <c r="H464" s="16">
        <v>22</v>
      </c>
      <c r="I464" s="16">
        <v>749</v>
      </c>
      <c r="J464" s="16">
        <v>850</v>
      </c>
      <c r="K464" s="17">
        <f t="shared" si="28"/>
        <v>16478</v>
      </c>
      <c r="L464" s="17">
        <f t="shared" si="29"/>
        <v>18700</v>
      </c>
      <c r="M464" s="17">
        <f t="shared" si="30"/>
        <v>2222</v>
      </c>
      <c r="N464" s="17" t="str">
        <f t="shared" si="31"/>
        <v>profit</v>
      </c>
    </row>
    <row r="465" spans="1:14" ht="15.6" thickTop="1" thickBot="1" x14ac:dyDescent="0.35">
      <c r="A465" s="15">
        <v>45521</v>
      </c>
      <c r="B465" s="15" t="s">
        <v>82</v>
      </c>
      <c r="C465" s="16" t="s">
        <v>220</v>
      </c>
      <c r="D465" s="16" t="s">
        <v>71</v>
      </c>
      <c r="E465" s="16" t="s">
        <v>10</v>
      </c>
      <c r="F465" s="16" t="s">
        <v>79</v>
      </c>
      <c r="G465" s="16" t="s">
        <v>12</v>
      </c>
      <c r="H465" s="16">
        <v>24</v>
      </c>
      <c r="I465" s="16">
        <v>845</v>
      </c>
      <c r="J465" s="16">
        <v>1429</v>
      </c>
      <c r="K465" s="17">
        <f t="shared" si="28"/>
        <v>20280</v>
      </c>
      <c r="L465" s="17">
        <f t="shared" si="29"/>
        <v>34296</v>
      </c>
      <c r="M465" s="17">
        <f t="shared" si="30"/>
        <v>14016</v>
      </c>
      <c r="N465" s="17" t="str">
        <f t="shared" si="31"/>
        <v>profit</v>
      </c>
    </row>
    <row r="466" spans="1:14" ht="15.6" thickTop="1" thickBot="1" x14ac:dyDescent="0.35">
      <c r="A466" s="15">
        <v>45522</v>
      </c>
      <c r="B466" s="15" t="s">
        <v>82</v>
      </c>
      <c r="C466" s="16" t="s">
        <v>131</v>
      </c>
      <c r="D466" s="16" t="s">
        <v>71</v>
      </c>
      <c r="E466" s="16" t="s">
        <v>10</v>
      </c>
      <c r="F466" s="16" t="s">
        <v>60</v>
      </c>
      <c r="G466" s="16" t="s">
        <v>12</v>
      </c>
      <c r="H466" s="16">
        <v>29</v>
      </c>
      <c r="I466" s="16">
        <v>872</v>
      </c>
      <c r="J466" s="16">
        <v>1351</v>
      </c>
      <c r="K466" s="17">
        <f t="shared" si="28"/>
        <v>25288</v>
      </c>
      <c r="L466" s="17">
        <f t="shared" si="29"/>
        <v>39179</v>
      </c>
      <c r="M466" s="17">
        <f t="shared" si="30"/>
        <v>13891</v>
      </c>
      <c r="N466" s="17" t="str">
        <f t="shared" si="31"/>
        <v>profit</v>
      </c>
    </row>
    <row r="467" spans="1:14" ht="15.6" thickTop="1" thickBot="1" x14ac:dyDescent="0.35">
      <c r="A467" s="15">
        <v>45523</v>
      </c>
      <c r="B467" s="15" t="s">
        <v>82</v>
      </c>
      <c r="C467" s="16" t="s">
        <v>222</v>
      </c>
      <c r="D467" s="16" t="s">
        <v>71</v>
      </c>
      <c r="E467" s="16" t="s">
        <v>10</v>
      </c>
      <c r="F467" s="16" t="s">
        <v>64</v>
      </c>
      <c r="G467" s="16" t="s">
        <v>12</v>
      </c>
      <c r="H467" s="16">
        <v>27</v>
      </c>
      <c r="I467" s="16">
        <v>674</v>
      </c>
      <c r="J467" s="16">
        <v>1119</v>
      </c>
      <c r="K467" s="17">
        <f t="shared" si="28"/>
        <v>18198</v>
      </c>
      <c r="L467" s="17">
        <f t="shared" si="29"/>
        <v>30213</v>
      </c>
      <c r="M467" s="17">
        <f t="shared" si="30"/>
        <v>12015</v>
      </c>
      <c r="N467" s="17" t="str">
        <f t="shared" si="31"/>
        <v>profit</v>
      </c>
    </row>
    <row r="468" spans="1:14" ht="15.6" thickTop="1" thickBot="1" x14ac:dyDescent="0.35">
      <c r="A468" s="15">
        <v>45524</v>
      </c>
      <c r="B468" s="15" t="s">
        <v>82</v>
      </c>
      <c r="C468" s="16" t="s">
        <v>129</v>
      </c>
      <c r="D468" s="16" t="s">
        <v>71</v>
      </c>
      <c r="E468" s="16" t="s">
        <v>10</v>
      </c>
      <c r="F468" s="16" t="s">
        <v>64</v>
      </c>
      <c r="G468" s="16" t="s">
        <v>8</v>
      </c>
      <c r="H468" s="16">
        <v>27</v>
      </c>
      <c r="I468" s="16">
        <v>583</v>
      </c>
      <c r="J468" s="16">
        <v>1379</v>
      </c>
      <c r="K468" s="17">
        <f t="shared" si="28"/>
        <v>15741</v>
      </c>
      <c r="L468" s="17">
        <f t="shared" si="29"/>
        <v>37233</v>
      </c>
      <c r="M468" s="17">
        <f t="shared" si="30"/>
        <v>21492</v>
      </c>
      <c r="N468" s="17" t="str">
        <f t="shared" si="31"/>
        <v>profit</v>
      </c>
    </row>
    <row r="469" spans="1:14" ht="15.6" thickTop="1" thickBot="1" x14ac:dyDescent="0.35">
      <c r="A469" s="15">
        <v>45525</v>
      </c>
      <c r="B469" s="15" t="s">
        <v>82</v>
      </c>
      <c r="C469" s="16" t="s">
        <v>223</v>
      </c>
      <c r="D469" s="16" t="s">
        <v>71</v>
      </c>
      <c r="E469" s="16" t="s">
        <v>10</v>
      </c>
      <c r="F469" s="16" t="s">
        <v>89</v>
      </c>
      <c r="G469" s="16" t="s">
        <v>8</v>
      </c>
      <c r="H469" s="16">
        <v>21</v>
      </c>
      <c r="I469" s="16">
        <v>929</v>
      </c>
      <c r="J469" s="16">
        <v>910</v>
      </c>
      <c r="K469" s="17">
        <f t="shared" si="28"/>
        <v>19509</v>
      </c>
      <c r="L469" s="17">
        <f t="shared" si="29"/>
        <v>19110</v>
      </c>
      <c r="M469" s="17">
        <f t="shared" si="30"/>
        <v>-399</v>
      </c>
      <c r="N469" s="17" t="str">
        <f t="shared" si="31"/>
        <v>loss</v>
      </c>
    </row>
    <row r="470" spans="1:14" ht="15.6" thickTop="1" thickBot="1" x14ac:dyDescent="0.35">
      <c r="A470" s="15">
        <v>45520</v>
      </c>
      <c r="B470" s="15" t="s">
        <v>82</v>
      </c>
      <c r="C470" s="16" t="s">
        <v>145</v>
      </c>
      <c r="D470" s="16" t="s">
        <v>71</v>
      </c>
      <c r="E470" s="16" t="s">
        <v>10</v>
      </c>
      <c r="F470" s="16" t="s">
        <v>77</v>
      </c>
      <c r="G470" s="16" t="s">
        <v>12</v>
      </c>
      <c r="H470" s="16">
        <v>23</v>
      </c>
      <c r="I470" s="16">
        <v>884</v>
      </c>
      <c r="J470" s="16">
        <v>1392</v>
      </c>
      <c r="K470" s="17">
        <f t="shared" si="28"/>
        <v>20332</v>
      </c>
      <c r="L470" s="17">
        <f t="shared" si="29"/>
        <v>32016</v>
      </c>
      <c r="M470" s="17">
        <f t="shared" si="30"/>
        <v>11684</v>
      </c>
      <c r="N470" s="17" t="str">
        <f t="shared" si="31"/>
        <v>profit</v>
      </c>
    </row>
    <row r="471" spans="1:14" ht="15.6" thickTop="1" thickBot="1" x14ac:dyDescent="0.35">
      <c r="A471" s="15">
        <v>45527</v>
      </c>
      <c r="B471" s="15" t="s">
        <v>82</v>
      </c>
      <c r="C471" s="16" t="s">
        <v>224</v>
      </c>
      <c r="D471" s="16" t="s">
        <v>71</v>
      </c>
      <c r="E471" s="16" t="s">
        <v>10</v>
      </c>
      <c r="F471" s="16" t="s">
        <v>85</v>
      </c>
      <c r="G471" s="16" t="s">
        <v>8</v>
      </c>
      <c r="H471" s="16">
        <v>28</v>
      </c>
      <c r="I471" s="16">
        <v>873</v>
      </c>
      <c r="J471" s="16">
        <v>809</v>
      </c>
      <c r="K471" s="17">
        <f t="shared" si="28"/>
        <v>24444</v>
      </c>
      <c r="L471" s="17">
        <f t="shared" si="29"/>
        <v>22652</v>
      </c>
      <c r="M471" s="17">
        <f t="shared" si="30"/>
        <v>-1792</v>
      </c>
      <c r="N471" s="17" t="str">
        <f t="shared" si="31"/>
        <v>loss</v>
      </c>
    </row>
    <row r="472" spans="1:14" ht="15.6" thickTop="1" thickBot="1" x14ac:dyDescent="0.35">
      <c r="A472" s="15">
        <v>45589</v>
      </c>
      <c r="B472" s="15" t="s">
        <v>109</v>
      </c>
      <c r="C472" s="16" t="s">
        <v>226</v>
      </c>
      <c r="D472" s="16" t="s">
        <v>71</v>
      </c>
      <c r="E472" s="16" t="s">
        <v>156</v>
      </c>
      <c r="F472" s="16" t="s">
        <v>85</v>
      </c>
      <c r="G472" s="16" t="s">
        <v>8</v>
      </c>
      <c r="H472" s="16">
        <v>21</v>
      </c>
      <c r="I472" s="16">
        <v>541</v>
      </c>
      <c r="J472" s="16">
        <v>1339</v>
      </c>
      <c r="K472" s="17">
        <f t="shared" si="28"/>
        <v>11361</v>
      </c>
      <c r="L472" s="17">
        <f t="shared" si="29"/>
        <v>28119</v>
      </c>
      <c r="M472" s="17">
        <f t="shared" si="30"/>
        <v>16758</v>
      </c>
      <c r="N472" s="17" t="str">
        <f t="shared" si="31"/>
        <v>profit</v>
      </c>
    </row>
    <row r="473" spans="1:14" ht="15.6" thickTop="1" thickBot="1" x14ac:dyDescent="0.35">
      <c r="A473" s="15">
        <v>45591</v>
      </c>
      <c r="B473" s="15" t="s">
        <v>109</v>
      </c>
      <c r="C473" s="16" t="s">
        <v>227</v>
      </c>
      <c r="D473" s="16" t="s">
        <v>71</v>
      </c>
      <c r="E473" s="16" t="s">
        <v>156</v>
      </c>
      <c r="F473" s="16" t="s">
        <v>55</v>
      </c>
      <c r="G473" s="16" t="s">
        <v>12</v>
      </c>
      <c r="H473" s="16">
        <v>22</v>
      </c>
      <c r="I473" s="16">
        <v>725</v>
      </c>
      <c r="J473" s="16">
        <v>1268</v>
      </c>
      <c r="K473" s="17">
        <f t="shared" si="28"/>
        <v>15950</v>
      </c>
      <c r="L473" s="17">
        <f t="shared" si="29"/>
        <v>27896</v>
      </c>
      <c r="M473" s="17">
        <f t="shared" si="30"/>
        <v>11946</v>
      </c>
      <c r="N473" s="17" t="str">
        <f t="shared" si="31"/>
        <v>profit</v>
      </c>
    </row>
    <row r="474" spans="1:14" ht="15.6" thickTop="1" thickBot="1" x14ac:dyDescent="0.35">
      <c r="A474" s="15">
        <v>45596</v>
      </c>
      <c r="B474" s="15" t="s">
        <v>109</v>
      </c>
      <c r="C474" s="16" t="s">
        <v>228</v>
      </c>
      <c r="D474" s="16" t="s">
        <v>71</v>
      </c>
      <c r="E474" s="16" t="s">
        <v>72</v>
      </c>
      <c r="F474" s="16" t="s">
        <v>45</v>
      </c>
      <c r="G474" s="16" t="s">
        <v>12</v>
      </c>
      <c r="H474" s="16">
        <v>21</v>
      </c>
      <c r="I474" s="16">
        <v>596</v>
      </c>
      <c r="J474" s="16">
        <v>838</v>
      </c>
      <c r="K474" s="17">
        <f t="shared" si="28"/>
        <v>12516</v>
      </c>
      <c r="L474" s="17">
        <f t="shared" si="29"/>
        <v>17598</v>
      </c>
      <c r="M474" s="17">
        <f t="shared" si="30"/>
        <v>5082</v>
      </c>
      <c r="N474" s="17" t="str">
        <f t="shared" si="31"/>
        <v>profit</v>
      </c>
    </row>
    <row r="475" spans="1:14" ht="15.6" thickTop="1" thickBot="1" x14ac:dyDescent="0.35">
      <c r="A475" s="15">
        <v>45597</v>
      </c>
      <c r="B475" s="15" t="s">
        <v>184</v>
      </c>
      <c r="C475" s="16" t="s">
        <v>230</v>
      </c>
      <c r="D475" s="16" t="s">
        <v>71</v>
      </c>
      <c r="E475" s="16" t="s">
        <v>72</v>
      </c>
      <c r="F475" s="16" t="s">
        <v>47</v>
      </c>
      <c r="G475" s="16" t="s">
        <v>12</v>
      </c>
      <c r="H475" s="16">
        <v>30</v>
      </c>
      <c r="I475" s="16">
        <v>910</v>
      </c>
      <c r="J475" s="16">
        <v>1290</v>
      </c>
      <c r="K475" s="17">
        <f t="shared" si="28"/>
        <v>27300</v>
      </c>
      <c r="L475" s="17">
        <f t="shared" si="29"/>
        <v>38700</v>
      </c>
      <c r="M475" s="17">
        <f t="shared" si="30"/>
        <v>11400</v>
      </c>
      <c r="N475" s="17" t="str">
        <f t="shared" si="31"/>
        <v>profit</v>
      </c>
    </row>
    <row r="476" spans="1:14" ht="15.6" thickTop="1" thickBot="1" x14ac:dyDescent="0.35">
      <c r="A476" s="15">
        <v>45526</v>
      </c>
      <c r="B476" s="15" t="s">
        <v>82</v>
      </c>
      <c r="C476" s="16" t="s">
        <v>146</v>
      </c>
      <c r="D476" s="16" t="s">
        <v>71</v>
      </c>
      <c r="E476" s="16" t="s">
        <v>10</v>
      </c>
      <c r="F476" s="16" t="s">
        <v>89</v>
      </c>
      <c r="G476" s="16" t="s">
        <v>8</v>
      </c>
      <c r="H476" s="16">
        <v>20</v>
      </c>
      <c r="I476" s="16">
        <v>997</v>
      </c>
      <c r="J476" s="16">
        <v>784</v>
      </c>
      <c r="K476" s="17">
        <f t="shared" si="28"/>
        <v>19940</v>
      </c>
      <c r="L476" s="17">
        <f t="shared" si="29"/>
        <v>15680</v>
      </c>
      <c r="M476" s="17">
        <f t="shared" si="30"/>
        <v>-4260</v>
      </c>
      <c r="N476" s="17" t="str">
        <f t="shared" si="31"/>
        <v>loss</v>
      </c>
    </row>
    <row r="477" spans="1:14" ht="15.6" thickTop="1" thickBot="1" x14ac:dyDescent="0.35">
      <c r="A477" s="15">
        <v>45598</v>
      </c>
      <c r="B477" s="15" t="s">
        <v>184</v>
      </c>
      <c r="C477" s="16" t="s">
        <v>232</v>
      </c>
      <c r="D477" s="16" t="s">
        <v>71</v>
      </c>
      <c r="E477" s="16" t="s">
        <v>72</v>
      </c>
      <c r="F477" s="16" t="s">
        <v>49</v>
      </c>
      <c r="G477" s="16" t="s">
        <v>12</v>
      </c>
      <c r="H477" s="16">
        <v>25</v>
      </c>
      <c r="I477" s="16">
        <v>532</v>
      </c>
      <c r="J477" s="16">
        <v>1358</v>
      </c>
      <c r="K477" s="17">
        <f t="shared" si="28"/>
        <v>13300</v>
      </c>
      <c r="L477" s="17">
        <f t="shared" si="29"/>
        <v>33950</v>
      </c>
      <c r="M477" s="17">
        <f t="shared" si="30"/>
        <v>20650</v>
      </c>
      <c r="N477" s="17" t="str">
        <f t="shared" si="31"/>
        <v>profit</v>
      </c>
    </row>
    <row r="478" spans="1:14" ht="15.6" thickTop="1" thickBot="1" x14ac:dyDescent="0.35">
      <c r="A478" s="15">
        <v>45599</v>
      </c>
      <c r="B478" s="15" t="s">
        <v>184</v>
      </c>
      <c r="C478" s="16" t="s">
        <v>233</v>
      </c>
      <c r="D478" s="16" t="s">
        <v>71</v>
      </c>
      <c r="E478" s="16" t="s">
        <v>72</v>
      </c>
      <c r="F478" s="16" t="s">
        <v>51</v>
      </c>
      <c r="G478" s="16" t="s">
        <v>8</v>
      </c>
      <c r="H478" s="16">
        <v>29</v>
      </c>
      <c r="I478" s="16">
        <v>813</v>
      </c>
      <c r="J478" s="16">
        <v>1241</v>
      </c>
      <c r="K478" s="17">
        <f t="shared" si="28"/>
        <v>23577</v>
      </c>
      <c r="L478" s="17">
        <f t="shared" si="29"/>
        <v>35989</v>
      </c>
      <c r="M478" s="17">
        <f t="shared" si="30"/>
        <v>12412</v>
      </c>
      <c r="N478" s="17" t="str">
        <f t="shared" si="31"/>
        <v>profit</v>
      </c>
    </row>
    <row r="479" spans="1:14" ht="15.6" thickTop="1" thickBot="1" x14ac:dyDescent="0.35">
      <c r="A479" s="15">
        <v>45600</v>
      </c>
      <c r="B479" s="15" t="s">
        <v>184</v>
      </c>
      <c r="C479" s="16" t="s">
        <v>234</v>
      </c>
      <c r="D479" s="16" t="s">
        <v>71</v>
      </c>
      <c r="E479" s="16" t="s">
        <v>72</v>
      </c>
      <c r="F479" s="16" t="s">
        <v>51</v>
      </c>
      <c r="G479" s="16" t="s">
        <v>8</v>
      </c>
      <c r="H479" s="16">
        <v>28</v>
      </c>
      <c r="I479" s="16">
        <v>858</v>
      </c>
      <c r="J479" s="16">
        <v>1127</v>
      </c>
      <c r="K479" s="17">
        <f t="shared" si="28"/>
        <v>24024</v>
      </c>
      <c r="L479" s="17">
        <f t="shared" si="29"/>
        <v>31556</v>
      </c>
      <c r="M479" s="17">
        <f t="shared" si="30"/>
        <v>7532</v>
      </c>
      <c r="N479" s="17" t="str">
        <f t="shared" si="31"/>
        <v>profit</v>
      </c>
    </row>
    <row r="480" spans="1:14" ht="15.6" thickTop="1" thickBot="1" x14ac:dyDescent="0.35">
      <c r="A480" s="15">
        <v>45601</v>
      </c>
      <c r="B480" s="15" t="s">
        <v>184</v>
      </c>
      <c r="C480" s="16" t="s">
        <v>235</v>
      </c>
      <c r="D480" s="16" t="s">
        <v>71</v>
      </c>
      <c r="E480" s="16" t="s">
        <v>72</v>
      </c>
      <c r="F480" s="16" t="s">
        <v>53</v>
      </c>
      <c r="G480" s="16" t="s">
        <v>8</v>
      </c>
      <c r="H480" s="16">
        <v>24</v>
      </c>
      <c r="I480" s="16">
        <v>641</v>
      </c>
      <c r="J480" s="16">
        <v>1337</v>
      </c>
      <c r="K480" s="17">
        <f t="shared" si="28"/>
        <v>15384</v>
      </c>
      <c r="L480" s="17">
        <f t="shared" si="29"/>
        <v>32088</v>
      </c>
      <c r="M480" s="17">
        <f t="shared" si="30"/>
        <v>16704</v>
      </c>
      <c r="N480" s="17" t="str">
        <f t="shared" si="31"/>
        <v>profit</v>
      </c>
    </row>
    <row r="481" spans="1:14" ht="15.6" thickTop="1" thickBot="1" x14ac:dyDescent="0.35">
      <c r="A481" s="15">
        <v>45609</v>
      </c>
      <c r="B481" s="15" t="s">
        <v>184</v>
      </c>
      <c r="C481" s="16" t="s">
        <v>237</v>
      </c>
      <c r="D481" s="16" t="s">
        <v>71</v>
      </c>
      <c r="E481" s="16" t="s">
        <v>88</v>
      </c>
      <c r="F481" s="16" t="s">
        <v>100</v>
      </c>
      <c r="G481" s="16" t="s">
        <v>12</v>
      </c>
      <c r="H481" s="16">
        <v>25</v>
      </c>
      <c r="I481" s="16">
        <v>709</v>
      </c>
      <c r="J481" s="16">
        <v>1386</v>
      </c>
      <c r="K481" s="17">
        <f t="shared" si="28"/>
        <v>17725</v>
      </c>
      <c r="L481" s="17">
        <f t="shared" si="29"/>
        <v>34650</v>
      </c>
      <c r="M481" s="17">
        <f t="shared" si="30"/>
        <v>16925</v>
      </c>
      <c r="N481" s="17" t="str">
        <f t="shared" si="31"/>
        <v>profit</v>
      </c>
    </row>
    <row r="482" spans="1:14" ht="15.6" thickTop="1" thickBot="1" x14ac:dyDescent="0.35">
      <c r="A482" s="15">
        <v>45611</v>
      </c>
      <c r="B482" s="15" t="s">
        <v>184</v>
      </c>
      <c r="C482" s="16" t="s">
        <v>238</v>
      </c>
      <c r="D482" s="16" t="s">
        <v>71</v>
      </c>
      <c r="E482" s="16" t="s">
        <v>88</v>
      </c>
      <c r="F482" s="16" t="s">
        <v>60</v>
      </c>
      <c r="G482" s="16" t="s">
        <v>12</v>
      </c>
      <c r="H482" s="16">
        <v>25</v>
      </c>
      <c r="I482" s="16">
        <v>802</v>
      </c>
      <c r="J482" s="16">
        <v>1126</v>
      </c>
      <c r="K482" s="17">
        <f t="shared" si="28"/>
        <v>20050</v>
      </c>
      <c r="L482" s="17">
        <f t="shared" si="29"/>
        <v>28150</v>
      </c>
      <c r="M482" s="17">
        <f t="shared" si="30"/>
        <v>8100</v>
      </c>
      <c r="N482" s="17" t="str">
        <f t="shared" si="31"/>
        <v>profit</v>
      </c>
    </row>
    <row r="483" spans="1:14" ht="15.6" thickTop="1" thickBot="1" x14ac:dyDescent="0.35">
      <c r="A483" s="15">
        <v>45612</v>
      </c>
      <c r="B483" s="15" t="s">
        <v>184</v>
      </c>
      <c r="C483" s="16" t="s">
        <v>239</v>
      </c>
      <c r="D483" s="16" t="s">
        <v>71</v>
      </c>
      <c r="E483" s="16" t="s">
        <v>88</v>
      </c>
      <c r="F483" s="16" t="s">
        <v>69</v>
      </c>
      <c r="G483" s="16" t="s">
        <v>12</v>
      </c>
      <c r="H483" s="16">
        <v>23</v>
      </c>
      <c r="I483" s="16">
        <v>893</v>
      </c>
      <c r="J483" s="16">
        <v>761</v>
      </c>
      <c r="K483" s="17">
        <f t="shared" si="28"/>
        <v>20539</v>
      </c>
      <c r="L483" s="17">
        <f t="shared" si="29"/>
        <v>17503</v>
      </c>
      <c r="M483" s="17">
        <f t="shared" si="30"/>
        <v>-3036</v>
      </c>
      <c r="N483" s="17" t="str">
        <f t="shared" si="31"/>
        <v>loss</v>
      </c>
    </row>
    <row r="484" spans="1:14" ht="15.6" thickTop="1" thickBot="1" x14ac:dyDescent="0.35">
      <c r="A484" s="15">
        <v>45613</v>
      </c>
      <c r="B484" s="15" t="s">
        <v>184</v>
      </c>
      <c r="C484" s="16" t="s">
        <v>240</v>
      </c>
      <c r="D484" s="16" t="s">
        <v>71</v>
      </c>
      <c r="E484" s="16" t="s">
        <v>88</v>
      </c>
      <c r="F484" s="16" t="s">
        <v>85</v>
      </c>
      <c r="G484" s="16" t="s">
        <v>12</v>
      </c>
      <c r="H484" s="16">
        <v>29</v>
      </c>
      <c r="I484" s="16">
        <v>852</v>
      </c>
      <c r="J484" s="16">
        <v>1452</v>
      </c>
      <c r="K484" s="17">
        <f t="shared" si="28"/>
        <v>24708</v>
      </c>
      <c r="L484" s="17">
        <f t="shared" si="29"/>
        <v>42108</v>
      </c>
      <c r="M484" s="17">
        <f t="shared" si="30"/>
        <v>17400</v>
      </c>
      <c r="N484" s="17" t="str">
        <f t="shared" si="31"/>
        <v>profit</v>
      </c>
    </row>
    <row r="485" spans="1:14" ht="15.6" thickTop="1" thickBot="1" x14ac:dyDescent="0.35">
      <c r="A485" s="15">
        <v>45535</v>
      </c>
      <c r="B485" s="15" t="s">
        <v>82</v>
      </c>
      <c r="C485" s="16" t="s">
        <v>147</v>
      </c>
      <c r="D485" s="16" t="s">
        <v>58</v>
      </c>
      <c r="E485" s="16" t="s">
        <v>123</v>
      </c>
      <c r="F485" s="16" t="s">
        <v>47</v>
      </c>
      <c r="G485" s="16" t="s">
        <v>12</v>
      </c>
      <c r="H485" s="16">
        <v>64</v>
      </c>
      <c r="I485" s="16">
        <v>580</v>
      </c>
      <c r="J485" s="16">
        <v>1164</v>
      </c>
      <c r="K485" s="17">
        <f t="shared" si="28"/>
        <v>37120</v>
      </c>
      <c r="L485" s="17">
        <f t="shared" si="29"/>
        <v>74496</v>
      </c>
      <c r="M485" s="17">
        <f t="shared" si="30"/>
        <v>37376</v>
      </c>
      <c r="N485" s="17" t="str">
        <f t="shared" si="31"/>
        <v>profit</v>
      </c>
    </row>
    <row r="486" spans="1:14" ht="15.6" thickTop="1" thickBot="1" x14ac:dyDescent="0.35">
      <c r="A486" s="15">
        <v>45615</v>
      </c>
      <c r="B486" s="15" t="s">
        <v>184</v>
      </c>
      <c r="C486" s="16" t="s">
        <v>241</v>
      </c>
      <c r="D486" s="16" t="s">
        <v>71</v>
      </c>
      <c r="E486" s="16" t="s">
        <v>88</v>
      </c>
      <c r="F486" s="16" t="s">
        <v>64</v>
      </c>
      <c r="G486" s="16" t="s">
        <v>8</v>
      </c>
      <c r="H486" s="16">
        <v>23</v>
      </c>
      <c r="I486" s="16">
        <v>747</v>
      </c>
      <c r="J486" s="16">
        <v>1340</v>
      </c>
      <c r="K486" s="17">
        <f t="shared" si="28"/>
        <v>17181</v>
      </c>
      <c r="L486" s="17">
        <f t="shared" si="29"/>
        <v>30820</v>
      </c>
      <c r="M486" s="17">
        <f t="shared" si="30"/>
        <v>13639</v>
      </c>
      <c r="N486" s="17" t="str">
        <f t="shared" si="31"/>
        <v>profit</v>
      </c>
    </row>
    <row r="487" spans="1:14" ht="15.6" thickTop="1" thickBot="1" x14ac:dyDescent="0.35">
      <c r="A487" s="15">
        <v>45617</v>
      </c>
      <c r="B487" s="15" t="s">
        <v>184</v>
      </c>
      <c r="C487" s="16" t="s">
        <v>242</v>
      </c>
      <c r="D487" s="16" t="s">
        <v>71</v>
      </c>
      <c r="E487" s="16" t="s">
        <v>88</v>
      </c>
      <c r="F487" s="16" t="s">
        <v>69</v>
      </c>
      <c r="G487" s="16" t="s">
        <v>12</v>
      </c>
      <c r="H487" s="16">
        <v>26</v>
      </c>
      <c r="I487" s="16">
        <v>625</v>
      </c>
      <c r="J487" s="16">
        <v>1298</v>
      </c>
      <c r="K487" s="17">
        <f t="shared" si="28"/>
        <v>16250</v>
      </c>
      <c r="L487" s="17">
        <f t="shared" si="29"/>
        <v>33748</v>
      </c>
      <c r="M487" s="17">
        <f t="shared" si="30"/>
        <v>17498</v>
      </c>
      <c r="N487" s="17" t="str">
        <f t="shared" si="31"/>
        <v>profit</v>
      </c>
    </row>
    <row r="488" spans="1:14" ht="15.6" thickTop="1" thickBot="1" x14ac:dyDescent="0.35">
      <c r="A488" s="15">
        <v>45618</v>
      </c>
      <c r="B488" s="15" t="s">
        <v>184</v>
      </c>
      <c r="C488" s="16" t="s">
        <v>244</v>
      </c>
      <c r="D488" s="16" t="s">
        <v>71</v>
      </c>
      <c r="E488" s="16" t="s">
        <v>88</v>
      </c>
      <c r="F488" s="16" t="s">
        <v>53</v>
      </c>
      <c r="G488" s="16" t="s">
        <v>12</v>
      </c>
      <c r="H488" s="16">
        <v>23</v>
      </c>
      <c r="I488" s="16">
        <v>706</v>
      </c>
      <c r="J488" s="16">
        <v>988</v>
      </c>
      <c r="K488" s="17">
        <f t="shared" si="28"/>
        <v>16238</v>
      </c>
      <c r="L488" s="17">
        <f t="shared" si="29"/>
        <v>22724</v>
      </c>
      <c r="M488" s="17">
        <f t="shared" si="30"/>
        <v>6486</v>
      </c>
      <c r="N488" s="17" t="str">
        <f t="shared" si="31"/>
        <v>profit</v>
      </c>
    </row>
    <row r="489" spans="1:14" ht="15.6" thickTop="1" thickBot="1" x14ac:dyDescent="0.35">
      <c r="A489" s="15">
        <v>45619</v>
      </c>
      <c r="B489" s="15" t="s">
        <v>184</v>
      </c>
      <c r="C489" s="16" t="s">
        <v>246</v>
      </c>
      <c r="D489" s="16" t="s">
        <v>71</v>
      </c>
      <c r="E489" s="16" t="s">
        <v>88</v>
      </c>
      <c r="F489" s="16" t="s">
        <v>69</v>
      </c>
      <c r="G489" s="16" t="s">
        <v>12</v>
      </c>
      <c r="H489" s="16">
        <v>28</v>
      </c>
      <c r="I489" s="16">
        <v>858</v>
      </c>
      <c r="J489" s="16">
        <v>1113</v>
      </c>
      <c r="K489" s="17">
        <f t="shared" si="28"/>
        <v>24024</v>
      </c>
      <c r="L489" s="17">
        <f t="shared" si="29"/>
        <v>31164</v>
      </c>
      <c r="M489" s="17">
        <f t="shared" si="30"/>
        <v>7140</v>
      </c>
      <c r="N489" s="17" t="str">
        <f t="shared" si="31"/>
        <v>profit</v>
      </c>
    </row>
    <row r="490" spans="1:14" ht="15.6" thickTop="1" thickBot="1" x14ac:dyDescent="0.35">
      <c r="A490" s="15">
        <v>45540</v>
      </c>
      <c r="B490" s="15" t="s">
        <v>94</v>
      </c>
      <c r="C490" s="16" t="s">
        <v>148</v>
      </c>
      <c r="D490" s="16" t="s">
        <v>58</v>
      </c>
      <c r="E490" s="16" t="s">
        <v>143</v>
      </c>
      <c r="F490" s="16" t="s">
        <v>55</v>
      </c>
      <c r="G490" s="16" t="s">
        <v>8</v>
      </c>
      <c r="H490" s="16">
        <v>52</v>
      </c>
      <c r="I490" s="16">
        <v>893</v>
      </c>
      <c r="J490" s="16">
        <v>1055</v>
      </c>
      <c r="K490" s="17">
        <f t="shared" si="28"/>
        <v>46436</v>
      </c>
      <c r="L490" s="17">
        <f t="shared" si="29"/>
        <v>54860</v>
      </c>
      <c r="M490" s="17">
        <f t="shared" si="30"/>
        <v>8424</v>
      </c>
      <c r="N490" s="17" t="str">
        <f t="shared" si="31"/>
        <v>profit</v>
      </c>
    </row>
    <row r="491" spans="1:14" ht="15.6" thickTop="1" thickBot="1" x14ac:dyDescent="0.35">
      <c r="A491" s="15">
        <v>45620</v>
      </c>
      <c r="B491" s="15" t="s">
        <v>184</v>
      </c>
      <c r="C491" s="16" t="s">
        <v>248</v>
      </c>
      <c r="D491" s="16" t="s">
        <v>71</v>
      </c>
      <c r="E491" s="16" t="s">
        <v>88</v>
      </c>
      <c r="F491" s="16" t="s">
        <v>74</v>
      </c>
      <c r="G491" s="16" t="s">
        <v>12</v>
      </c>
      <c r="H491" s="16">
        <v>24</v>
      </c>
      <c r="I491" s="16">
        <v>736</v>
      </c>
      <c r="J491" s="16">
        <v>1406</v>
      </c>
      <c r="K491" s="17">
        <f t="shared" si="28"/>
        <v>17664</v>
      </c>
      <c r="L491" s="17">
        <f t="shared" si="29"/>
        <v>33744</v>
      </c>
      <c r="M491" s="17">
        <f t="shared" si="30"/>
        <v>16080</v>
      </c>
      <c r="N491" s="17" t="str">
        <f t="shared" si="31"/>
        <v>profit</v>
      </c>
    </row>
    <row r="492" spans="1:14" ht="15.6" thickTop="1" thickBot="1" x14ac:dyDescent="0.35">
      <c r="A492" s="15">
        <v>45621</v>
      </c>
      <c r="B492" s="15" t="s">
        <v>184</v>
      </c>
      <c r="C492" s="16" t="s">
        <v>249</v>
      </c>
      <c r="D492" s="16" t="s">
        <v>71</v>
      </c>
      <c r="E492" s="16" t="s">
        <v>88</v>
      </c>
      <c r="F492" s="16" t="s">
        <v>53</v>
      </c>
      <c r="G492" s="16" t="s">
        <v>12</v>
      </c>
      <c r="H492" s="16">
        <v>20</v>
      </c>
      <c r="I492" s="16">
        <v>599</v>
      </c>
      <c r="J492" s="16">
        <v>1023</v>
      </c>
      <c r="K492" s="17">
        <f t="shared" si="28"/>
        <v>11980</v>
      </c>
      <c r="L492" s="17">
        <f t="shared" si="29"/>
        <v>20460</v>
      </c>
      <c r="M492" s="17">
        <f t="shared" si="30"/>
        <v>8480</v>
      </c>
      <c r="N492" s="17" t="str">
        <f t="shared" si="31"/>
        <v>profit</v>
      </c>
    </row>
    <row r="493" spans="1:14" ht="15.6" thickTop="1" thickBot="1" x14ac:dyDescent="0.35">
      <c r="A493" s="15">
        <v>45622</v>
      </c>
      <c r="B493" s="15" t="s">
        <v>184</v>
      </c>
      <c r="C493" s="16" t="s">
        <v>250</v>
      </c>
      <c r="D493" s="16" t="s">
        <v>71</v>
      </c>
      <c r="E493" s="16" t="s">
        <v>88</v>
      </c>
      <c r="F493" s="16" t="s">
        <v>77</v>
      </c>
      <c r="G493" s="16" t="s">
        <v>8</v>
      </c>
      <c r="H493" s="16">
        <v>22</v>
      </c>
      <c r="I493" s="16">
        <v>524</v>
      </c>
      <c r="J493" s="16">
        <v>1147</v>
      </c>
      <c r="K493" s="17">
        <f t="shared" si="28"/>
        <v>11528</v>
      </c>
      <c r="L493" s="17">
        <f t="shared" si="29"/>
        <v>25234</v>
      </c>
      <c r="M493" s="17">
        <f t="shared" si="30"/>
        <v>13706</v>
      </c>
      <c r="N493" s="17" t="str">
        <f t="shared" si="31"/>
        <v>profit</v>
      </c>
    </row>
    <row r="494" spans="1:14" ht="15.6" thickTop="1" thickBot="1" x14ac:dyDescent="0.35">
      <c r="A494" s="15">
        <v>45623</v>
      </c>
      <c r="B494" s="15" t="s">
        <v>184</v>
      </c>
      <c r="C494" s="16" t="s">
        <v>251</v>
      </c>
      <c r="D494" s="16" t="s">
        <v>71</v>
      </c>
      <c r="E494" s="16" t="s">
        <v>88</v>
      </c>
      <c r="F494" s="16" t="s">
        <v>79</v>
      </c>
      <c r="G494" s="16" t="s">
        <v>8</v>
      </c>
      <c r="H494" s="16">
        <v>27</v>
      </c>
      <c r="I494" s="16">
        <v>744</v>
      </c>
      <c r="J494" s="16">
        <v>1253</v>
      </c>
      <c r="K494" s="17">
        <f t="shared" si="28"/>
        <v>20088</v>
      </c>
      <c r="L494" s="17">
        <f t="shared" si="29"/>
        <v>33831</v>
      </c>
      <c r="M494" s="17">
        <f t="shared" si="30"/>
        <v>13743</v>
      </c>
      <c r="N494" s="17" t="str">
        <f t="shared" si="31"/>
        <v>profit</v>
      </c>
    </row>
    <row r="495" spans="1:14" ht="15.6" thickTop="1" thickBot="1" x14ac:dyDescent="0.35">
      <c r="A495" s="15">
        <v>45624</v>
      </c>
      <c r="B495" s="15" t="s">
        <v>184</v>
      </c>
      <c r="C495" s="16" t="s">
        <v>252</v>
      </c>
      <c r="D495" s="16" t="s">
        <v>71</v>
      </c>
      <c r="E495" s="16" t="s">
        <v>10</v>
      </c>
      <c r="F495" s="16" t="s">
        <v>60</v>
      </c>
      <c r="G495" s="16" t="s">
        <v>8</v>
      </c>
      <c r="H495" s="16">
        <v>27</v>
      </c>
      <c r="I495" s="16">
        <v>826</v>
      </c>
      <c r="J495" s="16">
        <v>917</v>
      </c>
      <c r="K495" s="17">
        <f t="shared" si="28"/>
        <v>22302</v>
      </c>
      <c r="L495" s="17">
        <f t="shared" si="29"/>
        <v>24759</v>
      </c>
      <c r="M495" s="17">
        <f t="shared" si="30"/>
        <v>2457</v>
      </c>
      <c r="N495" s="17" t="str">
        <f t="shared" si="31"/>
        <v>profit</v>
      </c>
    </row>
    <row r="496" spans="1:14" ht="15.6" thickTop="1" thickBot="1" x14ac:dyDescent="0.35">
      <c r="A496" s="15">
        <v>45625</v>
      </c>
      <c r="B496" s="15" t="s">
        <v>184</v>
      </c>
      <c r="C496" s="16" t="s">
        <v>253</v>
      </c>
      <c r="D496" s="16" t="s">
        <v>71</v>
      </c>
      <c r="E496" s="16" t="s">
        <v>10</v>
      </c>
      <c r="F496" s="16" t="s">
        <v>64</v>
      </c>
      <c r="G496" s="16" t="s">
        <v>8</v>
      </c>
      <c r="H496" s="16">
        <v>27</v>
      </c>
      <c r="I496" s="16">
        <v>573</v>
      </c>
      <c r="J496" s="16">
        <v>1266</v>
      </c>
      <c r="K496" s="17">
        <f t="shared" si="28"/>
        <v>15471</v>
      </c>
      <c r="L496" s="17">
        <f t="shared" si="29"/>
        <v>34182</v>
      </c>
      <c r="M496" s="17">
        <f t="shared" si="30"/>
        <v>18711</v>
      </c>
      <c r="N496" s="17" t="str">
        <f t="shared" si="31"/>
        <v>profit</v>
      </c>
    </row>
    <row r="497" spans="1:14" ht="15.6" thickTop="1" thickBot="1" x14ac:dyDescent="0.35">
      <c r="A497" s="15">
        <v>45627</v>
      </c>
      <c r="B497" s="15" t="s">
        <v>213</v>
      </c>
      <c r="C497" s="16" t="s">
        <v>255</v>
      </c>
      <c r="D497" s="16" t="s">
        <v>71</v>
      </c>
      <c r="E497" s="16" t="s">
        <v>10</v>
      </c>
      <c r="F497" s="16" t="s">
        <v>89</v>
      </c>
      <c r="G497" s="16" t="s">
        <v>8</v>
      </c>
      <c r="H497" s="16">
        <v>28</v>
      </c>
      <c r="I497" s="16">
        <v>798</v>
      </c>
      <c r="J497" s="16">
        <v>1131</v>
      </c>
      <c r="K497" s="17">
        <f t="shared" si="28"/>
        <v>22344</v>
      </c>
      <c r="L497" s="17">
        <f t="shared" si="29"/>
        <v>31668</v>
      </c>
      <c r="M497" s="17">
        <f t="shared" si="30"/>
        <v>9324</v>
      </c>
      <c r="N497" s="17" t="str">
        <f t="shared" si="31"/>
        <v>profit</v>
      </c>
    </row>
    <row r="498" spans="1:14" ht="15.6" thickTop="1" thickBot="1" x14ac:dyDescent="0.35">
      <c r="A498" s="15">
        <v>45628</v>
      </c>
      <c r="B498" s="15" t="s">
        <v>213</v>
      </c>
      <c r="C498" s="16" t="s">
        <v>256</v>
      </c>
      <c r="D498" s="16" t="s">
        <v>71</v>
      </c>
      <c r="E498" s="16" t="s">
        <v>10</v>
      </c>
      <c r="F498" s="16" t="s">
        <v>89</v>
      </c>
      <c r="G498" s="16" t="s">
        <v>8</v>
      </c>
      <c r="H498" s="16">
        <v>25</v>
      </c>
      <c r="I498" s="16">
        <v>982</v>
      </c>
      <c r="J498" s="16">
        <v>1479</v>
      </c>
      <c r="K498" s="17">
        <f t="shared" si="28"/>
        <v>24550</v>
      </c>
      <c r="L498" s="17">
        <f t="shared" si="29"/>
        <v>36975</v>
      </c>
      <c r="M498" s="17">
        <f t="shared" si="30"/>
        <v>12425</v>
      </c>
      <c r="N498" s="17" t="str">
        <f t="shared" si="31"/>
        <v>profit</v>
      </c>
    </row>
    <row r="499" spans="1:14" ht="15.6" thickTop="1" thickBot="1" x14ac:dyDescent="0.35">
      <c r="A499" s="15">
        <v>45549</v>
      </c>
      <c r="B499" s="15" t="s">
        <v>94</v>
      </c>
      <c r="C499" s="16" t="s">
        <v>149</v>
      </c>
      <c r="D499" s="16" t="s">
        <v>43</v>
      </c>
      <c r="E499" s="16" t="s">
        <v>62</v>
      </c>
      <c r="F499" s="16" t="s">
        <v>60</v>
      </c>
      <c r="G499" s="16" t="s">
        <v>8</v>
      </c>
      <c r="H499" s="16">
        <v>19</v>
      </c>
      <c r="I499" s="16">
        <v>938</v>
      </c>
      <c r="J499" s="16">
        <v>1348</v>
      </c>
      <c r="K499" s="17">
        <f t="shared" si="28"/>
        <v>17822</v>
      </c>
      <c r="L499" s="17">
        <f t="shared" si="29"/>
        <v>25612</v>
      </c>
      <c r="M499" s="17">
        <f t="shared" si="30"/>
        <v>7790</v>
      </c>
      <c r="N499" s="17" t="str">
        <f t="shared" si="31"/>
        <v>profit</v>
      </c>
    </row>
    <row r="500" spans="1:14" ht="15.6" thickTop="1" thickBot="1" x14ac:dyDescent="0.35">
      <c r="A500" s="15">
        <v>45630</v>
      </c>
      <c r="B500" s="15" t="s">
        <v>213</v>
      </c>
      <c r="C500" s="16" t="s">
        <v>257</v>
      </c>
      <c r="D500" s="16" t="s">
        <v>71</v>
      </c>
      <c r="E500" s="16" t="s">
        <v>10</v>
      </c>
      <c r="F500" s="16" t="s">
        <v>64</v>
      </c>
      <c r="G500" s="16" t="s">
        <v>12</v>
      </c>
      <c r="H500" s="16">
        <v>29</v>
      </c>
      <c r="I500" s="16">
        <v>841</v>
      </c>
      <c r="J500" s="16">
        <v>854</v>
      </c>
      <c r="K500" s="17">
        <f t="shared" si="28"/>
        <v>24389</v>
      </c>
      <c r="L500" s="17">
        <f t="shared" si="29"/>
        <v>24766</v>
      </c>
      <c r="M500" s="17">
        <f t="shared" si="30"/>
        <v>377</v>
      </c>
      <c r="N500" s="17" t="str">
        <f t="shared" si="31"/>
        <v>profit</v>
      </c>
    </row>
    <row r="501" spans="1:14" ht="15.6" thickTop="1" thickBot="1" x14ac:dyDescent="0.35">
      <c r="A501" s="15">
        <v>45631</v>
      </c>
      <c r="B501" s="15" t="s">
        <v>213</v>
      </c>
      <c r="C501" s="16" t="s">
        <v>258</v>
      </c>
      <c r="D501" s="16" t="s">
        <v>71</v>
      </c>
      <c r="E501" s="16" t="s">
        <v>10</v>
      </c>
      <c r="F501" s="16" t="s">
        <v>55</v>
      </c>
      <c r="G501" s="16" t="s">
        <v>12</v>
      </c>
      <c r="H501" s="16">
        <v>21</v>
      </c>
      <c r="I501" s="16">
        <v>691</v>
      </c>
      <c r="J501" s="16">
        <v>1142</v>
      </c>
      <c r="K501" s="17">
        <f t="shared" si="28"/>
        <v>14511</v>
      </c>
      <c r="L501" s="17">
        <f t="shared" si="29"/>
        <v>23982</v>
      </c>
      <c r="M501" s="17">
        <f t="shared" si="30"/>
        <v>9471</v>
      </c>
      <c r="N501" s="17" t="str">
        <f t="shared" si="31"/>
        <v>profit</v>
      </c>
    </row>
    <row r="502" spans="1:14" ht="15.6" thickTop="1" thickBot="1" x14ac:dyDescent="0.35">
      <c r="A502" s="15">
        <v>45632</v>
      </c>
      <c r="B502" s="15" t="s">
        <v>213</v>
      </c>
      <c r="C502" s="16" t="s">
        <v>259</v>
      </c>
      <c r="D502" s="16" t="s">
        <v>71</v>
      </c>
      <c r="E502" s="16" t="s">
        <v>10</v>
      </c>
      <c r="F502" s="16" t="s">
        <v>137</v>
      </c>
      <c r="G502" s="16" t="s">
        <v>12</v>
      </c>
      <c r="H502" s="16">
        <v>24</v>
      </c>
      <c r="I502" s="16">
        <v>526</v>
      </c>
      <c r="J502" s="16">
        <v>808</v>
      </c>
      <c r="K502" s="17">
        <f t="shared" si="28"/>
        <v>12624</v>
      </c>
      <c r="L502" s="17">
        <f t="shared" si="29"/>
        <v>19392</v>
      </c>
      <c r="M502" s="17">
        <f t="shared" si="30"/>
        <v>6768</v>
      </c>
      <c r="N502" s="17" t="str">
        <f t="shared" si="31"/>
        <v>profit</v>
      </c>
    </row>
    <row r="503" spans="1:14" ht="15.6" thickTop="1" thickBot="1" x14ac:dyDescent="0.35">
      <c r="A503" s="15">
        <v>45633</v>
      </c>
      <c r="B503" s="15" t="s">
        <v>213</v>
      </c>
      <c r="C503" s="16" t="s">
        <v>260</v>
      </c>
      <c r="D503" s="16" t="s">
        <v>71</v>
      </c>
      <c r="E503" s="16" t="s">
        <v>10</v>
      </c>
      <c r="F503" s="16" t="s">
        <v>69</v>
      </c>
      <c r="G503" s="16" t="s">
        <v>8</v>
      </c>
      <c r="H503" s="16">
        <v>29</v>
      </c>
      <c r="I503" s="16">
        <v>932</v>
      </c>
      <c r="J503" s="16">
        <v>1316</v>
      </c>
      <c r="K503" s="17">
        <f t="shared" si="28"/>
        <v>27028</v>
      </c>
      <c r="L503" s="17">
        <f t="shared" si="29"/>
        <v>38164</v>
      </c>
      <c r="M503" s="17">
        <f t="shared" si="30"/>
        <v>11136</v>
      </c>
      <c r="N503" s="17" t="str">
        <f t="shared" si="31"/>
        <v>profit</v>
      </c>
    </row>
    <row r="504" spans="1:14" ht="15.6" thickTop="1" thickBot="1" x14ac:dyDescent="0.35">
      <c r="A504" s="15">
        <v>45554</v>
      </c>
      <c r="B504" s="15" t="s">
        <v>94</v>
      </c>
      <c r="C504" s="16" t="s">
        <v>150</v>
      </c>
      <c r="D504" s="16" t="s">
        <v>43</v>
      </c>
      <c r="E504" s="16" t="s">
        <v>62</v>
      </c>
      <c r="F504" s="16" t="s">
        <v>64</v>
      </c>
      <c r="G504" s="16" t="s">
        <v>12</v>
      </c>
      <c r="H504" s="16">
        <v>17</v>
      </c>
      <c r="I504" s="16">
        <v>614</v>
      </c>
      <c r="J504" s="16">
        <v>1273</v>
      </c>
      <c r="K504" s="17">
        <f t="shared" si="28"/>
        <v>10438</v>
      </c>
      <c r="L504" s="17">
        <f t="shared" si="29"/>
        <v>21641</v>
      </c>
      <c r="M504" s="17">
        <f t="shared" si="30"/>
        <v>11203</v>
      </c>
      <c r="N504" s="17" t="str">
        <f t="shared" si="31"/>
        <v>profit</v>
      </c>
    </row>
    <row r="505" spans="1:14" ht="15.6" thickTop="1" thickBot="1" x14ac:dyDescent="0.35">
      <c r="A505" s="15">
        <v>45635</v>
      </c>
      <c r="B505" s="15" t="s">
        <v>213</v>
      </c>
      <c r="C505" s="16" t="s">
        <v>261</v>
      </c>
      <c r="D505" s="16" t="s">
        <v>71</v>
      </c>
      <c r="E505" s="16" t="s">
        <v>10</v>
      </c>
      <c r="F505" s="16" t="s">
        <v>178</v>
      </c>
      <c r="G505" s="16" t="s">
        <v>12</v>
      </c>
      <c r="H505" s="16">
        <v>22</v>
      </c>
      <c r="I505" s="16">
        <v>603</v>
      </c>
      <c r="J505" s="16">
        <v>794</v>
      </c>
      <c r="K505" s="17">
        <f t="shared" si="28"/>
        <v>13266</v>
      </c>
      <c r="L505" s="17">
        <f t="shared" si="29"/>
        <v>17468</v>
      </c>
      <c r="M505" s="17">
        <f t="shared" si="30"/>
        <v>4202</v>
      </c>
      <c r="N505" s="17" t="str">
        <f t="shared" si="31"/>
        <v>profit</v>
      </c>
    </row>
    <row r="506" spans="1:14" ht="15.6" thickTop="1" thickBot="1" x14ac:dyDescent="0.35">
      <c r="A506" s="15">
        <v>45689</v>
      </c>
      <c r="B506" s="15" t="s">
        <v>262</v>
      </c>
      <c r="C506" s="16" t="s">
        <v>263</v>
      </c>
      <c r="D506" s="16" t="s">
        <v>71</v>
      </c>
      <c r="E506" s="16" t="s">
        <v>10</v>
      </c>
      <c r="F506" s="16" t="s">
        <v>69</v>
      </c>
      <c r="G506" s="16" t="s">
        <v>8</v>
      </c>
      <c r="H506" s="16">
        <v>30</v>
      </c>
      <c r="I506" s="16">
        <v>946</v>
      </c>
      <c r="J506" s="16">
        <v>1109</v>
      </c>
      <c r="K506" s="17">
        <f t="shared" si="28"/>
        <v>28380</v>
      </c>
      <c r="L506" s="17">
        <f t="shared" si="29"/>
        <v>33270</v>
      </c>
      <c r="M506" s="17">
        <f t="shared" si="30"/>
        <v>4890</v>
      </c>
      <c r="N506" s="17" t="str">
        <f t="shared" si="31"/>
        <v>profit</v>
      </c>
    </row>
    <row r="507" spans="1:14" ht="15.6" thickTop="1" thickBot="1" x14ac:dyDescent="0.35">
      <c r="A507" s="15">
        <v>45690</v>
      </c>
      <c r="B507" s="15" t="s">
        <v>262</v>
      </c>
      <c r="C507" s="16" t="s">
        <v>264</v>
      </c>
      <c r="D507" s="16" t="s">
        <v>71</v>
      </c>
      <c r="E507" s="16" t="s">
        <v>10</v>
      </c>
      <c r="F507" s="16" t="s">
        <v>176</v>
      </c>
      <c r="G507" s="16" t="s">
        <v>8</v>
      </c>
      <c r="H507" s="16">
        <v>24</v>
      </c>
      <c r="I507" s="16">
        <v>580</v>
      </c>
      <c r="J507" s="16">
        <v>809</v>
      </c>
      <c r="K507" s="17">
        <f t="shared" si="28"/>
        <v>13920</v>
      </c>
      <c r="L507" s="17">
        <f t="shared" si="29"/>
        <v>19416</v>
      </c>
      <c r="M507" s="17">
        <f t="shared" si="30"/>
        <v>5496</v>
      </c>
      <c r="N507" s="17" t="str">
        <f t="shared" si="31"/>
        <v>profit</v>
      </c>
    </row>
    <row r="508" spans="1:14" ht="15.6" thickTop="1" thickBot="1" x14ac:dyDescent="0.35">
      <c r="A508" s="15">
        <v>45691</v>
      </c>
      <c r="B508" s="15" t="s">
        <v>262</v>
      </c>
      <c r="C508" s="16" t="s">
        <v>265</v>
      </c>
      <c r="D508" s="16" t="s">
        <v>71</v>
      </c>
      <c r="E508" s="16" t="s">
        <v>10</v>
      </c>
      <c r="F508" s="16" t="s">
        <v>178</v>
      </c>
      <c r="G508" s="16" t="s">
        <v>8</v>
      </c>
      <c r="H508" s="16">
        <v>30</v>
      </c>
      <c r="I508" s="16">
        <v>732</v>
      </c>
      <c r="J508" s="16">
        <v>944</v>
      </c>
      <c r="K508" s="17">
        <f t="shared" si="28"/>
        <v>21960</v>
      </c>
      <c r="L508" s="17">
        <f t="shared" si="29"/>
        <v>28320</v>
      </c>
      <c r="M508" s="17">
        <f t="shared" si="30"/>
        <v>6360</v>
      </c>
      <c r="N508" s="17" t="str">
        <f t="shared" si="31"/>
        <v>profit</v>
      </c>
    </row>
    <row r="509" spans="1:14" ht="15.6" thickTop="1" thickBot="1" x14ac:dyDescent="0.35">
      <c r="A509" s="15">
        <v>45692</v>
      </c>
      <c r="B509" s="15" t="s">
        <v>262</v>
      </c>
      <c r="C509" s="16" t="s">
        <v>267</v>
      </c>
      <c r="D509" s="16" t="s">
        <v>71</v>
      </c>
      <c r="E509" s="16" t="s">
        <v>10</v>
      </c>
      <c r="F509" s="16" t="s">
        <v>45</v>
      </c>
      <c r="G509" s="16" t="s">
        <v>12</v>
      </c>
      <c r="H509" s="16">
        <v>20</v>
      </c>
      <c r="I509" s="16">
        <v>552</v>
      </c>
      <c r="J509" s="16">
        <v>1261</v>
      </c>
      <c r="K509" s="17">
        <f t="shared" si="28"/>
        <v>11040</v>
      </c>
      <c r="L509" s="17">
        <f t="shared" si="29"/>
        <v>25220</v>
      </c>
      <c r="M509" s="17">
        <f t="shared" si="30"/>
        <v>14180</v>
      </c>
      <c r="N509" s="17" t="str">
        <f t="shared" si="31"/>
        <v>profit</v>
      </c>
    </row>
    <row r="510" spans="1:14" ht="15.6" thickTop="1" thickBot="1" x14ac:dyDescent="0.35">
      <c r="A510" s="15">
        <v>45693</v>
      </c>
      <c r="B510" s="15" t="s">
        <v>262</v>
      </c>
      <c r="C510" s="16" t="s">
        <v>268</v>
      </c>
      <c r="D510" s="16" t="s">
        <v>71</v>
      </c>
      <c r="E510" s="16" t="s">
        <v>10</v>
      </c>
      <c r="F510" s="16" t="s">
        <v>47</v>
      </c>
      <c r="G510" s="16" t="s">
        <v>12</v>
      </c>
      <c r="H510" s="16">
        <v>21</v>
      </c>
      <c r="I510" s="16">
        <v>876</v>
      </c>
      <c r="J510" s="16">
        <v>1452</v>
      </c>
      <c r="K510" s="17">
        <f t="shared" si="28"/>
        <v>18396</v>
      </c>
      <c r="L510" s="17">
        <f t="shared" si="29"/>
        <v>30492</v>
      </c>
      <c r="M510" s="17">
        <f t="shared" si="30"/>
        <v>12096</v>
      </c>
      <c r="N510" s="17" t="str">
        <f t="shared" si="31"/>
        <v>profit</v>
      </c>
    </row>
    <row r="511" spans="1:14" ht="15.6" thickTop="1" thickBot="1" x14ac:dyDescent="0.35">
      <c r="A511" s="15">
        <v>45694</v>
      </c>
      <c r="B511" s="15" t="s">
        <v>262</v>
      </c>
      <c r="C511" s="16" t="s">
        <v>269</v>
      </c>
      <c r="D511" s="16" t="s">
        <v>71</v>
      </c>
      <c r="E511" s="16" t="s">
        <v>10</v>
      </c>
      <c r="F511" s="16" t="s">
        <v>49</v>
      </c>
      <c r="G511" s="16" t="s">
        <v>12</v>
      </c>
      <c r="H511" s="16">
        <v>27</v>
      </c>
      <c r="I511" s="16">
        <v>636</v>
      </c>
      <c r="J511" s="16">
        <v>1284</v>
      </c>
      <c r="K511" s="17">
        <f t="shared" si="28"/>
        <v>17172</v>
      </c>
      <c r="L511" s="17">
        <f t="shared" si="29"/>
        <v>34668</v>
      </c>
      <c r="M511" s="17">
        <f t="shared" si="30"/>
        <v>17496</v>
      </c>
      <c r="N511" s="17" t="str">
        <f t="shared" si="31"/>
        <v>profit</v>
      </c>
    </row>
    <row r="512" spans="1:14" ht="15.6" thickTop="1" thickBot="1" x14ac:dyDescent="0.35">
      <c r="A512" s="15">
        <v>45695</v>
      </c>
      <c r="B512" s="15" t="s">
        <v>262</v>
      </c>
      <c r="C512" s="16" t="s">
        <v>271</v>
      </c>
      <c r="D512" s="16" t="s">
        <v>71</v>
      </c>
      <c r="E512" s="16" t="s">
        <v>10</v>
      </c>
      <c r="F512" s="16" t="s">
        <v>51</v>
      </c>
      <c r="G512" s="16" t="s">
        <v>12</v>
      </c>
      <c r="H512" s="16">
        <v>21</v>
      </c>
      <c r="I512" s="16">
        <v>974</v>
      </c>
      <c r="J512" s="16">
        <v>1363</v>
      </c>
      <c r="K512" s="17">
        <f t="shared" si="28"/>
        <v>20454</v>
      </c>
      <c r="L512" s="17">
        <f t="shared" si="29"/>
        <v>28623</v>
      </c>
      <c r="M512" s="17">
        <f t="shared" si="30"/>
        <v>8169</v>
      </c>
      <c r="N512" s="17" t="str">
        <f t="shared" si="31"/>
        <v>profit</v>
      </c>
    </row>
    <row r="513" spans="1:14" ht="15.6" thickTop="1" thickBot="1" x14ac:dyDescent="0.35">
      <c r="A513" s="15">
        <v>45563</v>
      </c>
      <c r="B513" s="15" t="s">
        <v>94</v>
      </c>
      <c r="C513" s="16" t="s">
        <v>151</v>
      </c>
      <c r="D513" s="16" t="s">
        <v>43</v>
      </c>
      <c r="E513" s="16" t="s">
        <v>44</v>
      </c>
      <c r="F513" s="16" t="s">
        <v>64</v>
      </c>
      <c r="G513" s="16" t="s">
        <v>8</v>
      </c>
      <c r="H513" s="16">
        <v>10</v>
      </c>
      <c r="I513" s="16">
        <v>572</v>
      </c>
      <c r="J513" s="16">
        <v>801</v>
      </c>
      <c r="K513" s="17">
        <f t="shared" si="28"/>
        <v>5720</v>
      </c>
      <c r="L513" s="17">
        <f t="shared" si="29"/>
        <v>8010</v>
      </c>
      <c r="M513" s="17">
        <f t="shared" si="30"/>
        <v>2290</v>
      </c>
      <c r="N513" s="17" t="str">
        <f t="shared" si="31"/>
        <v>profit</v>
      </c>
    </row>
    <row r="514" spans="1:14" ht="15.6" thickTop="1" thickBot="1" x14ac:dyDescent="0.35">
      <c r="A514" s="15">
        <v>45696</v>
      </c>
      <c r="B514" s="15" t="s">
        <v>262</v>
      </c>
      <c r="C514" s="16" t="s">
        <v>272</v>
      </c>
      <c r="D514" s="16" t="s">
        <v>71</v>
      </c>
      <c r="E514" s="16" t="s">
        <v>10</v>
      </c>
      <c r="F514" s="16" t="s">
        <v>51</v>
      </c>
      <c r="G514" s="16" t="s">
        <v>12</v>
      </c>
      <c r="H514" s="16">
        <v>30</v>
      </c>
      <c r="I514" s="16">
        <v>518</v>
      </c>
      <c r="J514" s="16">
        <v>858</v>
      </c>
      <c r="K514" s="17">
        <f t="shared" ref="K514:K577" si="32">H514*I514</f>
        <v>15540</v>
      </c>
      <c r="L514" s="17">
        <f t="shared" ref="L514:L577" si="33">H514*J514</f>
        <v>25740</v>
      </c>
      <c r="M514" s="17">
        <f t="shared" ref="M514:M577" si="34">L514-K514</f>
        <v>10200</v>
      </c>
      <c r="N514" s="17" t="str">
        <f t="shared" ref="N514:N577" si="35">IF(M514&gt;0,"profit","loss")</f>
        <v>profit</v>
      </c>
    </row>
    <row r="515" spans="1:14" ht="15.6" thickTop="1" thickBot="1" x14ac:dyDescent="0.35">
      <c r="A515" s="15">
        <v>45565</v>
      </c>
      <c r="B515" s="15" t="s">
        <v>94</v>
      </c>
      <c r="C515" s="16" t="s">
        <v>152</v>
      </c>
      <c r="D515" s="16" t="s">
        <v>43</v>
      </c>
      <c r="E515" s="16" t="s">
        <v>44</v>
      </c>
      <c r="F515" s="16" t="s">
        <v>89</v>
      </c>
      <c r="G515" s="16" t="s">
        <v>8</v>
      </c>
      <c r="H515" s="16">
        <v>12</v>
      </c>
      <c r="I515" s="16">
        <v>674</v>
      </c>
      <c r="J515" s="16">
        <v>1265</v>
      </c>
      <c r="K515" s="17">
        <f t="shared" si="32"/>
        <v>8088</v>
      </c>
      <c r="L515" s="17">
        <f t="shared" si="33"/>
        <v>15180</v>
      </c>
      <c r="M515" s="17">
        <f t="shared" si="34"/>
        <v>7092</v>
      </c>
      <c r="N515" s="17" t="str">
        <f t="shared" si="35"/>
        <v>profit</v>
      </c>
    </row>
    <row r="516" spans="1:14" ht="15.6" thickTop="1" thickBot="1" x14ac:dyDescent="0.35">
      <c r="A516" s="15">
        <v>45697</v>
      </c>
      <c r="B516" s="15" t="s">
        <v>262</v>
      </c>
      <c r="C516" s="16" t="s">
        <v>273</v>
      </c>
      <c r="D516" s="16" t="s">
        <v>71</v>
      </c>
      <c r="E516" s="16" t="s">
        <v>10</v>
      </c>
      <c r="F516" s="16" t="s">
        <v>53</v>
      </c>
      <c r="G516" s="16" t="s">
        <v>8</v>
      </c>
      <c r="H516" s="16">
        <v>21</v>
      </c>
      <c r="I516" s="16">
        <v>531</v>
      </c>
      <c r="J516" s="16">
        <v>955</v>
      </c>
      <c r="K516" s="17">
        <f t="shared" si="32"/>
        <v>11151</v>
      </c>
      <c r="L516" s="17">
        <f t="shared" si="33"/>
        <v>20055</v>
      </c>
      <c r="M516" s="17">
        <f t="shared" si="34"/>
        <v>8904</v>
      </c>
      <c r="N516" s="17" t="str">
        <f t="shared" si="35"/>
        <v>profit</v>
      </c>
    </row>
    <row r="517" spans="1:14" ht="15.6" thickTop="1" thickBot="1" x14ac:dyDescent="0.35">
      <c r="A517" s="15">
        <v>45699</v>
      </c>
      <c r="B517" s="15" t="s">
        <v>262</v>
      </c>
      <c r="C517" s="16" t="s">
        <v>274</v>
      </c>
      <c r="D517" s="16" t="s">
        <v>71</v>
      </c>
      <c r="E517" s="16" t="s">
        <v>10</v>
      </c>
      <c r="F517" s="16" t="s">
        <v>60</v>
      </c>
      <c r="G517" s="16" t="s">
        <v>8</v>
      </c>
      <c r="H517" s="16">
        <v>26</v>
      </c>
      <c r="I517" s="16">
        <v>842</v>
      </c>
      <c r="J517" s="16">
        <v>1074</v>
      </c>
      <c r="K517" s="17">
        <f t="shared" si="32"/>
        <v>21892</v>
      </c>
      <c r="L517" s="17">
        <f t="shared" si="33"/>
        <v>27924</v>
      </c>
      <c r="M517" s="17">
        <f t="shared" si="34"/>
        <v>6032</v>
      </c>
      <c r="N517" s="17" t="str">
        <f t="shared" si="35"/>
        <v>profit</v>
      </c>
    </row>
    <row r="518" spans="1:14" ht="15.6" thickTop="1" thickBot="1" x14ac:dyDescent="0.35">
      <c r="A518" s="15">
        <v>45387</v>
      </c>
      <c r="B518" s="15" t="s">
        <v>56</v>
      </c>
      <c r="C518" s="16" t="s">
        <v>278</v>
      </c>
      <c r="D518" s="16" t="s">
        <v>58</v>
      </c>
      <c r="E518" s="16" t="s">
        <v>59</v>
      </c>
      <c r="F518" s="16" t="s">
        <v>100</v>
      </c>
      <c r="G518" s="16" t="s">
        <v>12</v>
      </c>
      <c r="H518" s="16">
        <v>95</v>
      </c>
      <c r="I518" s="16">
        <v>936</v>
      </c>
      <c r="J518" s="16">
        <v>1350</v>
      </c>
      <c r="K518" s="17">
        <f t="shared" si="32"/>
        <v>88920</v>
      </c>
      <c r="L518" s="17">
        <f t="shared" si="33"/>
        <v>128250</v>
      </c>
      <c r="M518" s="17">
        <f t="shared" si="34"/>
        <v>39330</v>
      </c>
      <c r="N518" s="17" t="str">
        <f t="shared" si="35"/>
        <v>profit</v>
      </c>
    </row>
    <row r="519" spans="1:14" ht="15.6" thickTop="1" thickBot="1" x14ac:dyDescent="0.35">
      <c r="A519" s="15">
        <v>45388</v>
      </c>
      <c r="B519" s="15" t="s">
        <v>56</v>
      </c>
      <c r="C519" s="16" t="s">
        <v>279</v>
      </c>
      <c r="D519" s="16" t="s">
        <v>58</v>
      </c>
      <c r="E519" s="16" t="s">
        <v>59</v>
      </c>
      <c r="F519" s="16" t="s">
        <v>102</v>
      </c>
      <c r="G519" s="16" t="s">
        <v>12</v>
      </c>
      <c r="H519" s="16">
        <v>84</v>
      </c>
      <c r="I519" s="16">
        <v>784</v>
      </c>
      <c r="J519" s="16">
        <v>965</v>
      </c>
      <c r="K519" s="17">
        <f t="shared" si="32"/>
        <v>65856</v>
      </c>
      <c r="L519" s="17">
        <f t="shared" si="33"/>
        <v>81060</v>
      </c>
      <c r="M519" s="17">
        <f t="shared" si="34"/>
        <v>15204</v>
      </c>
      <c r="N519" s="17" t="str">
        <f t="shared" si="35"/>
        <v>profit</v>
      </c>
    </row>
    <row r="520" spans="1:14" ht="15.6" thickTop="1" thickBot="1" x14ac:dyDescent="0.35">
      <c r="A520" s="15">
        <v>45390</v>
      </c>
      <c r="B520" s="15" t="s">
        <v>56</v>
      </c>
      <c r="C520" s="16" t="s">
        <v>280</v>
      </c>
      <c r="D520" s="16" t="s">
        <v>58</v>
      </c>
      <c r="E520" s="16" t="s">
        <v>59</v>
      </c>
      <c r="F520" s="16" t="s">
        <v>69</v>
      </c>
      <c r="G520" s="16" t="s">
        <v>12</v>
      </c>
      <c r="H520" s="16">
        <v>51</v>
      </c>
      <c r="I520" s="16">
        <v>847</v>
      </c>
      <c r="J520" s="16">
        <v>972</v>
      </c>
      <c r="K520" s="17">
        <f t="shared" si="32"/>
        <v>43197</v>
      </c>
      <c r="L520" s="17">
        <f t="shared" si="33"/>
        <v>49572</v>
      </c>
      <c r="M520" s="17">
        <f t="shared" si="34"/>
        <v>6375</v>
      </c>
      <c r="N520" s="17" t="str">
        <f t="shared" si="35"/>
        <v>profit</v>
      </c>
    </row>
    <row r="521" spans="1:14" ht="15.6" thickTop="1" thickBot="1" x14ac:dyDescent="0.35">
      <c r="A521" s="15">
        <v>45571</v>
      </c>
      <c r="B521" s="15" t="s">
        <v>109</v>
      </c>
      <c r="C521" s="16" t="s">
        <v>153</v>
      </c>
      <c r="D521" s="16" t="s">
        <v>58</v>
      </c>
      <c r="E521" s="16" t="s">
        <v>123</v>
      </c>
      <c r="F521" s="16" t="s">
        <v>69</v>
      </c>
      <c r="G521" s="16" t="s">
        <v>8</v>
      </c>
      <c r="H521" s="16">
        <v>52</v>
      </c>
      <c r="I521" s="16">
        <v>546</v>
      </c>
      <c r="J521" s="16">
        <v>1482</v>
      </c>
      <c r="K521" s="17">
        <f t="shared" si="32"/>
        <v>28392</v>
      </c>
      <c r="L521" s="17">
        <f t="shared" si="33"/>
        <v>77064</v>
      </c>
      <c r="M521" s="17">
        <f t="shared" si="34"/>
        <v>48672</v>
      </c>
      <c r="N521" s="17" t="str">
        <f t="shared" si="35"/>
        <v>profit</v>
      </c>
    </row>
    <row r="522" spans="1:14" ht="15.6" thickTop="1" thickBot="1" x14ac:dyDescent="0.35">
      <c r="A522" s="15">
        <v>45397</v>
      </c>
      <c r="B522" s="15" t="s">
        <v>56</v>
      </c>
      <c r="C522" s="16" t="s">
        <v>281</v>
      </c>
      <c r="D522" s="16" t="s">
        <v>58</v>
      </c>
      <c r="E522" s="16" t="s">
        <v>186</v>
      </c>
      <c r="F522" s="16" t="s">
        <v>69</v>
      </c>
      <c r="G522" s="16" t="s">
        <v>8</v>
      </c>
      <c r="H522" s="16">
        <v>68</v>
      </c>
      <c r="I522" s="16">
        <v>534</v>
      </c>
      <c r="J522" s="16">
        <v>1085</v>
      </c>
      <c r="K522" s="17">
        <f t="shared" si="32"/>
        <v>36312</v>
      </c>
      <c r="L522" s="17">
        <f t="shared" si="33"/>
        <v>73780</v>
      </c>
      <c r="M522" s="17">
        <f t="shared" si="34"/>
        <v>37468</v>
      </c>
      <c r="N522" s="17" t="str">
        <f t="shared" si="35"/>
        <v>profit</v>
      </c>
    </row>
    <row r="523" spans="1:14" ht="15.6" thickTop="1" thickBot="1" x14ac:dyDescent="0.35">
      <c r="A523" s="15">
        <v>45398</v>
      </c>
      <c r="B523" s="15" t="s">
        <v>56</v>
      </c>
      <c r="C523" s="16" t="s">
        <v>282</v>
      </c>
      <c r="D523" s="16" t="s">
        <v>58</v>
      </c>
      <c r="E523" s="16" t="s">
        <v>186</v>
      </c>
      <c r="F523" s="16" t="s">
        <v>74</v>
      </c>
      <c r="G523" s="16" t="s">
        <v>8</v>
      </c>
      <c r="H523" s="16">
        <v>68</v>
      </c>
      <c r="I523" s="16">
        <v>575</v>
      </c>
      <c r="J523" s="16">
        <v>1242</v>
      </c>
      <c r="K523" s="17">
        <f t="shared" si="32"/>
        <v>39100</v>
      </c>
      <c r="L523" s="17">
        <f t="shared" si="33"/>
        <v>84456</v>
      </c>
      <c r="M523" s="17">
        <f t="shared" si="34"/>
        <v>45356</v>
      </c>
      <c r="N523" s="17" t="str">
        <f t="shared" si="35"/>
        <v>profit</v>
      </c>
    </row>
    <row r="524" spans="1:14" ht="15.6" thickTop="1" thickBot="1" x14ac:dyDescent="0.35">
      <c r="A524" s="15">
        <v>45399</v>
      </c>
      <c r="B524" s="15" t="s">
        <v>56</v>
      </c>
      <c r="C524" s="16" t="s">
        <v>283</v>
      </c>
      <c r="D524" s="16" t="s">
        <v>58</v>
      </c>
      <c r="E524" s="16" t="s">
        <v>186</v>
      </c>
      <c r="F524" s="16" t="s">
        <v>53</v>
      </c>
      <c r="G524" s="16" t="s">
        <v>8</v>
      </c>
      <c r="H524" s="16">
        <v>79</v>
      </c>
      <c r="I524" s="16">
        <v>537</v>
      </c>
      <c r="J524" s="16">
        <v>850</v>
      </c>
      <c r="K524" s="17">
        <f t="shared" si="32"/>
        <v>42423</v>
      </c>
      <c r="L524" s="17">
        <f t="shared" si="33"/>
        <v>67150</v>
      </c>
      <c r="M524" s="17">
        <f t="shared" si="34"/>
        <v>24727</v>
      </c>
      <c r="N524" s="17" t="str">
        <f t="shared" si="35"/>
        <v>profit</v>
      </c>
    </row>
    <row r="525" spans="1:14" ht="15.6" thickTop="1" thickBot="1" x14ac:dyDescent="0.35">
      <c r="A525" s="15">
        <v>45400</v>
      </c>
      <c r="B525" s="15" t="s">
        <v>56</v>
      </c>
      <c r="C525" s="16" t="s">
        <v>284</v>
      </c>
      <c r="D525" s="16" t="s">
        <v>58</v>
      </c>
      <c r="E525" s="16" t="s">
        <v>186</v>
      </c>
      <c r="F525" s="16" t="s">
        <v>77</v>
      </c>
      <c r="G525" s="16" t="s">
        <v>8</v>
      </c>
      <c r="H525" s="16">
        <v>65</v>
      </c>
      <c r="I525" s="16">
        <v>935</v>
      </c>
      <c r="J525" s="16">
        <v>752</v>
      </c>
      <c r="K525" s="17">
        <f t="shared" si="32"/>
        <v>60775</v>
      </c>
      <c r="L525" s="17">
        <f t="shared" si="33"/>
        <v>48880</v>
      </c>
      <c r="M525" s="17">
        <f t="shared" si="34"/>
        <v>-11895</v>
      </c>
      <c r="N525" s="17" t="str">
        <f t="shared" si="35"/>
        <v>loss</v>
      </c>
    </row>
    <row r="526" spans="1:14" ht="15.6" thickTop="1" thickBot="1" x14ac:dyDescent="0.35">
      <c r="A526" s="15">
        <v>45401</v>
      </c>
      <c r="B526" s="15" t="s">
        <v>56</v>
      </c>
      <c r="C526" s="16" t="s">
        <v>285</v>
      </c>
      <c r="D526" s="16" t="s">
        <v>58</v>
      </c>
      <c r="E526" s="16" t="s">
        <v>186</v>
      </c>
      <c r="F526" s="16" t="s">
        <v>79</v>
      </c>
      <c r="G526" s="16" t="s">
        <v>8</v>
      </c>
      <c r="H526" s="16">
        <v>66</v>
      </c>
      <c r="I526" s="16">
        <v>709</v>
      </c>
      <c r="J526" s="16">
        <v>1021</v>
      </c>
      <c r="K526" s="17">
        <f t="shared" si="32"/>
        <v>46794</v>
      </c>
      <c r="L526" s="17">
        <f t="shared" si="33"/>
        <v>67386</v>
      </c>
      <c r="M526" s="17">
        <f t="shared" si="34"/>
        <v>20592</v>
      </c>
      <c r="N526" s="17" t="str">
        <f t="shared" si="35"/>
        <v>profit</v>
      </c>
    </row>
    <row r="527" spans="1:14" ht="15.6" thickTop="1" thickBot="1" x14ac:dyDescent="0.35">
      <c r="A527" s="15">
        <v>45402</v>
      </c>
      <c r="B527" s="15" t="s">
        <v>56</v>
      </c>
      <c r="C527" s="16" t="s">
        <v>286</v>
      </c>
      <c r="D527" s="16" t="s">
        <v>58</v>
      </c>
      <c r="E527" s="16" t="s">
        <v>186</v>
      </c>
      <c r="F527" s="16" t="s">
        <v>60</v>
      </c>
      <c r="G527" s="16" t="s">
        <v>12</v>
      </c>
      <c r="H527" s="16">
        <v>70</v>
      </c>
      <c r="I527" s="16">
        <v>751</v>
      </c>
      <c r="J527" s="16">
        <v>1485</v>
      </c>
      <c r="K527" s="17">
        <f t="shared" si="32"/>
        <v>52570</v>
      </c>
      <c r="L527" s="17">
        <f t="shared" si="33"/>
        <v>103950</v>
      </c>
      <c r="M527" s="17">
        <f t="shared" si="34"/>
        <v>51380</v>
      </c>
      <c r="N527" s="17" t="str">
        <f t="shared" si="35"/>
        <v>profit</v>
      </c>
    </row>
    <row r="528" spans="1:14" ht="15.6" thickTop="1" thickBot="1" x14ac:dyDescent="0.35">
      <c r="A528" s="15">
        <v>45578</v>
      </c>
      <c r="B528" s="15" t="s">
        <v>109</v>
      </c>
      <c r="C528" s="16" t="s">
        <v>158</v>
      </c>
      <c r="D528" s="16" t="s">
        <v>58</v>
      </c>
      <c r="E528" s="16" t="s">
        <v>143</v>
      </c>
      <c r="F528" s="16" t="s">
        <v>51</v>
      </c>
      <c r="G528" s="16" t="s">
        <v>12</v>
      </c>
      <c r="H528" s="16">
        <v>86</v>
      </c>
      <c r="I528" s="16">
        <v>717</v>
      </c>
      <c r="J528" s="16">
        <v>1445</v>
      </c>
      <c r="K528" s="17">
        <f t="shared" si="32"/>
        <v>61662</v>
      </c>
      <c r="L528" s="17">
        <f t="shared" si="33"/>
        <v>124270</v>
      </c>
      <c r="M528" s="17">
        <f t="shared" si="34"/>
        <v>62608</v>
      </c>
      <c r="N528" s="17" t="str">
        <f t="shared" si="35"/>
        <v>profit</v>
      </c>
    </row>
    <row r="529" spans="1:14" ht="15.6" thickTop="1" thickBot="1" x14ac:dyDescent="0.35">
      <c r="A529" s="15">
        <v>45403</v>
      </c>
      <c r="B529" s="15" t="s">
        <v>56</v>
      </c>
      <c r="C529" s="16" t="s">
        <v>287</v>
      </c>
      <c r="D529" s="16" t="s">
        <v>58</v>
      </c>
      <c r="E529" s="16" t="s">
        <v>186</v>
      </c>
      <c r="F529" s="16" t="s">
        <v>64</v>
      </c>
      <c r="G529" s="16" t="s">
        <v>12</v>
      </c>
      <c r="H529" s="16">
        <v>75</v>
      </c>
      <c r="I529" s="16">
        <v>686</v>
      </c>
      <c r="J529" s="16">
        <v>1254</v>
      </c>
      <c r="K529" s="17">
        <f t="shared" si="32"/>
        <v>51450</v>
      </c>
      <c r="L529" s="17">
        <f t="shared" si="33"/>
        <v>94050</v>
      </c>
      <c r="M529" s="17">
        <f t="shared" si="34"/>
        <v>42600</v>
      </c>
      <c r="N529" s="17" t="str">
        <f t="shared" si="35"/>
        <v>profit</v>
      </c>
    </row>
    <row r="530" spans="1:14" ht="15.6" thickTop="1" thickBot="1" x14ac:dyDescent="0.35">
      <c r="A530" s="15">
        <v>45431</v>
      </c>
      <c r="B530" s="15" t="s">
        <v>121</v>
      </c>
      <c r="C530" s="16" t="s">
        <v>288</v>
      </c>
      <c r="D530" s="16" t="s">
        <v>58</v>
      </c>
      <c r="E530" s="16" t="s">
        <v>123</v>
      </c>
      <c r="F530" s="16" t="s">
        <v>85</v>
      </c>
      <c r="G530" s="16" t="s">
        <v>12</v>
      </c>
      <c r="H530" s="16">
        <v>91</v>
      </c>
      <c r="I530" s="16">
        <v>518</v>
      </c>
      <c r="J530" s="16">
        <v>1465</v>
      </c>
      <c r="K530" s="17">
        <f t="shared" si="32"/>
        <v>47138</v>
      </c>
      <c r="L530" s="17">
        <f t="shared" si="33"/>
        <v>133315</v>
      </c>
      <c r="M530" s="17">
        <f t="shared" si="34"/>
        <v>86177</v>
      </c>
      <c r="N530" s="17" t="str">
        <f t="shared" si="35"/>
        <v>profit</v>
      </c>
    </row>
    <row r="531" spans="1:14" ht="15.6" thickTop="1" thickBot="1" x14ac:dyDescent="0.35">
      <c r="A531" s="15">
        <v>45433</v>
      </c>
      <c r="B531" s="15" t="s">
        <v>121</v>
      </c>
      <c r="C531" s="16" t="s">
        <v>289</v>
      </c>
      <c r="D531" s="16" t="s">
        <v>58</v>
      </c>
      <c r="E531" s="16" t="s">
        <v>123</v>
      </c>
      <c r="F531" s="16" t="s">
        <v>64</v>
      </c>
      <c r="G531" s="16" t="s">
        <v>8</v>
      </c>
      <c r="H531" s="16">
        <v>96</v>
      </c>
      <c r="I531" s="16">
        <v>791</v>
      </c>
      <c r="J531" s="16">
        <v>931</v>
      </c>
      <c r="K531" s="17">
        <f t="shared" si="32"/>
        <v>75936</v>
      </c>
      <c r="L531" s="17">
        <f t="shared" si="33"/>
        <v>89376</v>
      </c>
      <c r="M531" s="17">
        <f t="shared" si="34"/>
        <v>13440</v>
      </c>
      <c r="N531" s="17" t="str">
        <f t="shared" si="35"/>
        <v>profit</v>
      </c>
    </row>
    <row r="532" spans="1:14" ht="15.6" thickTop="1" thickBot="1" x14ac:dyDescent="0.35">
      <c r="A532" s="15">
        <v>45434</v>
      </c>
      <c r="B532" s="15" t="s">
        <v>121</v>
      </c>
      <c r="C532" s="16" t="s">
        <v>290</v>
      </c>
      <c r="D532" s="16" t="s">
        <v>58</v>
      </c>
      <c r="E532" s="16" t="s">
        <v>123</v>
      </c>
      <c r="F532" s="16" t="s">
        <v>64</v>
      </c>
      <c r="G532" s="16" t="s">
        <v>8</v>
      </c>
      <c r="H532" s="16">
        <v>69</v>
      </c>
      <c r="I532" s="16">
        <v>864</v>
      </c>
      <c r="J532" s="16">
        <v>935</v>
      </c>
      <c r="K532" s="17">
        <f t="shared" si="32"/>
        <v>59616</v>
      </c>
      <c r="L532" s="17">
        <f t="shared" si="33"/>
        <v>64515</v>
      </c>
      <c r="M532" s="17">
        <f t="shared" si="34"/>
        <v>4899</v>
      </c>
      <c r="N532" s="17" t="str">
        <f t="shared" si="35"/>
        <v>profit</v>
      </c>
    </row>
    <row r="533" spans="1:14" ht="15.6" thickTop="1" thickBot="1" x14ac:dyDescent="0.35">
      <c r="A533" s="15">
        <v>45583</v>
      </c>
      <c r="B533" s="15" t="s">
        <v>109</v>
      </c>
      <c r="C533" s="16" t="s">
        <v>163</v>
      </c>
      <c r="D533" s="16" t="s">
        <v>43</v>
      </c>
      <c r="E533" s="16" t="s">
        <v>62</v>
      </c>
      <c r="F533" s="16" t="s">
        <v>79</v>
      </c>
      <c r="G533" s="16" t="s">
        <v>8</v>
      </c>
      <c r="H533" s="16">
        <v>20</v>
      </c>
      <c r="I533" s="16">
        <v>784</v>
      </c>
      <c r="J533" s="16">
        <v>1320</v>
      </c>
      <c r="K533" s="17">
        <f t="shared" si="32"/>
        <v>15680</v>
      </c>
      <c r="L533" s="17">
        <f t="shared" si="33"/>
        <v>26400</v>
      </c>
      <c r="M533" s="17">
        <f t="shared" si="34"/>
        <v>10720</v>
      </c>
      <c r="N533" s="17" t="str">
        <f t="shared" si="35"/>
        <v>profit</v>
      </c>
    </row>
    <row r="534" spans="1:14" ht="15.6" thickTop="1" thickBot="1" x14ac:dyDescent="0.35">
      <c r="A534" s="15">
        <v>45435</v>
      </c>
      <c r="B534" s="15" t="s">
        <v>121</v>
      </c>
      <c r="C534" s="16" t="s">
        <v>291</v>
      </c>
      <c r="D534" s="16" t="s">
        <v>58</v>
      </c>
      <c r="E534" s="16" t="s">
        <v>123</v>
      </c>
      <c r="F534" s="16" t="s">
        <v>69</v>
      </c>
      <c r="G534" s="16" t="s">
        <v>8</v>
      </c>
      <c r="H534" s="16">
        <v>55</v>
      </c>
      <c r="I534" s="16">
        <v>782</v>
      </c>
      <c r="J534" s="16">
        <v>1335</v>
      </c>
      <c r="K534" s="17">
        <f t="shared" si="32"/>
        <v>43010</v>
      </c>
      <c r="L534" s="17">
        <f t="shared" si="33"/>
        <v>73425</v>
      </c>
      <c r="M534" s="17">
        <f t="shared" si="34"/>
        <v>30415</v>
      </c>
      <c r="N534" s="17" t="str">
        <f t="shared" si="35"/>
        <v>profit</v>
      </c>
    </row>
    <row r="535" spans="1:14" ht="15.6" thickTop="1" thickBot="1" x14ac:dyDescent="0.35">
      <c r="A535" s="15">
        <v>45436</v>
      </c>
      <c r="B535" s="15" t="s">
        <v>121</v>
      </c>
      <c r="C535" s="16" t="s">
        <v>292</v>
      </c>
      <c r="D535" s="16" t="s">
        <v>58</v>
      </c>
      <c r="E535" s="16" t="s">
        <v>123</v>
      </c>
      <c r="F535" s="16" t="s">
        <v>53</v>
      </c>
      <c r="G535" s="16" t="s">
        <v>8</v>
      </c>
      <c r="H535" s="16">
        <v>71</v>
      </c>
      <c r="I535" s="16">
        <v>653</v>
      </c>
      <c r="J535" s="16">
        <v>963</v>
      </c>
      <c r="K535" s="17">
        <f t="shared" si="32"/>
        <v>46363</v>
      </c>
      <c r="L535" s="17">
        <f t="shared" si="33"/>
        <v>68373</v>
      </c>
      <c r="M535" s="17">
        <f t="shared" si="34"/>
        <v>22010</v>
      </c>
      <c r="N535" s="17" t="str">
        <f t="shared" si="35"/>
        <v>profit</v>
      </c>
    </row>
    <row r="536" spans="1:14" ht="15.6" thickTop="1" thickBot="1" x14ac:dyDescent="0.35">
      <c r="A536" s="15">
        <v>45586</v>
      </c>
      <c r="B536" s="15" t="s">
        <v>109</v>
      </c>
      <c r="C536" s="16" t="s">
        <v>166</v>
      </c>
      <c r="D536" s="16" t="s">
        <v>43</v>
      </c>
      <c r="E536" s="16" t="s">
        <v>62</v>
      </c>
      <c r="F536" s="16" t="s">
        <v>64</v>
      </c>
      <c r="G536" s="16" t="s">
        <v>8</v>
      </c>
      <c r="H536" s="16">
        <v>19</v>
      </c>
      <c r="I536" s="16">
        <v>664</v>
      </c>
      <c r="J536" s="16">
        <v>1091</v>
      </c>
      <c r="K536" s="17">
        <f t="shared" si="32"/>
        <v>12616</v>
      </c>
      <c r="L536" s="17">
        <f t="shared" si="33"/>
        <v>20729</v>
      </c>
      <c r="M536" s="17">
        <f t="shared" si="34"/>
        <v>8113</v>
      </c>
      <c r="N536" s="17" t="str">
        <f t="shared" si="35"/>
        <v>profit</v>
      </c>
    </row>
    <row r="537" spans="1:14" ht="15.6" thickTop="1" thickBot="1" x14ac:dyDescent="0.35">
      <c r="A537" s="15">
        <v>45437</v>
      </c>
      <c r="B537" s="15" t="s">
        <v>121</v>
      </c>
      <c r="C537" s="16" t="s">
        <v>293</v>
      </c>
      <c r="D537" s="16" t="s">
        <v>58</v>
      </c>
      <c r="E537" s="16" t="s">
        <v>123</v>
      </c>
      <c r="F537" s="16" t="s">
        <v>69</v>
      </c>
      <c r="G537" s="16" t="s">
        <v>8</v>
      </c>
      <c r="H537" s="16">
        <v>88</v>
      </c>
      <c r="I537" s="16">
        <v>959</v>
      </c>
      <c r="J537" s="16">
        <v>985</v>
      </c>
      <c r="K537" s="17">
        <f t="shared" si="32"/>
        <v>84392</v>
      </c>
      <c r="L537" s="17">
        <f t="shared" si="33"/>
        <v>86680</v>
      </c>
      <c r="M537" s="17">
        <f t="shared" si="34"/>
        <v>2288</v>
      </c>
      <c r="N537" s="17" t="str">
        <f t="shared" si="35"/>
        <v>profit</v>
      </c>
    </row>
    <row r="538" spans="1:14" ht="15.6" thickTop="1" thickBot="1" x14ac:dyDescent="0.35">
      <c r="A538" s="15">
        <v>45588</v>
      </c>
      <c r="B538" s="15" t="s">
        <v>109</v>
      </c>
      <c r="C538" s="16" t="s">
        <v>168</v>
      </c>
      <c r="D538" s="16" t="s">
        <v>71</v>
      </c>
      <c r="E538" s="16" t="s">
        <v>72</v>
      </c>
      <c r="F538" s="16" t="s">
        <v>89</v>
      </c>
      <c r="G538" s="16" t="s">
        <v>8</v>
      </c>
      <c r="H538" s="16">
        <v>26</v>
      </c>
      <c r="I538" s="16">
        <v>674</v>
      </c>
      <c r="J538" s="16">
        <v>857</v>
      </c>
      <c r="K538" s="17">
        <f t="shared" si="32"/>
        <v>17524</v>
      </c>
      <c r="L538" s="17">
        <f t="shared" si="33"/>
        <v>22282</v>
      </c>
      <c r="M538" s="17">
        <f t="shared" si="34"/>
        <v>4758</v>
      </c>
      <c r="N538" s="17" t="str">
        <f t="shared" si="35"/>
        <v>profit</v>
      </c>
    </row>
    <row r="539" spans="1:14" ht="15.6" thickTop="1" thickBot="1" x14ac:dyDescent="0.35">
      <c r="A539" s="15">
        <v>45438</v>
      </c>
      <c r="B539" s="15" t="s">
        <v>121</v>
      </c>
      <c r="C539" s="16" t="s">
        <v>294</v>
      </c>
      <c r="D539" s="16" t="s">
        <v>58</v>
      </c>
      <c r="E539" s="16" t="s">
        <v>123</v>
      </c>
      <c r="F539" s="16" t="s">
        <v>74</v>
      </c>
      <c r="G539" s="16" t="s">
        <v>8</v>
      </c>
      <c r="H539" s="16">
        <v>72</v>
      </c>
      <c r="I539" s="16">
        <v>805</v>
      </c>
      <c r="J539" s="16">
        <v>826</v>
      </c>
      <c r="K539" s="17">
        <f t="shared" si="32"/>
        <v>57960</v>
      </c>
      <c r="L539" s="17">
        <f t="shared" si="33"/>
        <v>59472</v>
      </c>
      <c r="M539" s="17">
        <f t="shared" si="34"/>
        <v>1512</v>
      </c>
      <c r="N539" s="17" t="str">
        <f t="shared" si="35"/>
        <v>profit</v>
      </c>
    </row>
    <row r="540" spans="1:14" ht="15.6" thickTop="1" thickBot="1" x14ac:dyDescent="0.35">
      <c r="A540" s="15">
        <v>45590</v>
      </c>
      <c r="B540" s="15" t="s">
        <v>109</v>
      </c>
      <c r="C540" s="16" t="s">
        <v>170</v>
      </c>
      <c r="D540" s="16" t="s">
        <v>71</v>
      </c>
      <c r="E540" s="16" t="s">
        <v>156</v>
      </c>
      <c r="F540" s="16" t="s">
        <v>64</v>
      </c>
      <c r="G540" s="16" t="s">
        <v>12</v>
      </c>
      <c r="H540" s="16">
        <v>29</v>
      </c>
      <c r="I540" s="16">
        <v>774</v>
      </c>
      <c r="J540" s="16">
        <v>793</v>
      </c>
      <c r="K540" s="17">
        <f t="shared" si="32"/>
        <v>22446</v>
      </c>
      <c r="L540" s="17">
        <f t="shared" si="33"/>
        <v>22997</v>
      </c>
      <c r="M540" s="17">
        <f t="shared" si="34"/>
        <v>551</v>
      </c>
      <c r="N540" s="17" t="str">
        <f t="shared" si="35"/>
        <v>profit</v>
      </c>
    </row>
    <row r="541" spans="1:14" ht="15.6" thickTop="1" thickBot="1" x14ac:dyDescent="0.35">
      <c r="A541" s="15">
        <v>45439</v>
      </c>
      <c r="B541" s="15" t="s">
        <v>121</v>
      </c>
      <c r="C541" s="16" t="s">
        <v>295</v>
      </c>
      <c r="D541" s="16" t="s">
        <v>58</v>
      </c>
      <c r="E541" s="16" t="s">
        <v>123</v>
      </c>
      <c r="F541" s="16" t="s">
        <v>53</v>
      </c>
      <c r="G541" s="16" t="s">
        <v>8</v>
      </c>
      <c r="H541" s="16">
        <v>53</v>
      </c>
      <c r="I541" s="16">
        <v>665</v>
      </c>
      <c r="J541" s="16">
        <v>1206</v>
      </c>
      <c r="K541" s="17">
        <f t="shared" si="32"/>
        <v>35245</v>
      </c>
      <c r="L541" s="17">
        <f t="shared" si="33"/>
        <v>63918</v>
      </c>
      <c r="M541" s="17">
        <f t="shared" si="34"/>
        <v>28673</v>
      </c>
      <c r="N541" s="17" t="str">
        <f t="shared" si="35"/>
        <v>profit</v>
      </c>
    </row>
    <row r="542" spans="1:14" ht="15.6" thickTop="1" thickBot="1" x14ac:dyDescent="0.35">
      <c r="A542" s="15">
        <v>45440</v>
      </c>
      <c r="B542" s="15" t="s">
        <v>121</v>
      </c>
      <c r="C542" s="16" t="s">
        <v>296</v>
      </c>
      <c r="D542" s="16" t="s">
        <v>58</v>
      </c>
      <c r="E542" s="16" t="s">
        <v>123</v>
      </c>
      <c r="F542" s="16" t="s">
        <v>77</v>
      </c>
      <c r="G542" s="16" t="s">
        <v>12</v>
      </c>
      <c r="H542" s="16">
        <v>88</v>
      </c>
      <c r="I542" s="16">
        <v>607</v>
      </c>
      <c r="J542" s="16">
        <v>1268</v>
      </c>
      <c r="K542" s="17">
        <f t="shared" si="32"/>
        <v>53416</v>
      </c>
      <c r="L542" s="17">
        <f t="shared" si="33"/>
        <v>111584</v>
      </c>
      <c r="M542" s="17">
        <f t="shared" si="34"/>
        <v>58168</v>
      </c>
      <c r="N542" s="17" t="str">
        <f t="shared" si="35"/>
        <v>profit</v>
      </c>
    </row>
    <row r="543" spans="1:14" ht="15.6" thickTop="1" thickBot="1" x14ac:dyDescent="0.35">
      <c r="A543" s="15">
        <v>45442</v>
      </c>
      <c r="B543" s="15" t="s">
        <v>121</v>
      </c>
      <c r="C543" s="16" t="s">
        <v>297</v>
      </c>
      <c r="D543" s="16" t="s">
        <v>58</v>
      </c>
      <c r="E543" s="16" t="s">
        <v>123</v>
      </c>
      <c r="F543" s="16" t="s">
        <v>60</v>
      </c>
      <c r="G543" s="16" t="s">
        <v>12</v>
      </c>
      <c r="H543" s="16">
        <v>99</v>
      </c>
      <c r="I543" s="16">
        <v>657</v>
      </c>
      <c r="J543" s="16">
        <v>1033</v>
      </c>
      <c r="K543" s="17">
        <f t="shared" si="32"/>
        <v>65043</v>
      </c>
      <c r="L543" s="17">
        <f t="shared" si="33"/>
        <v>102267</v>
      </c>
      <c r="M543" s="17">
        <f t="shared" si="34"/>
        <v>37224</v>
      </c>
      <c r="N543" s="17" t="str">
        <f t="shared" si="35"/>
        <v>profit</v>
      </c>
    </row>
    <row r="544" spans="1:14" ht="15.6" thickTop="1" thickBot="1" x14ac:dyDescent="0.35">
      <c r="A544" s="15">
        <v>45443</v>
      </c>
      <c r="B544" s="15" t="s">
        <v>121</v>
      </c>
      <c r="C544" s="16" t="s">
        <v>298</v>
      </c>
      <c r="D544" s="16" t="s">
        <v>58</v>
      </c>
      <c r="E544" s="16" t="s">
        <v>143</v>
      </c>
      <c r="F544" s="16" t="s">
        <v>64</v>
      </c>
      <c r="G544" s="16" t="s">
        <v>12</v>
      </c>
      <c r="H544" s="16">
        <v>88</v>
      </c>
      <c r="I544" s="16">
        <v>977</v>
      </c>
      <c r="J544" s="16">
        <v>1402</v>
      </c>
      <c r="K544" s="17">
        <f t="shared" si="32"/>
        <v>85976</v>
      </c>
      <c r="L544" s="17">
        <f t="shared" si="33"/>
        <v>123376</v>
      </c>
      <c r="M544" s="17">
        <f t="shared" si="34"/>
        <v>37400</v>
      </c>
      <c r="N544" s="17" t="str">
        <f t="shared" si="35"/>
        <v>profit</v>
      </c>
    </row>
    <row r="545" spans="1:14" ht="15.6" thickTop="1" thickBot="1" x14ac:dyDescent="0.35">
      <c r="A545" s="15">
        <v>45444</v>
      </c>
      <c r="B545" s="15" t="s">
        <v>41</v>
      </c>
      <c r="C545" s="16" t="s">
        <v>299</v>
      </c>
      <c r="D545" s="16" t="s">
        <v>58</v>
      </c>
      <c r="E545" s="16" t="s">
        <v>143</v>
      </c>
      <c r="F545" s="16" t="s">
        <v>64</v>
      </c>
      <c r="G545" s="16" t="s">
        <v>8</v>
      </c>
      <c r="H545" s="16">
        <v>81</v>
      </c>
      <c r="I545" s="16">
        <v>528</v>
      </c>
      <c r="J545" s="16">
        <v>872</v>
      </c>
      <c r="K545" s="17">
        <f t="shared" si="32"/>
        <v>42768</v>
      </c>
      <c r="L545" s="17">
        <f t="shared" si="33"/>
        <v>70632</v>
      </c>
      <c r="M545" s="17">
        <f t="shared" si="34"/>
        <v>27864</v>
      </c>
      <c r="N545" s="17" t="str">
        <f t="shared" si="35"/>
        <v>profit</v>
      </c>
    </row>
    <row r="546" spans="1:14" ht="15.6" thickTop="1" thickBot="1" x14ac:dyDescent="0.35">
      <c r="A546" s="15">
        <v>45445</v>
      </c>
      <c r="B546" s="15" t="s">
        <v>41</v>
      </c>
      <c r="C546" s="16" t="s">
        <v>300</v>
      </c>
      <c r="D546" s="16" t="s">
        <v>58</v>
      </c>
      <c r="E546" s="16" t="s">
        <v>143</v>
      </c>
      <c r="F546" s="16" t="s">
        <v>89</v>
      </c>
      <c r="G546" s="16" t="s">
        <v>12</v>
      </c>
      <c r="H546" s="16">
        <v>74</v>
      </c>
      <c r="I546" s="16">
        <v>870</v>
      </c>
      <c r="J546" s="16">
        <v>1490</v>
      </c>
      <c r="K546" s="17">
        <f t="shared" si="32"/>
        <v>64380</v>
      </c>
      <c r="L546" s="17">
        <f t="shared" si="33"/>
        <v>110260</v>
      </c>
      <c r="M546" s="17">
        <f t="shared" si="34"/>
        <v>45880</v>
      </c>
      <c r="N546" s="17" t="str">
        <f t="shared" si="35"/>
        <v>profit</v>
      </c>
    </row>
    <row r="547" spans="1:14" ht="15.6" thickTop="1" thickBot="1" x14ac:dyDescent="0.35">
      <c r="A547" s="15">
        <v>45446</v>
      </c>
      <c r="B547" s="15" t="s">
        <v>41</v>
      </c>
      <c r="C547" s="16" t="s">
        <v>301</v>
      </c>
      <c r="D547" s="16" t="s">
        <v>58</v>
      </c>
      <c r="E547" s="16" t="s">
        <v>143</v>
      </c>
      <c r="F547" s="16" t="s">
        <v>89</v>
      </c>
      <c r="G547" s="16" t="s">
        <v>12</v>
      </c>
      <c r="H547" s="16">
        <v>83</v>
      </c>
      <c r="I547" s="16">
        <v>655</v>
      </c>
      <c r="J547" s="16">
        <v>1422</v>
      </c>
      <c r="K547" s="17">
        <f t="shared" si="32"/>
        <v>54365</v>
      </c>
      <c r="L547" s="17">
        <f t="shared" si="33"/>
        <v>118026</v>
      </c>
      <c r="M547" s="17">
        <f t="shared" si="34"/>
        <v>63661</v>
      </c>
      <c r="N547" s="17" t="str">
        <f t="shared" si="35"/>
        <v>profit</v>
      </c>
    </row>
    <row r="548" spans="1:14" ht="15.6" thickTop="1" thickBot="1" x14ac:dyDescent="0.35">
      <c r="A548" s="15">
        <v>45447</v>
      </c>
      <c r="B548" s="15" t="s">
        <v>41</v>
      </c>
      <c r="C548" s="16" t="s">
        <v>302</v>
      </c>
      <c r="D548" s="16" t="s">
        <v>58</v>
      </c>
      <c r="E548" s="16" t="s">
        <v>143</v>
      </c>
      <c r="F548" s="16" t="s">
        <v>85</v>
      </c>
      <c r="G548" s="16" t="s">
        <v>12</v>
      </c>
      <c r="H548" s="16">
        <v>99</v>
      </c>
      <c r="I548" s="16">
        <v>649</v>
      </c>
      <c r="J548" s="16">
        <v>1415</v>
      </c>
      <c r="K548" s="17">
        <f t="shared" si="32"/>
        <v>64251</v>
      </c>
      <c r="L548" s="17">
        <f t="shared" si="33"/>
        <v>140085</v>
      </c>
      <c r="M548" s="17">
        <f t="shared" si="34"/>
        <v>75834</v>
      </c>
      <c r="N548" s="17" t="str">
        <f t="shared" si="35"/>
        <v>profit</v>
      </c>
    </row>
    <row r="549" spans="1:14" ht="15.6" thickTop="1" thickBot="1" x14ac:dyDescent="0.35">
      <c r="A549" s="15">
        <v>45448</v>
      </c>
      <c r="B549" s="15" t="s">
        <v>41</v>
      </c>
      <c r="C549" s="16" t="s">
        <v>303</v>
      </c>
      <c r="D549" s="16" t="s">
        <v>58</v>
      </c>
      <c r="E549" s="16" t="s">
        <v>143</v>
      </c>
      <c r="F549" s="16" t="s">
        <v>64</v>
      </c>
      <c r="G549" s="16" t="s">
        <v>12</v>
      </c>
      <c r="H549" s="16">
        <v>97</v>
      </c>
      <c r="I549" s="16">
        <v>917</v>
      </c>
      <c r="J549" s="16">
        <v>844</v>
      </c>
      <c r="K549" s="17">
        <f t="shared" si="32"/>
        <v>88949</v>
      </c>
      <c r="L549" s="17">
        <f t="shared" si="33"/>
        <v>81868</v>
      </c>
      <c r="M549" s="17">
        <f t="shared" si="34"/>
        <v>-7081</v>
      </c>
      <c r="N549" s="17" t="str">
        <f t="shared" si="35"/>
        <v>loss</v>
      </c>
    </row>
    <row r="550" spans="1:14" ht="15.6" thickTop="1" thickBot="1" x14ac:dyDescent="0.35">
      <c r="A550" s="15">
        <v>45449</v>
      </c>
      <c r="B550" s="15" t="s">
        <v>41</v>
      </c>
      <c r="C550" s="16" t="s">
        <v>304</v>
      </c>
      <c r="D550" s="16" t="s">
        <v>58</v>
      </c>
      <c r="E550" s="16" t="s">
        <v>143</v>
      </c>
      <c r="F550" s="16" t="s">
        <v>55</v>
      </c>
      <c r="G550" s="16" t="s">
        <v>8</v>
      </c>
      <c r="H550" s="16">
        <v>57</v>
      </c>
      <c r="I550" s="16">
        <v>793</v>
      </c>
      <c r="J550" s="16">
        <v>761</v>
      </c>
      <c r="K550" s="17">
        <f t="shared" si="32"/>
        <v>45201</v>
      </c>
      <c r="L550" s="17">
        <f t="shared" si="33"/>
        <v>43377</v>
      </c>
      <c r="M550" s="17">
        <f t="shared" si="34"/>
        <v>-1824</v>
      </c>
      <c r="N550" s="17" t="str">
        <f t="shared" si="35"/>
        <v>loss</v>
      </c>
    </row>
    <row r="551" spans="1:14" ht="15.6" thickTop="1" thickBot="1" x14ac:dyDescent="0.35">
      <c r="A551" s="15">
        <v>45450</v>
      </c>
      <c r="B551" s="15" t="s">
        <v>41</v>
      </c>
      <c r="C551" s="16" t="s">
        <v>305</v>
      </c>
      <c r="D551" s="16" t="s">
        <v>58</v>
      </c>
      <c r="E551" s="16" t="s">
        <v>143</v>
      </c>
      <c r="F551" s="16" t="s">
        <v>137</v>
      </c>
      <c r="G551" s="16" t="s">
        <v>8</v>
      </c>
      <c r="H551" s="16">
        <v>84</v>
      </c>
      <c r="I551" s="16">
        <v>931</v>
      </c>
      <c r="J551" s="16">
        <v>1475</v>
      </c>
      <c r="K551" s="17">
        <f t="shared" si="32"/>
        <v>78204</v>
      </c>
      <c r="L551" s="17">
        <f t="shared" si="33"/>
        <v>123900</v>
      </c>
      <c r="M551" s="17">
        <f t="shared" si="34"/>
        <v>45696</v>
      </c>
      <c r="N551" s="17" t="str">
        <f t="shared" si="35"/>
        <v>profit</v>
      </c>
    </row>
    <row r="552" spans="1:14" ht="15.6" thickTop="1" thickBot="1" x14ac:dyDescent="0.35">
      <c r="A552" s="15">
        <v>45602</v>
      </c>
      <c r="B552" s="15" t="s">
        <v>184</v>
      </c>
      <c r="C552" s="16" t="s">
        <v>185</v>
      </c>
      <c r="D552" s="16" t="s">
        <v>58</v>
      </c>
      <c r="E552" s="16" t="s">
        <v>186</v>
      </c>
      <c r="F552" s="16" t="s">
        <v>55</v>
      </c>
      <c r="G552" s="16" t="s">
        <v>8</v>
      </c>
      <c r="H552" s="16">
        <v>74</v>
      </c>
      <c r="I552" s="16">
        <v>714</v>
      </c>
      <c r="J552" s="16">
        <v>1148</v>
      </c>
      <c r="K552" s="17">
        <f t="shared" si="32"/>
        <v>52836</v>
      </c>
      <c r="L552" s="17">
        <f t="shared" si="33"/>
        <v>84952</v>
      </c>
      <c r="M552" s="17">
        <f t="shared" si="34"/>
        <v>32116</v>
      </c>
      <c r="N552" s="17" t="str">
        <f t="shared" si="35"/>
        <v>profit</v>
      </c>
    </row>
    <row r="553" spans="1:14" ht="15.6" thickTop="1" thickBot="1" x14ac:dyDescent="0.35">
      <c r="A553" s="15">
        <v>45451</v>
      </c>
      <c r="B553" s="15" t="s">
        <v>41</v>
      </c>
      <c r="C553" s="16" t="s">
        <v>306</v>
      </c>
      <c r="D553" s="16" t="s">
        <v>58</v>
      </c>
      <c r="E553" s="16" t="s">
        <v>143</v>
      </c>
      <c r="F553" s="16" t="s">
        <v>69</v>
      </c>
      <c r="G553" s="16" t="s">
        <v>8</v>
      </c>
      <c r="H553" s="16">
        <v>76</v>
      </c>
      <c r="I553" s="16">
        <v>901</v>
      </c>
      <c r="J553" s="16">
        <v>1471</v>
      </c>
      <c r="K553" s="17">
        <f t="shared" si="32"/>
        <v>68476</v>
      </c>
      <c r="L553" s="17">
        <f t="shared" si="33"/>
        <v>111796</v>
      </c>
      <c r="M553" s="17">
        <f t="shared" si="34"/>
        <v>43320</v>
      </c>
      <c r="N553" s="17" t="str">
        <f t="shared" si="35"/>
        <v>profit</v>
      </c>
    </row>
    <row r="554" spans="1:14" ht="15.6" thickTop="1" thickBot="1" x14ac:dyDescent="0.35">
      <c r="A554" s="15">
        <v>45452</v>
      </c>
      <c r="B554" s="15" t="s">
        <v>41</v>
      </c>
      <c r="C554" s="16" t="s">
        <v>307</v>
      </c>
      <c r="D554" s="16" t="s">
        <v>58</v>
      </c>
      <c r="E554" s="16" t="s">
        <v>143</v>
      </c>
      <c r="F554" s="16" t="s">
        <v>176</v>
      </c>
      <c r="G554" s="16" t="s">
        <v>8</v>
      </c>
      <c r="H554" s="16">
        <v>93</v>
      </c>
      <c r="I554" s="16">
        <v>658</v>
      </c>
      <c r="J554" s="16">
        <v>1303</v>
      </c>
      <c r="K554" s="17">
        <f t="shared" si="32"/>
        <v>61194</v>
      </c>
      <c r="L554" s="17">
        <f t="shared" si="33"/>
        <v>121179</v>
      </c>
      <c r="M554" s="17">
        <f t="shared" si="34"/>
        <v>59985</v>
      </c>
      <c r="N554" s="17" t="str">
        <f t="shared" si="35"/>
        <v>profit</v>
      </c>
    </row>
    <row r="555" spans="1:14" ht="15.6" thickTop="1" thickBot="1" x14ac:dyDescent="0.35">
      <c r="A555" s="15">
        <v>45605</v>
      </c>
      <c r="B555" s="15" t="s">
        <v>184</v>
      </c>
      <c r="C555" s="16" t="s">
        <v>189</v>
      </c>
      <c r="D555" s="16" t="s">
        <v>58</v>
      </c>
      <c r="E555" s="16" t="s">
        <v>186</v>
      </c>
      <c r="F555" s="16" t="s">
        <v>7</v>
      </c>
      <c r="G555" s="16" t="s">
        <v>8</v>
      </c>
      <c r="H555" s="16">
        <v>73</v>
      </c>
      <c r="I555" s="16">
        <v>957</v>
      </c>
      <c r="J555" s="16">
        <v>814</v>
      </c>
      <c r="K555" s="17">
        <f t="shared" si="32"/>
        <v>69861</v>
      </c>
      <c r="L555" s="17">
        <f t="shared" si="33"/>
        <v>59422</v>
      </c>
      <c r="M555" s="17">
        <f t="shared" si="34"/>
        <v>-10439</v>
      </c>
      <c r="N555" s="17" t="str">
        <f t="shared" si="35"/>
        <v>loss</v>
      </c>
    </row>
    <row r="556" spans="1:14" ht="15.6" thickTop="1" thickBot="1" x14ac:dyDescent="0.35">
      <c r="A556" s="15">
        <v>45453</v>
      </c>
      <c r="B556" s="15" t="s">
        <v>41</v>
      </c>
      <c r="C556" s="16" t="s">
        <v>308</v>
      </c>
      <c r="D556" s="16" t="s">
        <v>58</v>
      </c>
      <c r="E556" s="16" t="s">
        <v>143</v>
      </c>
      <c r="F556" s="16" t="s">
        <v>178</v>
      </c>
      <c r="G556" s="16" t="s">
        <v>8</v>
      </c>
      <c r="H556" s="16">
        <v>68</v>
      </c>
      <c r="I556" s="16">
        <v>651</v>
      </c>
      <c r="J556" s="16">
        <v>1061</v>
      </c>
      <c r="K556" s="17">
        <f t="shared" si="32"/>
        <v>44268</v>
      </c>
      <c r="L556" s="17">
        <f t="shared" si="33"/>
        <v>72148</v>
      </c>
      <c r="M556" s="17">
        <f t="shared" si="34"/>
        <v>27880</v>
      </c>
      <c r="N556" s="17" t="str">
        <f t="shared" si="35"/>
        <v>profit</v>
      </c>
    </row>
    <row r="557" spans="1:14" ht="15.6" thickTop="1" thickBot="1" x14ac:dyDescent="0.35">
      <c r="A557" s="15">
        <v>45461</v>
      </c>
      <c r="B557" s="15" t="s">
        <v>41</v>
      </c>
      <c r="C557" s="16" t="s">
        <v>309</v>
      </c>
      <c r="D557" s="16" t="s">
        <v>58</v>
      </c>
      <c r="E557" s="16" t="s">
        <v>123</v>
      </c>
      <c r="F557" s="16" t="s">
        <v>51</v>
      </c>
      <c r="G557" s="16" t="s">
        <v>12</v>
      </c>
      <c r="H557" s="16">
        <v>98</v>
      </c>
      <c r="I557" s="16">
        <v>596</v>
      </c>
      <c r="J557" s="16">
        <v>1155</v>
      </c>
      <c r="K557" s="17">
        <f t="shared" si="32"/>
        <v>58408</v>
      </c>
      <c r="L557" s="17">
        <f t="shared" si="33"/>
        <v>113190</v>
      </c>
      <c r="M557" s="17">
        <f t="shared" si="34"/>
        <v>54782</v>
      </c>
      <c r="N557" s="17" t="str">
        <f t="shared" si="35"/>
        <v>profit</v>
      </c>
    </row>
    <row r="558" spans="1:14" ht="15.6" thickTop="1" thickBot="1" x14ac:dyDescent="0.35">
      <c r="A558" s="15">
        <v>45462</v>
      </c>
      <c r="B558" s="15" t="s">
        <v>41</v>
      </c>
      <c r="C558" s="16" t="s">
        <v>310</v>
      </c>
      <c r="D558" s="16" t="s">
        <v>58</v>
      </c>
      <c r="E558" s="16" t="s">
        <v>123</v>
      </c>
      <c r="F558" s="16" t="s">
        <v>100</v>
      </c>
      <c r="G558" s="16" t="s">
        <v>12</v>
      </c>
      <c r="H558" s="16">
        <v>84</v>
      </c>
      <c r="I558" s="16">
        <v>911</v>
      </c>
      <c r="J558" s="16">
        <v>1370</v>
      </c>
      <c r="K558" s="17">
        <f t="shared" si="32"/>
        <v>76524</v>
      </c>
      <c r="L558" s="17">
        <f t="shared" si="33"/>
        <v>115080</v>
      </c>
      <c r="M558" s="17">
        <f t="shared" si="34"/>
        <v>38556</v>
      </c>
      <c r="N558" s="17" t="str">
        <f t="shared" si="35"/>
        <v>profit</v>
      </c>
    </row>
    <row r="559" spans="1:14" ht="15.6" thickTop="1" thickBot="1" x14ac:dyDescent="0.35">
      <c r="A559" s="15">
        <v>45463</v>
      </c>
      <c r="B559" s="15" t="s">
        <v>41</v>
      </c>
      <c r="C559" s="16" t="s">
        <v>311</v>
      </c>
      <c r="D559" s="16" t="s">
        <v>58</v>
      </c>
      <c r="E559" s="16" t="s">
        <v>123</v>
      </c>
      <c r="F559" s="16" t="s">
        <v>7</v>
      </c>
      <c r="G559" s="16" t="s">
        <v>12</v>
      </c>
      <c r="H559" s="16">
        <v>81</v>
      </c>
      <c r="I559" s="16">
        <v>702</v>
      </c>
      <c r="J559" s="16">
        <v>1494</v>
      </c>
      <c r="K559" s="17">
        <f t="shared" si="32"/>
        <v>56862</v>
      </c>
      <c r="L559" s="17">
        <f t="shared" si="33"/>
        <v>121014</v>
      </c>
      <c r="M559" s="17">
        <f t="shared" si="34"/>
        <v>64152</v>
      </c>
      <c r="N559" s="17" t="str">
        <f t="shared" si="35"/>
        <v>profit</v>
      </c>
    </row>
    <row r="560" spans="1:14" ht="15.6" thickTop="1" thickBot="1" x14ac:dyDescent="0.35">
      <c r="A560" s="15">
        <v>45610</v>
      </c>
      <c r="B560" s="15" t="s">
        <v>184</v>
      </c>
      <c r="C560" s="16" t="s">
        <v>194</v>
      </c>
      <c r="D560" s="16" t="s">
        <v>71</v>
      </c>
      <c r="E560" s="16" t="s">
        <v>88</v>
      </c>
      <c r="F560" s="16" t="s">
        <v>102</v>
      </c>
      <c r="G560" s="16" t="s">
        <v>12</v>
      </c>
      <c r="H560" s="16">
        <v>24</v>
      </c>
      <c r="I560" s="16">
        <v>553</v>
      </c>
      <c r="J560" s="16">
        <v>964</v>
      </c>
      <c r="K560" s="17">
        <f t="shared" si="32"/>
        <v>13272</v>
      </c>
      <c r="L560" s="17">
        <f t="shared" si="33"/>
        <v>23136</v>
      </c>
      <c r="M560" s="17">
        <f t="shared" si="34"/>
        <v>9864</v>
      </c>
      <c r="N560" s="17" t="str">
        <f t="shared" si="35"/>
        <v>profit</v>
      </c>
    </row>
    <row r="561" spans="1:14" ht="15.6" thickTop="1" thickBot="1" x14ac:dyDescent="0.35">
      <c r="A561" s="15">
        <v>45465</v>
      </c>
      <c r="B561" s="15" t="s">
        <v>41</v>
      </c>
      <c r="C561" s="16" t="s">
        <v>312</v>
      </c>
      <c r="D561" s="16" t="s">
        <v>58</v>
      </c>
      <c r="E561" s="16" t="s">
        <v>123</v>
      </c>
      <c r="F561" s="16" t="s">
        <v>51</v>
      </c>
      <c r="G561" s="16" t="s">
        <v>8</v>
      </c>
      <c r="H561" s="16">
        <v>58</v>
      </c>
      <c r="I561" s="16">
        <v>510</v>
      </c>
      <c r="J561" s="16">
        <v>1456</v>
      </c>
      <c r="K561" s="17">
        <f t="shared" si="32"/>
        <v>29580</v>
      </c>
      <c r="L561" s="17">
        <f t="shared" si="33"/>
        <v>84448</v>
      </c>
      <c r="M561" s="17">
        <f t="shared" si="34"/>
        <v>54868</v>
      </c>
      <c r="N561" s="17" t="str">
        <f t="shared" si="35"/>
        <v>profit</v>
      </c>
    </row>
    <row r="562" spans="1:14" ht="15.6" thickTop="1" thickBot="1" x14ac:dyDescent="0.35">
      <c r="A562" s="15">
        <v>45466</v>
      </c>
      <c r="B562" s="15" t="s">
        <v>41</v>
      </c>
      <c r="C562" s="16" t="s">
        <v>313</v>
      </c>
      <c r="D562" s="16" t="s">
        <v>58</v>
      </c>
      <c r="E562" s="16" t="s">
        <v>143</v>
      </c>
      <c r="F562" s="16" t="s">
        <v>89</v>
      </c>
      <c r="G562" s="16" t="s">
        <v>8</v>
      </c>
      <c r="H562" s="16">
        <v>59</v>
      </c>
      <c r="I562" s="16">
        <v>506</v>
      </c>
      <c r="J562" s="16">
        <v>1498</v>
      </c>
      <c r="K562" s="17">
        <f t="shared" si="32"/>
        <v>29854</v>
      </c>
      <c r="L562" s="17">
        <f t="shared" si="33"/>
        <v>88382</v>
      </c>
      <c r="M562" s="17">
        <f t="shared" si="34"/>
        <v>58528</v>
      </c>
      <c r="N562" s="17" t="str">
        <f t="shared" si="35"/>
        <v>profit</v>
      </c>
    </row>
    <row r="563" spans="1:14" ht="15.6" thickTop="1" thickBot="1" x14ac:dyDescent="0.35">
      <c r="A563" s="15">
        <v>45467</v>
      </c>
      <c r="B563" s="15" t="s">
        <v>41</v>
      </c>
      <c r="C563" s="16" t="s">
        <v>314</v>
      </c>
      <c r="D563" s="16" t="s">
        <v>58</v>
      </c>
      <c r="E563" s="16" t="s">
        <v>143</v>
      </c>
      <c r="F563" s="16" t="s">
        <v>100</v>
      </c>
      <c r="G563" s="16" t="s">
        <v>12</v>
      </c>
      <c r="H563" s="16">
        <v>51</v>
      </c>
      <c r="I563" s="16">
        <v>868</v>
      </c>
      <c r="J563" s="16">
        <v>938</v>
      </c>
      <c r="K563" s="17">
        <f t="shared" si="32"/>
        <v>44268</v>
      </c>
      <c r="L563" s="17">
        <f t="shared" si="33"/>
        <v>47838</v>
      </c>
      <c r="M563" s="17">
        <f t="shared" si="34"/>
        <v>3570</v>
      </c>
      <c r="N563" s="17" t="str">
        <f t="shared" si="35"/>
        <v>profit</v>
      </c>
    </row>
    <row r="564" spans="1:14" ht="15.6" thickTop="1" thickBot="1" x14ac:dyDescent="0.35">
      <c r="A564" s="15">
        <v>45614</v>
      </c>
      <c r="B564" s="15" t="s">
        <v>184</v>
      </c>
      <c r="C564" s="16" t="s">
        <v>198</v>
      </c>
      <c r="D564" s="16" t="s">
        <v>71</v>
      </c>
      <c r="E564" s="16" t="s">
        <v>88</v>
      </c>
      <c r="F564" s="16" t="s">
        <v>60</v>
      </c>
      <c r="G564" s="16" t="s">
        <v>8</v>
      </c>
      <c r="H564" s="16">
        <v>22</v>
      </c>
      <c r="I564" s="16">
        <v>688</v>
      </c>
      <c r="J564" s="16">
        <v>985</v>
      </c>
      <c r="K564" s="17">
        <f t="shared" si="32"/>
        <v>15136</v>
      </c>
      <c r="L564" s="17">
        <f t="shared" si="33"/>
        <v>21670</v>
      </c>
      <c r="M564" s="17">
        <f t="shared" si="34"/>
        <v>6534</v>
      </c>
      <c r="N564" s="17" t="str">
        <f t="shared" si="35"/>
        <v>profit</v>
      </c>
    </row>
    <row r="565" spans="1:14" ht="15.6" thickTop="1" thickBot="1" x14ac:dyDescent="0.35">
      <c r="A565" s="15">
        <v>45468</v>
      </c>
      <c r="B565" s="15" t="s">
        <v>41</v>
      </c>
      <c r="C565" s="16" t="s">
        <v>315</v>
      </c>
      <c r="D565" s="16" t="s">
        <v>58</v>
      </c>
      <c r="E565" s="16" t="s">
        <v>143</v>
      </c>
      <c r="F565" s="16" t="s">
        <v>102</v>
      </c>
      <c r="G565" s="16" t="s">
        <v>12</v>
      </c>
      <c r="H565" s="16">
        <v>76</v>
      </c>
      <c r="I565" s="16">
        <v>602</v>
      </c>
      <c r="J565" s="16">
        <v>1356</v>
      </c>
      <c r="K565" s="17">
        <f t="shared" si="32"/>
        <v>45752</v>
      </c>
      <c r="L565" s="17">
        <f t="shared" si="33"/>
        <v>103056</v>
      </c>
      <c r="M565" s="17">
        <f t="shared" si="34"/>
        <v>57304</v>
      </c>
      <c r="N565" s="17" t="str">
        <f t="shared" si="35"/>
        <v>profit</v>
      </c>
    </row>
    <row r="566" spans="1:14" ht="15.6" thickTop="1" thickBot="1" x14ac:dyDescent="0.35">
      <c r="A566" s="15">
        <v>45616</v>
      </c>
      <c r="B566" s="15" t="s">
        <v>184</v>
      </c>
      <c r="C566" s="16" t="s">
        <v>200</v>
      </c>
      <c r="D566" s="16" t="s">
        <v>71</v>
      </c>
      <c r="E566" s="16" t="s">
        <v>88</v>
      </c>
      <c r="F566" s="16" t="s">
        <v>64</v>
      </c>
      <c r="G566" s="16" t="s">
        <v>8</v>
      </c>
      <c r="H566" s="16">
        <v>27</v>
      </c>
      <c r="I566" s="16">
        <v>933</v>
      </c>
      <c r="J566" s="16">
        <v>983</v>
      </c>
      <c r="K566" s="17">
        <f t="shared" si="32"/>
        <v>25191</v>
      </c>
      <c r="L566" s="17">
        <f t="shared" si="33"/>
        <v>26541</v>
      </c>
      <c r="M566" s="17">
        <f t="shared" si="34"/>
        <v>1350</v>
      </c>
      <c r="N566" s="17" t="str">
        <f t="shared" si="35"/>
        <v>profit</v>
      </c>
    </row>
    <row r="567" spans="1:14" ht="15.6" thickTop="1" thickBot="1" x14ac:dyDescent="0.35">
      <c r="A567" s="15">
        <v>45469</v>
      </c>
      <c r="B567" s="15" t="s">
        <v>41</v>
      </c>
      <c r="C567" s="16" t="s">
        <v>316</v>
      </c>
      <c r="D567" s="16" t="s">
        <v>58</v>
      </c>
      <c r="E567" s="16" t="s">
        <v>143</v>
      </c>
      <c r="F567" s="16" t="s">
        <v>60</v>
      </c>
      <c r="G567" s="16" t="s">
        <v>12</v>
      </c>
      <c r="H567" s="16">
        <v>55</v>
      </c>
      <c r="I567" s="16">
        <v>928</v>
      </c>
      <c r="J567" s="16">
        <v>1264</v>
      </c>
      <c r="K567" s="17">
        <f t="shared" si="32"/>
        <v>51040</v>
      </c>
      <c r="L567" s="17">
        <f t="shared" si="33"/>
        <v>69520</v>
      </c>
      <c r="M567" s="17">
        <f t="shared" si="34"/>
        <v>18480</v>
      </c>
      <c r="N567" s="17" t="str">
        <f t="shared" si="35"/>
        <v>profit</v>
      </c>
    </row>
    <row r="568" spans="1:14" ht="15.6" thickTop="1" thickBot="1" x14ac:dyDescent="0.35">
      <c r="A568" s="15">
        <v>45470</v>
      </c>
      <c r="B568" s="15" t="s">
        <v>41</v>
      </c>
      <c r="C568" s="16" t="s">
        <v>317</v>
      </c>
      <c r="D568" s="16" t="s">
        <v>58</v>
      </c>
      <c r="E568" s="16" t="s">
        <v>143</v>
      </c>
      <c r="F568" s="16" t="s">
        <v>69</v>
      </c>
      <c r="G568" s="16" t="s">
        <v>12</v>
      </c>
      <c r="H568" s="16">
        <v>74</v>
      </c>
      <c r="I568" s="16">
        <v>758</v>
      </c>
      <c r="J568" s="16">
        <v>765</v>
      </c>
      <c r="K568" s="17">
        <f t="shared" si="32"/>
        <v>56092</v>
      </c>
      <c r="L568" s="17">
        <f t="shared" si="33"/>
        <v>56610</v>
      </c>
      <c r="M568" s="17">
        <f t="shared" si="34"/>
        <v>518</v>
      </c>
      <c r="N568" s="17" t="str">
        <f t="shared" si="35"/>
        <v>profit</v>
      </c>
    </row>
    <row r="569" spans="1:14" ht="15.6" thickTop="1" thickBot="1" x14ac:dyDescent="0.35">
      <c r="A569" s="15">
        <v>45471</v>
      </c>
      <c r="B569" s="15" t="s">
        <v>41</v>
      </c>
      <c r="C569" s="16" t="s">
        <v>318</v>
      </c>
      <c r="D569" s="16" t="s">
        <v>58</v>
      </c>
      <c r="E569" s="16" t="s">
        <v>143</v>
      </c>
      <c r="F569" s="16" t="s">
        <v>85</v>
      </c>
      <c r="G569" s="16" t="s">
        <v>12</v>
      </c>
      <c r="H569" s="16">
        <v>88</v>
      </c>
      <c r="I569" s="16">
        <v>566</v>
      </c>
      <c r="J569" s="16">
        <v>1093</v>
      </c>
      <c r="K569" s="17">
        <f t="shared" si="32"/>
        <v>49808</v>
      </c>
      <c r="L569" s="17">
        <f t="shared" si="33"/>
        <v>96184</v>
      </c>
      <c r="M569" s="17">
        <f t="shared" si="34"/>
        <v>46376</v>
      </c>
      <c r="N569" s="17" t="str">
        <f t="shared" si="35"/>
        <v>profit</v>
      </c>
    </row>
    <row r="570" spans="1:14" ht="15.6" thickTop="1" thickBot="1" x14ac:dyDescent="0.35">
      <c r="A570" s="15">
        <v>45495</v>
      </c>
      <c r="B570" s="15" t="s">
        <v>65</v>
      </c>
      <c r="C570" s="16" t="s">
        <v>319</v>
      </c>
      <c r="D570" s="16" t="s">
        <v>58</v>
      </c>
      <c r="E570" s="16" t="s">
        <v>123</v>
      </c>
      <c r="F570" s="16" t="s">
        <v>47</v>
      </c>
      <c r="G570" s="16" t="s">
        <v>8</v>
      </c>
      <c r="H570" s="16">
        <v>58</v>
      </c>
      <c r="I570" s="16">
        <v>898</v>
      </c>
      <c r="J570" s="16">
        <v>1068</v>
      </c>
      <c r="K570" s="17">
        <f t="shared" si="32"/>
        <v>52084</v>
      </c>
      <c r="L570" s="17">
        <f t="shared" si="33"/>
        <v>61944</v>
      </c>
      <c r="M570" s="17">
        <f t="shared" si="34"/>
        <v>9860</v>
      </c>
      <c r="N570" s="17" t="str">
        <f t="shared" si="35"/>
        <v>profit</v>
      </c>
    </row>
    <row r="571" spans="1:14" ht="15.6" thickTop="1" thickBot="1" x14ac:dyDescent="0.35">
      <c r="A571" s="15">
        <v>45496</v>
      </c>
      <c r="B571" s="15" t="s">
        <v>65</v>
      </c>
      <c r="C571" s="16" t="s">
        <v>320</v>
      </c>
      <c r="D571" s="16" t="s">
        <v>58</v>
      </c>
      <c r="E571" s="16" t="s">
        <v>123</v>
      </c>
      <c r="F571" s="16" t="s">
        <v>49</v>
      </c>
      <c r="G571" s="16" t="s">
        <v>8</v>
      </c>
      <c r="H571" s="16">
        <v>83</v>
      </c>
      <c r="I571" s="16">
        <v>943</v>
      </c>
      <c r="J571" s="16">
        <v>867</v>
      </c>
      <c r="K571" s="17">
        <f t="shared" si="32"/>
        <v>78269</v>
      </c>
      <c r="L571" s="17">
        <f t="shared" si="33"/>
        <v>71961</v>
      </c>
      <c r="M571" s="17">
        <f t="shared" si="34"/>
        <v>-6308</v>
      </c>
      <c r="N571" s="17" t="str">
        <f t="shared" si="35"/>
        <v>loss</v>
      </c>
    </row>
    <row r="572" spans="1:14" ht="15.6" thickTop="1" thickBot="1" x14ac:dyDescent="0.35">
      <c r="A572" s="15">
        <v>45497</v>
      </c>
      <c r="B572" s="15" t="s">
        <v>65</v>
      </c>
      <c r="C572" s="16" t="s">
        <v>321</v>
      </c>
      <c r="D572" s="16" t="s">
        <v>58</v>
      </c>
      <c r="E572" s="16" t="s">
        <v>123</v>
      </c>
      <c r="F572" s="16" t="s">
        <v>51</v>
      </c>
      <c r="G572" s="16" t="s">
        <v>8</v>
      </c>
      <c r="H572" s="16">
        <v>85</v>
      </c>
      <c r="I572" s="16">
        <v>641</v>
      </c>
      <c r="J572" s="16">
        <v>892</v>
      </c>
      <c r="K572" s="17">
        <f t="shared" si="32"/>
        <v>54485</v>
      </c>
      <c r="L572" s="17">
        <f t="shared" si="33"/>
        <v>75820</v>
      </c>
      <c r="M572" s="17">
        <f t="shared" si="34"/>
        <v>21335</v>
      </c>
      <c r="N572" s="17" t="str">
        <f t="shared" si="35"/>
        <v>profit</v>
      </c>
    </row>
    <row r="573" spans="1:14" ht="15.6" thickTop="1" thickBot="1" x14ac:dyDescent="0.35">
      <c r="A573" s="15">
        <v>45498</v>
      </c>
      <c r="B573" s="15" t="s">
        <v>65</v>
      </c>
      <c r="C573" s="16" t="s">
        <v>322</v>
      </c>
      <c r="D573" s="16" t="s">
        <v>58</v>
      </c>
      <c r="E573" s="16" t="s">
        <v>123</v>
      </c>
      <c r="F573" s="16" t="s">
        <v>51</v>
      </c>
      <c r="G573" s="16" t="s">
        <v>8</v>
      </c>
      <c r="H573" s="16">
        <v>57</v>
      </c>
      <c r="I573" s="16">
        <v>784</v>
      </c>
      <c r="J573" s="16">
        <v>859</v>
      </c>
      <c r="K573" s="17">
        <f t="shared" si="32"/>
        <v>44688</v>
      </c>
      <c r="L573" s="17">
        <f t="shared" si="33"/>
        <v>48963</v>
      </c>
      <c r="M573" s="17">
        <f t="shared" si="34"/>
        <v>4275</v>
      </c>
      <c r="N573" s="17" t="str">
        <f t="shared" si="35"/>
        <v>profit</v>
      </c>
    </row>
    <row r="574" spans="1:14" ht="15.6" thickTop="1" thickBot="1" x14ac:dyDescent="0.35">
      <c r="A574" s="15">
        <v>45499</v>
      </c>
      <c r="B574" s="15" t="s">
        <v>65</v>
      </c>
      <c r="C574" s="16" t="s">
        <v>323</v>
      </c>
      <c r="D574" s="16" t="s">
        <v>58</v>
      </c>
      <c r="E574" s="16" t="s">
        <v>123</v>
      </c>
      <c r="F574" s="16" t="s">
        <v>53</v>
      </c>
      <c r="G574" s="16" t="s">
        <v>8</v>
      </c>
      <c r="H574" s="16">
        <v>98</v>
      </c>
      <c r="I574" s="16">
        <v>579</v>
      </c>
      <c r="J574" s="16">
        <v>1046</v>
      </c>
      <c r="K574" s="17">
        <f t="shared" si="32"/>
        <v>56742</v>
      </c>
      <c r="L574" s="17">
        <f t="shared" si="33"/>
        <v>102508</v>
      </c>
      <c r="M574" s="17">
        <f t="shared" si="34"/>
        <v>45766</v>
      </c>
      <c r="N574" s="17" t="str">
        <f t="shared" si="35"/>
        <v>profit</v>
      </c>
    </row>
    <row r="575" spans="1:14" ht="15.6" thickTop="1" thickBot="1" x14ac:dyDescent="0.35">
      <c r="A575" s="15">
        <v>45500</v>
      </c>
      <c r="B575" s="15" t="s">
        <v>65</v>
      </c>
      <c r="C575" s="16" t="s">
        <v>324</v>
      </c>
      <c r="D575" s="16" t="s">
        <v>58</v>
      </c>
      <c r="E575" s="16" t="s">
        <v>123</v>
      </c>
      <c r="F575" s="16" t="s">
        <v>55</v>
      </c>
      <c r="G575" s="16" t="s">
        <v>8</v>
      </c>
      <c r="H575" s="16">
        <v>98</v>
      </c>
      <c r="I575" s="16">
        <v>605</v>
      </c>
      <c r="J575" s="16">
        <v>1155</v>
      </c>
      <c r="K575" s="17">
        <f t="shared" si="32"/>
        <v>59290</v>
      </c>
      <c r="L575" s="17">
        <f t="shared" si="33"/>
        <v>113190</v>
      </c>
      <c r="M575" s="17">
        <f t="shared" si="34"/>
        <v>53900</v>
      </c>
      <c r="N575" s="17" t="str">
        <f t="shared" si="35"/>
        <v>profit</v>
      </c>
    </row>
    <row r="576" spans="1:14" ht="15.6" thickTop="1" thickBot="1" x14ac:dyDescent="0.35">
      <c r="A576" s="15">
        <v>45626</v>
      </c>
      <c r="B576" s="15" t="s">
        <v>184</v>
      </c>
      <c r="C576" s="16" t="s">
        <v>210</v>
      </c>
      <c r="D576" s="16" t="s">
        <v>71</v>
      </c>
      <c r="E576" s="16" t="s">
        <v>10</v>
      </c>
      <c r="F576" s="16" t="s">
        <v>64</v>
      </c>
      <c r="G576" s="16" t="s">
        <v>8</v>
      </c>
      <c r="H576" s="16">
        <v>20</v>
      </c>
      <c r="I576" s="16">
        <v>989</v>
      </c>
      <c r="J576" s="16">
        <v>1298</v>
      </c>
      <c r="K576" s="17">
        <f t="shared" si="32"/>
        <v>19780</v>
      </c>
      <c r="L576" s="17">
        <f t="shared" si="33"/>
        <v>25960</v>
      </c>
      <c r="M576" s="17">
        <f t="shared" si="34"/>
        <v>6180</v>
      </c>
      <c r="N576" s="17" t="str">
        <f t="shared" si="35"/>
        <v>profit</v>
      </c>
    </row>
    <row r="577" spans="1:14" ht="15.6" thickTop="1" thickBot="1" x14ac:dyDescent="0.35">
      <c r="A577" s="15">
        <v>45501</v>
      </c>
      <c r="B577" s="15" t="s">
        <v>65</v>
      </c>
      <c r="C577" s="16" t="s">
        <v>325</v>
      </c>
      <c r="D577" s="16" t="s">
        <v>58</v>
      </c>
      <c r="E577" s="16" t="s">
        <v>123</v>
      </c>
      <c r="F577" s="16" t="s">
        <v>51</v>
      </c>
      <c r="G577" s="16" t="s">
        <v>8</v>
      </c>
      <c r="H577" s="16">
        <v>63</v>
      </c>
      <c r="I577" s="16">
        <v>952</v>
      </c>
      <c r="J577" s="16">
        <v>824</v>
      </c>
      <c r="K577" s="17">
        <f t="shared" si="32"/>
        <v>59976</v>
      </c>
      <c r="L577" s="17">
        <f t="shared" si="33"/>
        <v>51912</v>
      </c>
      <c r="M577" s="17">
        <f t="shared" si="34"/>
        <v>-8064</v>
      </c>
      <c r="N577" s="17" t="str">
        <f t="shared" si="35"/>
        <v>loss</v>
      </c>
    </row>
    <row r="578" spans="1:14" ht="15.6" thickTop="1" thickBot="1" x14ac:dyDescent="0.35">
      <c r="A578" s="15">
        <v>45502</v>
      </c>
      <c r="B578" s="15" t="s">
        <v>65</v>
      </c>
      <c r="C578" s="16" t="s">
        <v>326</v>
      </c>
      <c r="D578" s="16" t="s">
        <v>58</v>
      </c>
      <c r="E578" s="16" t="s">
        <v>123</v>
      </c>
      <c r="F578" s="16" t="s">
        <v>100</v>
      </c>
      <c r="G578" s="16" t="s">
        <v>8</v>
      </c>
      <c r="H578" s="16">
        <v>91</v>
      </c>
      <c r="I578" s="16">
        <v>938</v>
      </c>
      <c r="J578" s="16">
        <v>1156</v>
      </c>
      <c r="K578" s="17">
        <f t="shared" ref="K578:K641" si="36">H578*I578</f>
        <v>85358</v>
      </c>
      <c r="L578" s="17">
        <f t="shared" ref="L578:L641" si="37">H578*J578</f>
        <v>105196</v>
      </c>
      <c r="M578" s="17">
        <f t="shared" ref="M578:M641" si="38">L578-K578</f>
        <v>19838</v>
      </c>
      <c r="N578" s="17" t="str">
        <f t="shared" ref="N578:N641" si="39">IF(M578&gt;0,"profit","loss")</f>
        <v>profit</v>
      </c>
    </row>
    <row r="579" spans="1:14" ht="15.6" thickTop="1" thickBot="1" x14ac:dyDescent="0.35">
      <c r="A579" s="15">
        <v>45629</v>
      </c>
      <c r="B579" s="15" t="s">
        <v>213</v>
      </c>
      <c r="C579" s="16" t="s">
        <v>214</v>
      </c>
      <c r="D579" s="16" t="s">
        <v>71</v>
      </c>
      <c r="E579" s="16" t="s">
        <v>10</v>
      </c>
      <c r="F579" s="16" t="s">
        <v>85</v>
      </c>
      <c r="G579" s="16" t="s">
        <v>12</v>
      </c>
      <c r="H579" s="16">
        <v>26</v>
      </c>
      <c r="I579" s="16">
        <v>870</v>
      </c>
      <c r="J579" s="16">
        <v>1123</v>
      </c>
      <c r="K579" s="17">
        <f t="shared" si="36"/>
        <v>22620</v>
      </c>
      <c r="L579" s="17">
        <f t="shared" si="37"/>
        <v>29198</v>
      </c>
      <c r="M579" s="17">
        <f t="shared" si="38"/>
        <v>6578</v>
      </c>
      <c r="N579" s="17" t="str">
        <f t="shared" si="39"/>
        <v>profit</v>
      </c>
    </row>
    <row r="580" spans="1:14" ht="15.6" thickTop="1" thickBot="1" x14ac:dyDescent="0.35">
      <c r="A580" s="15">
        <v>45503</v>
      </c>
      <c r="B580" s="15" t="s">
        <v>65</v>
      </c>
      <c r="C580" s="16" t="s">
        <v>327</v>
      </c>
      <c r="D580" s="16" t="s">
        <v>58</v>
      </c>
      <c r="E580" s="16" t="s">
        <v>123</v>
      </c>
      <c r="F580" s="16" t="s">
        <v>7</v>
      </c>
      <c r="G580" s="16" t="s">
        <v>12</v>
      </c>
      <c r="H580" s="16">
        <v>66</v>
      </c>
      <c r="I580" s="16">
        <v>512</v>
      </c>
      <c r="J580" s="16">
        <v>1208</v>
      </c>
      <c r="K580" s="17">
        <f t="shared" si="36"/>
        <v>33792</v>
      </c>
      <c r="L580" s="17">
        <f t="shared" si="37"/>
        <v>79728</v>
      </c>
      <c r="M580" s="17">
        <f t="shared" si="38"/>
        <v>45936</v>
      </c>
      <c r="N580" s="17" t="str">
        <f t="shared" si="39"/>
        <v>profit</v>
      </c>
    </row>
    <row r="581" spans="1:14" ht="15.6" thickTop="1" thickBot="1" x14ac:dyDescent="0.35">
      <c r="A581" s="15">
        <v>45504</v>
      </c>
      <c r="B581" s="15" t="s">
        <v>65</v>
      </c>
      <c r="C581" s="16" t="s">
        <v>328</v>
      </c>
      <c r="D581" s="16" t="s">
        <v>58</v>
      </c>
      <c r="E581" s="16" t="s">
        <v>123</v>
      </c>
      <c r="F581" s="16" t="s">
        <v>69</v>
      </c>
      <c r="G581" s="16" t="s">
        <v>12</v>
      </c>
      <c r="H581" s="16">
        <v>88</v>
      </c>
      <c r="I581" s="16">
        <v>691</v>
      </c>
      <c r="J581" s="16">
        <v>1394</v>
      </c>
      <c r="K581" s="17">
        <f t="shared" si="36"/>
        <v>60808</v>
      </c>
      <c r="L581" s="17">
        <f t="shared" si="37"/>
        <v>122672</v>
      </c>
      <c r="M581" s="17">
        <f t="shared" si="38"/>
        <v>61864</v>
      </c>
      <c r="N581" s="17" t="str">
        <f t="shared" si="39"/>
        <v>profit</v>
      </c>
    </row>
    <row r="582" spans="1:14" ht="15.6" thickTop="1" thickBot="1" x14ac:dyDescent="0.35">
      <c r="A582" s="15">
        <v>45505</v>
      </c>
      <c r="B582" s="15" t="s">
        <v>82</v>
      </c>
      <c r="C582" s="16" t="s">
        <v>329</v>
      </c>
      <c r="D582" s="16" t="s">
        <v>58</v>
      </c>
      <c r="E582" s="16" t="s">
        <v>123</v>
      </c>
      <c r="F582" s="16" t="s">
        <v>51</v>
      </c>
      <c r="G582" s="16" t="s">
        <v>12</v>
      </c>
      <c r="H582" s="16">
        <v>54</v>
      </c>
      <c r="I582" s="16">
        <v>518</v>
      </c>
      <c r="J582" s="16">
        <v>1106</v>
      </c>
      <c r="K582" s="17">
        <f t="shared" si="36"/>
        <v>27972</v>
      </c>
      <c r="L582" s="17">
        <f t="shared" si="37"/>
        <v>59724</v>
      </c>
      <c r="M582" s="17">
        <f t="shared" si="38"/>
        <v>31752</v>
      </c>
      <c r="N582" s="17" t="str">
        <f t="shared" si="39"/>
        <v>profit</v>
      </c>
    </row>
    <row r="583" spans="1:14" ht="15.6" thickTop="1" thickBot="1" x14ac:dyDescent="0.35">
      <c r="A583" s="15">
        <v>45506</v>
      </c>
      <c r="B583" s="15" t="s">
        <v>82</v>
      </c>
      <c r="C583" s="16" t="s">
        <v>330</v>
      </c>
      <c r="D583" s="16" t="s">
        <v>58</v>
      </c>
      <c r="E583" s="16" t="s">
        <v>123</v>
      </c>
      <c r="F583" s="16" t="s">
        <v>89</v>
      </c>
      <c r="G583" s="16" t="s">
        <v>12</v>
      </c>
      <c r="H583" s="16">
        <v>67</v>
      </c>
      <c r="I583" s="16">
        <v>780</v>
      </c>
      <c r="J583" s="16">
        <v>864</v>
      </c>
      <c r="K583" s="17">
        <f t="shared" si="36"/>
        <v>52260</v>
      </c>
      <c r="L583" s="17">
        <f t="shared" si="37"/>
        <v>57888</v>
      </c>
      <c r="M583" s="17">
        <f t="shared" si="38"/>
        <v>5628</v>
      </c>
      <c r="N583" s="17" t="str">
        <f t="shared" si="39"/>
        <v>profit</v>
      </c>
    </row>
    <row r="584" spans="1:14" ht="15.6" thickTop="1" thickBot="1" x14ac:dyDescent="0.35">
      <c r="A584" s="15">
        <v>45634</v>
      </c>
      <c r="B584" s="15" t="s">
        <v>213</v>
      </c>
      <c r="C584" s="16" t="s">
        <v>219</v>
      </c>
      <c r="D584" s="16" t="s">
        <v>71</v>
      </c>
      <c r="E584" s="16" t="s">
        <v>10</v>
      </c>
      <c r="F584" s="16" t="s">
        <v>176</v>
      </c>
      <c r="G584" s="16" t="s">
        <v>12</v>
      </c>
      <c r="H584" s="16">
        <v>23</v>
      </c>
      <c r="I584" s="16">
        <v>945</v>
      </c>
      <c r="J584" s="16">
        <v>1268</v>
      </c>
      <c r="K584" s="17">
        <f t="shared" si="36"/>
        <v>21735</v>
      </c>
      <c r="L584" s="17">
        <f t="shared" si="37"/>
        <v>29164</v>
      </c>
      <c r="M584" s="17">
        <f t="shared" si="38"/>
        <v>7429</v>
      </c>
      <c r="N584" s="17" t="str">
        <f t="shared" si="39"/>
        <v>profit</v>
      </c>
    </row>
    <row r="585" spans="1:14" ht="15.6" thickTop="1" thickBot="1" x14ac:dyDescent="0.35">
      <c r="A585" s="15">
        <v>45508</v>
      </c>
      <c r="B585" s="15" t="s">
        <v>82</v>
      </c>
      <c r="C585" s="16" t="s">
        <v>331</v>
      </c>
      <c r="D585" s="16" t="s">
        <v>58</v>
      </c>
      <c r="E585" s="16" t="s">
        <v>143</v>
      </c>
      <c r="F585" s="16" t="s">
        <v>102</v>
      </c>
      <c r="G585" s="16" t="s">
        <v>8</v>
      </c>
      <c r="H585" s="16">
        <v>85</v>
      </c>
      <c r="I585" s="16">
        <v>853</v>
      </c>
      <c r="J585" s="16">
        <v>1453</v>
      </c>
      <c r="K585" s="17">
        <f t="shared" si="36"/>
        <v>72505</v>
      </c>
      <c r="L585" s="17">
        <f t="shared" si="37"/>
        <v>123505</v>
      </c>
      <c r="M585" s="17">
        <f t="shared" si="38"/>
        <v>51000</v>
      </c>
      <c r="N585" s="17" t="str">
        <f t="shared" si="39"/>
        <v>profit</v>
      </c>
    </row>
    <row r="586" spans="1:14" ht="15.6" thickTop="1" thickBot="1" x14ac:dyDescent="0.35">
      <c r="A586" s="15">
        <v>45509</v>
      </c>
      <c r="B586" s="15" t="s">
        <v>82</v>
      </c>
      <c r="C586" s="16" t="s">
        <v>332</v>
      </c>
      <c r="D586" s="16" t="s">
        <v>58</v>
      </c>
      <c r="E586" s="16" t="s">
        <v>143</v>
      </c>
      <c r="F586" s="16" t="s">
        <v>60</v>
      </c>
      <c r="G586" s="16" t="s">
        <v>8</v>
      </c>
      <c r="H586" s="16">
        <v>69</v>
      </c>
      <c r="I586" s="16">
        <v>745</v>
      </c>
      <c r="J586" s="16">
        <v>1075</v>
      </c>
      <c r="K586" s="17">
        <f t="shared" si="36"/>
        <v>51405</v>
      </c>
      <c r="L586" s="17">
        <f t="shared" si="37"/>
        <v>74175</v>
      </c>
      <c r="M586" s="17">
        <f t="shared" si="38"/>
        <v>22770</v>
      </c>
      <c r="N586" s="17" t="str">
        <f t="shared" si="39"/>
        <v>profit</v>
      </c>
    </row>
    <row r="587" spans="1:14" ht="15.6" thickTop="1" thickBot="1" x14ac:dyDescent="0.35">
      <c r="A587" s="15">
        <v>45637</v>
      </c>
      <c r="B587" s="15" t="s">
        <v>213</v>
      </c>
      <c r="C587" s="16" t="s">
        <v>221</v>
      </c>
      <c r="D587" s="16" t="s">
        <v>58</v>
      </c>
      <c r="E587" s="16" t="s">
        <v>123</v>
      </c>
      <c r="F587" s="16" t="s">
        <v>47</v>
      </c>
      <c r="G587" s="16" t="s">
        <v>12</v>
      </c>
      <c r="H587" s="16">
        <v>78</v>
      </c>
      <c r="I587" s="16">
        <v>522</v>
      </c>
      <c r="J587" s="16">
        <v>1064</v>
      </c>
      <c r="K587" s="17">
        <f t="shared" si="36"/>
        <v>40716</v>
      </c>
      <c r="L587" s="17">
        <f t="shared" si="37"/>
        <v>82992</v>
      </c>
      <c r="M587" s="17">
        <f t="shared" si="38"/>
        <v>42276</v>
      </c>
      <c r="N587" s="17" t="str">
        <f t="shared" si="39"/>
        <v>profit</v>
      </c>
    </row>
    <row r="588" spans="1:14" ht="15.6" thickTop="1" thickBot="1" x14ac:dyDescent="0.35">
      <c r="A588" s="15">
        <v>45528</v>
      </c>
      <c r="B588" s="15" t="s">
        <v>82</v>
      </c>
      <c r="C588" s="16" t="s">
        <v>333</v>
      </c>
      <c r="D588" s="16" t="s">
        <v>58</v>
      </c>
      <c r="E588" s="16" t="s">
        <v>123</v>
      </c>
      <c r="F588" s="16" t="s">
        <v>64</v>
      </c>
      <c r="G588" s="16" t="s">
        <v>8</v>
      </c>
      <c r="H588" s="16">
        <v>63</v>
      </c>
      <c r="I588" s="16">
        <v>525</v>
      </c>
      <c r="J588" s="16">
        <v>1182</v>
      </c>
      <c r="K588" s="17">
        <f t="shared" si="36"/>
        <v>33075</v>
      </c>
      <c r="L588" s="17">
        <f t="shared" si="37"/>
        <v>74466</v>
      </c>
      <c r="M588" s="17">
        <f t="shared" si="38"/>
        <v>41391</v>
      </c>
      <c r="N588" s="17" t="str">
        <f t="shared" si="39"/>
        <v>profit</v>
      </c>
    </row>
    <row r="589" spans="1:14" ht="15.6" thickTop="1" thickBot="1" x14ac:dyDescent="0.35">
      <c r="A589" s="15">
        <v>45529</v>
      </c>
      <c r="B589" s="15" t="s">
        <v>82</v>
      </c>
      <c r="C589" s="16" t="s">
        <v>334</v>
      </c>
      <c r="D589" s="16" t="s">
        <v>58</v>
      </c>
      <c r="E589" s="16" t="s">
        <v>123</v>
      </c>
      <c r="F589" s="16" t="s">
        <v>55</v>
      </c>
      <c r="G589" s="16" t="s">
        <v>8</v>
      </c>
      <c r="H589" s="16">
        <v>73</v>
      </c>
      <c r="I589" s="16">
        <v>709</v>
      </c>
      <c r="J589" s="16">
        <v>1344</v>
      </c>
      <c r="K589" s="17">
        <f t="shared" si="36"/>
        <v>51757</v>
      </c>
      <c r="L589" s="17">
        <f t="shared" si="37"/>
        <v>98112</v>
      </c>
      <c r="M589" s="17">
        <f t="shared" si="38"/>
        <v>46355</v>
      </c>
      <c r="N589" s="17" t="str">
        <f t="shared" si="39"/>
        <v>profit</v>
      </c>
    </row>
    <row r="590" spans="1:14" ht="15.6" thickTop="1" thickBot="1" x14ac:dyDescent="0.35">
      <c r="A590" s="15">
        <v>45530</v>
      </c>
      <c r="B590" s="15" t="s">
        <v>82</v>
      </c>
      <c r="C590" s="16" t="s">
        <v>335</v>
      </c>
      <c r="D590" s="16" t="s">
        <v>58</v>
      </c>
      <c r="E590" s="16" t="s">
        <v>123</v>
      </c>
      <c r="F590" s="16" t="s">
        <v>137</v>
      </c>
      <c r="G590" s="16" t="s">
        <v>8</v>
      </c>
      <c r="H590" s="16">
        <v>74</v>
      </c>
      <c r="I590" s="16">
        <v>914</v>
      </c>
      <c r="J590" s="16">
        <v>1031</v>
      </c>
      <c r="K590" s="17">
        <f t="shared" si="36"/>
        <v>67636</v>
      </c>
      <c r="L590" s="17">
        <f t="shared" si="37"/>
        <v>76294</v>
      </c>
      <c r="M590" s="17">
        <f t="shared" si="38"/>
        <v>8658</v>
      </c>
      <c r="N590" s="17" t="str">
        <f t="shared" si="39"/>
        <v>profit</v>
      </c>
    </row>
    <row r="591" spans="1:14" ht="15.6" thickTop="1" thickBot="1" x14ac:dyDescent="0.35">
      <c r="A591" s="15">
        <v>45531</v>
      </c>
      <c r="B591" s="15" t="s">
        <v>82</v>
      </c>
      <c r="C591" s="16" t="s">
        <v>336</v>
      </c>
      <c r="D591" s="16" t="s">
        <v>58</v>
      </c>
      <c r="E591" s="16" t="s">
        <v>123</v>
      </c>
      <c r="F591" s="16" t="s">
        <v>69</v>
      </c>
      <c r="G591" s="16" t="s">
        <v>8</v>
      </c>
      <c r="H591" s="16">
        <v>84</v>
      </c>
      <c r="I591" s="16">
        <v>558</v>
      </c>
      <c r="J591" s="16">
        <v>1477</v>
      </c>
      <c r="K591" s="17">
        <f t="shared" si="36"/>
        <v>46872</v>
      </c>
      <c r="L591" s="17">
        <f t="shared" si="37"/>
        <v>124068</v>
      </c>
      <c r="M591" s="17">
        <f t="shared" si="38"/>
        <v>77196</v>
      </c>
      <c r="N591" s="17" t="str">
        <f t="shared" si="39"/>
        <v>profit</v>
      </c>
    </row>
    <row r="592" spans="1:14" ht="15.6" thickTop="1" thickBot="1" x14ac:dyDescent="0.35">
      <c r="A592" s="15">
        <v>45642</v>
      </c>
      <c r="B592" s="15" t="s">
        <v>213</v>
      </c>
      <c r="C592" s="16" t="s">
        <v>225</v>
      </c>
      <c r="D592" s="16" t="s">
        <v>58</v>
      </c>
      <c r="E592" s="16" t="s">
        <v>123</v>
      </c>
      <c r="F592" s="16" t="s">
        <v>64</v>
      </c>
      <c r="G592" s="16" t="s">
        <v>8</v>
      </c>
      <c r="H592" s="16">
        <v>60</v>
      </c>
      <c r="I592" s="16">
        <v>642</v>
      </c>
      <c r="J592" s="16">
        <v>1110</v>
      </c>
      <c r="K592" s="17">
        <f t="shared" si="36"/>
        <v>38520</v>
      </c>
      <c r="L592" s="17">
        <f t="shared" si="37"/>
        <v>66600</v>
      </c>
      <c r="M592" s="17">
        <f t="shared" si="38"/>
        <v>28080</v>
      </c>
      <c r="N592" s="17" t="str">
        <f t="shared" si="39"/>
        <v>profit</v>
      </c>
    </row>
    <row r="593" spans="1:14" ht="15.6" thickTop="1" thickBot="1" x14ac:dyDescent="0.35">
      <c r="A593" s="15">
        <v>45532</v>
      </c>
      <c r="B593" s="15" t="s">
        <v>82</v>
      </c>
      <c r="C593" s="16" t="s">
        <v>337</v>
      </c>
      <c r="D593" s="16" t="s">
        <v>58</v>
      </c>
      <c r="E593" s="16" t="s">
        <v>123</v>
      </c>
      <c r="F593" s="16" t="s">
        <v>176</v>
      </c>
      <c r="G593" s="16" t="s">
        <v>8</v>
      </c>
      <c r="H593" s="16">
        <v>99</v>
      </c>
      <c r="I593" s="16">
        <v>934</v>
      </c>
      <c r="J593" s="16">
        <v>1318</v>
      </c>
      <c r="K593" s="17">
        <f t="shared" si="36"/>
        <v>92466</v>
      </c>
      <c r="L593" s="17">
        <f t="shared" si="37"/>
        <v>130482</v>
      </c>
      <c r="M593" s="17">
        <f t="shared" si="38"/>
        <v>38016</v>
      </c>
      <c r="N593" s="17" t="str">
        <f t="shared" si="39"/>
        <v>profit</v>
      </c>
    </row>
    <row r="594" spans="1:14" ht="15.6" thickTop="1" thickBot="1" x14ac:dyDescent="0.35">
      <c r="A594" s="15">
        <v>45533</v>
      </c>
      <c r="B594" s="15" t="s">
        <v>82</v>
      </c>
      <c r="C594" s="16" t="s">
        <v>338</v>
      </c>
      <c r="D594" s="16" t="s">
        <v>58</v>
      </c>
      <c r="E594" s="16" t="s">
        <v>123</v>
      </c>
      <c r="F594" s="16" t="s">
        <v>178</v>
      </c>
      <c r="G594" s="16" t="s">
        <v>8</v>
      </c>
      <c r="H594" s="16">
        <v>52</v>
      </c>
      <c r="I594" s="16">
        <v>576</v>
      </c>
      <c r="J594" s="16">
        <v>1419</v>
      </c>
      <c r="K594" s="17">
        <f t="shared" si="36"/>
        <v>29952</v>
      </c>
      <c r="L594" s="17">
        <f t="shared" si="37"/>
        <v>73788</v>
      </c>
      <c r="M594" s="17">
        <f t="shared" si="38"/>
        <v>43836</v>
      </c>
      <c r="N594" s="17" t="str">
        <f t="shared" si="39"/>
        <v>profit</v>
      </c>
    </row>
    <row r="595" spans="1:14" ht="15.6" thickTop="1" thickBot="1" x14ac:dyDescent="0.35">
      <c r="A595" s="15">
        <v>45534</v>
      </c>
      <c r="B595" s="15" t="s">
        <v>82</v>
      </c>
      <c r="C595" s="16" t="s">
        <v>339</v>
      </c>
      <c r="D595" s="16" t="s">
        <v>58</v>
      </c>
      <c r="E595" s="16" t="s">
        <v>123</v>
      </c>
      <c r="F595" s="16" t="s">
        <v>45</v>
      </c>
      <c r="G595" s="16" t="s">
        <v>12</v>
      </c>
      <c r="H595" s="16">
        <v>98</v>
      </c>
      <c r="I595" s="16">
        <v>769</v>
      </c>
      <c r="J595" s="16">
        <v>1277</v>
      </c>
      <c r="K595" s="17">
        <f t="shared" si="36"/>
        <v>75362</v>
      </c>
      <c r="L595" s="17">
        <f t="shared" si="37"/>
        <v>125146</v>
      </c>
      <c r="M595" s="17">
        <f t="shared" si="38"/>
        <v>49784</v>
      </c>
      <c r="N595" s="17" t="str">
        <f t="shared" si="39"/>
        <v>profit</v>
      </c>
    </row>
    <row r="596" spans="1:14" ht="15.6" thickTop="1" thickBot="1" x14ac:dyDescent="0.35">
      <c r="A596" s="15">
        <v>45646</v>
      </c>
      <c r="B596" s="15" t="s">
        <v>213</v>
      </c>
      <c r="C596" s="16" t="s">
        <v>229</v>
      </c>
      <c r="D596" s="16" t="s">
        <v>58</v>
      </c>
      <c r="E596" s="16" t="s">
        <v>123</v>
      </c>
      <c r="F596" s="16" t="s">
        <v>64</v>
      </c>
      <c r="G596" s="16" t="s">
        <v>8</v>
      </c>
      <c r="H596" s="16">
        <v>86</v>
      </c>
      <c r="I596" s="16">
        <v>668</v>
      </c>
      <c r="J596" s="16">
        <v>1278</v>
      </c>
      <c r="K596" s="17">
        <f t="shared" si="36"/>
        <v>57448</v>
      </c>
      <c r="L596" s="17">
        <f t="shared" si="37"/>
        <v>109908</v>
      </c>
      <c r="M596" s="17">
        <f t="shared" si="38"/>
        <v>52460</v>
      </c>
      <c r="N596" s="17" t="str">
        <f t="shared" si="39"/>
        <v>profit</v>
      </c>
    </row>
    <row r="597" spans="1:14" ht="15.6" thickTop="1" thickBot="1" x14ac:dyDescent="0.35">
      <c r="A597" s="15">
        <v>45536</v>
      </c>
      <c r="B597" s="15" t="s">
        <v>94</v>
      </c>
      <c r="C597" s="16" t="s">
        <v>340</v>
      </c>
      <c r="D597" s="16" t="s">
        <v>58</v>
      </c>
      <c r="E597" s="16" t="s">
        <v>123</v>
      </c>
      <c r="F597" s="16" t="s">
        <v>49</v>
      </c>
      <c r="G597" s="16" t="s">
        <v>12</v>
      </c>
      <c r="H597" s="16">
        <v>73</v>
      </c>
      <c r="I597" s="16">
        <v>627</v>
      </c>
      <c r="J597" s="16">
        <v>769</v>
      </c>
      <c r="K597" s="17">
        <f t="shared" si="36"/>
        <v>45771</v>
      </c>
      <c r="L597" s="17">
        <f t="shared" si="37"/>
        <v>56137</v>
      </c>
      <c r="M597" s="17">
        <f t="shared" si="38"/>
        <v>10366</v>
      </c>
      <c r="N597" s="17" t="str">
        <f t="shared" si="39"/>
        <v>profit</v>
      </c>
    </row>
    <row r="598" spans="1:14" ht="15.6" thickTop="1" thickBot="1" x14ac:dyDescent="0.35">
      <c r="A598" s="15">
        <v>45648</v>
      </c>
      <c r="B598" s="15" t="s">
        <v>213</v>
      </c>
      <c r="C598" s="16" t="s">
        <v>231</v>
      </c>
      <c r="D598" s="16" t="s">
        <v>58</v>
      </c>
      <c r="E598" s="16" t="s">
        <v>143</v>
      </c>
      <c r="F598" s="16" t="s">
        <v>137</v>
      </c>
      <c r="G598" s="16" t="s">
        <v>8</v>
      </c>
      <c r="H598" s="16">
        <v>57</v>
      </c>
      <c r="I598" s="16">
        <v>995</v>
      </c>
      <c r="J598" s="16">
        <v>912</v>
      </c>
      <c r="K598" s="17">
        <f t="shared" si="36"/>
        <v>56715</v>
      </c>
      <c r="L598" s="17">
        <f t="shared" si="37"/>
        <v>51984</v>
      </c>
      <c r="M598" s="17">
        <f t="shared" si="38"/>
        <v>-4731</v>
      </c>
      <c r="N598" s="17" t="str">
        <f t="shared" si="39"/>
        <v>loss</v>
      </c>
    </row>
    <row r="599" spans="1:14" ht="15.6" thickTop="1" thickBot="1" x14ac:dyDescent="0.35">
      <c r="A599" s="15">
        <v>45537</v>
      </c>
      <c r="B599" s="15" t="s">
        <v>94</v>
      </c>
      <c r="C599" s="16" t="s">
        <v>341</v>
      </c>
      <c r="D599" s="16" t="s">
        <v>58</v>
      </c>
      <c r="E599" s="16" t="s">
        <v>143</v>
      </c>
      <c r="F599" s="16" t="s">
        <v>51</v>
      </c>
      <c r="G599" s="16" t="s">
        <v>12</v>
      </c>
      <c r="H599" s="16">
        <v>93</v>
      </c>
      <c r="I599" s="16">
        <v>847</v>
      </c>
      <c r="J599" s="16">
        <v>1258</v>
      </c>
      <c r="K599" s="17">
        <f t="shared" si="36"/>
        <v>78771</v>
      </c>
      <c r="L599" s="17">
        <f t="shared" si="37"/>
        <v>116994</v>
      </c>
      <c r="M599" s="17">
        <f t="shared" si="38"/>
        <v>38223</v>
      </c>
      <c r="N599" s="17" t="str">
        <f t="shared" si="39"/>
        <v>profit</v>
      </c>
    </row>
    <row r="600" spans="1:14" ht="15.6" thickTop="1" thickBot="1" x14ac:dyDescent="0.35">
      <c r="A600" s="15">
        <v>45538</v>
      </c>
      <c r="B600" s="15" t="s">
        <v>94</v>
      </c>
      <c r="C600" s="16" t="s">
        <v>342</v>
      </c>
      <c r="D600" s="16" t="s">
        <v>58</v>
      </c>
      <c r="E600" s="16" t="s">
        <v>143</v>
      </c>
      <c r="F600" s="16" t="s">
        <v>51</v>
      </c>
      <c r="G600" s="16" t="s">
        <v>12</v>
      </c>
      <c r="H600" s="16">
        <v>84</v>
      </c>
      <c r="I600" s="16">
        <v>522</v>
      </c>
      <c r="J600" s="16">
        <v>929</v>
      </c>
      <c r="K600" s="17">
        <f t="shared" si="36"/>
        <v>43848</v>
      </c>
      <c r="L600" s="17">
        <f t="shared" si="37"/>
        <v>78036</v>
      </c>
      <c r="M600" s="17">
        <f t="shared" si="38"/>
        <v>34188</v>
      </c>
      <c r="N600" s="17" t="str">
        <f t="shared" si="39"/>
        <v>profit</v>
      </c>
    </row>
    <row r="601" spans="1:14" ht="15.6" thickTop="1" thickBot="1" x14ac:dyDescent="0.35">
      <c r="A601" s="15">
        <v>45539</v>
      </c>
      <c r="B601" s="15" t="s">
        <v>94</v>
      </c>
      <c r="C601" s="16" t="s">
        <v>343</v>
      </c>
      <c r="D601" s="16" t="s">
        <v>58</v>
      </c>
      <c r="E601" s="16" t="s">
        <v>143</v>
      </c>
      <c r="F601" s="16" t="s">
        <v>53</v>
      </c>
      <c r="G601" s="16" t="s">
        <v>8</v>
      </c>
      <c r="H601" s="16">
        <v>85</v>
      </c>
      <c r="I601" s="16">
        <v>564</v>
      </c>
      <c r="J601" s="16">
        <v>1049</v>
      </c>
      <c r="K601" s="17">
        <f t="shared" si="36"/>
        <v>47940</v>
      </c>
      <c r="L601" s="17">
        <f t="shared" si="37"/>
        <v>89165</v>
      </c>
      <c r="M601" s="17">
        <f t="shared" si="38"/>
        <v>41225</v>
      </c>
      <c r="N601" s="17" t="str">
        <f t="shared" si="39"/>
        <v>profit</v>
      </c>
    </row>
    <row r="602" spans="1:14" ht="15.6" thickTop="1" thickBot="1" x14ac:dyDescent="0.35">
      <c r="A602" s="15">
        <v>45541</v>
      </c>
      <c r="B602" s="15" t="s">
        <v>94</v>
      </c>
      <c r="C602" s="16" t="s">
        <v>344</v>
      </c>
      <c r="D602" s="16" t="s">
        <v>58</v>
      </c>
      <c r="E602" s="16" t="s">
        <v>143</v>
      </c>
      <c r="F602" s="16" t="s">
        <v>51</v>
      </c>
      <c r="G602" s="16" t="s">
        <v>8</v>
      </c>
      <c r="H602" s="16">
        <v>93</v>
      </c>
      <c r="I602" s="16">
        <v>579</v>
      </c>
      <c r="J602" s="16">
        <v>1402</v>
      </c>
      <c r="K602" s="17">
        <f t="shared" si="36"/>
        <v>53847</v>
      </c>
      <c r="L602" s="17">
        <f t="shared" si="37"/>
        <v>130386</v>
      </c>
      <c r="M602" s="17">
        <f t="shared" si="38"/>
        <v>76539</v>
      </c>
      <c r="N602" s="17" t="str">
        <f t="shared" si="39"/>
        <v>profit</v>
      </c>
    </row>
    <row r="603" spans="1:14" ht="15.6" thickTop="1" thickBot="1" x14ac:dyDescent="0.35">
      <c r="A603" s="15">
        <v>45653</v>
      </c>
      <c r="B603" s="15" t="s">
        <v>213</v>
      </c>
      <c r="C603" s="16" t="s">
        <v>236</v>
      </c>
      <c r="D603" s="16" t="s">
        <v>58</v>
      </c>
      <c r="E603" s="16" t="s">
        <v>143</v>
      </c>
      <c r="F603" s="16" t="s">
        <v>47</v>
      </c>
      <c r="G603" s="16" t="s">
        <v>12</v>
      </c>
      <c r="H603" s="16">
        <v>93</v>
      </c>
      <c r="I603" s="16">
        <v>886</v>
      </c>
      <c r="J603" s="16">
        <v>1199</v>
      </c>
      <c r="K603" s="17">
        <f t="shared" si="36"/>
        <v>82398</v>
      </c>
      <c r="L603" s="17">
        <f t="shared" si="37"/>
        <v>111507</v>
      </c>
      <c r="M603" s="17">
        <f t="shared" si="38"/>
        <v>29109</v>
      </c>
      <c r="N603" s="17" t="str">
        <f t="shared" si="39"/>
        <v>profit</v>
      </c>
    </row>
    <row r="604" spans="1:14" ht="15.6" thickTop="1" thickBot="1" x14ac:dyDescent="0.35">
      <c r="A604" s="15">
        <v>45542</v>
      </c>
      <c r="B604" s="15" t="s">
        <v>94</v>
      </c>
      <c r="C604" s="16" t="s">
        <v>345</v>
      </c>
      <c r="D604" s="16" t="s">
        <v>58</v>
      </c>
      <c r="E604" s="16" t="s">
        <v>143</v>
      </c>
      <c r="F604" s="16" t="s">
        <v>100</v>
      </c>
      <c r="G604" s="16" t="s">
        <v>12</v>
      </c>
      <c r="H604" s="16">
        <v>56</v>
      </c>
      <c r="I604" s="16">
        <v>724</v>
      </c>
      <c r="J604" s="16">
        <v>1391</v>
      </c>
      <c r="K604" s="17">
        <f t="shared" si="36"/>
        <v>40544</v>
      </c>
      <c r="L604" s="17">
        <f t="shared" si="37"/>
        <v>77896</v>
      </c>
      <c r="M604" s="17">
        <f t="shared" si="38"/>
        <v>37352</v>
      </c>
      <c r="N604" s="17" t="str">
        <f t="shared" si="39"/>
        <v>profit</v>
      </c>
    </row>
    <row r="605" spans="1:14" ht="15.6" thickTop="1" thickBot="1" x14ac:dyDescent="0.35">
      <c r="A605" s="15">
        <v>45555</v>
      </c>
      <c r="B605" s="15" t="s">
        <v>94</v>
      </c>
      <c r="C605" s="16" t="s">
        <v>346</v>
      </c>
      <c r="D605" s="16" t="s">
        <v>58</v>
      </c>
      <c r="E605" s="16" t="s">
        <v>143</v>
      </c>
      <c r="F605" s="16" t="s">
        <v>69</v>
      </c>
      <c r="G605" s="16" t="s">
        <v>12</v>
      </c>
      <c r="H605" s="16">
        <v>60</v>
      </c>
      <c r="I605" s="16">
        <v>783</v>
      </c>
      <c r="J605" s="16">
        <v>881</v>
      </c>
      <c r="K605" s="17">
        <f t="shared" si="36"/>
        <v>46980</v>
      </c>
      <c r="L605" s="17">
        <f t="shared" si="37"/>
        <v>52860</v>
      </c>
      <c r="M605" s="17">
        <f t="shared" si="38"/>
        <v>5880</v>
      </c>
      <c r="N605" s="17" t="str">
        <f t="shared" si="39"/>
        <v>profit</v>
      </c>
    </row>
    <row r="606" spans="1:14" ht="15.6" thickTop="1" thickBot="1" x14ac:dyDescent="0.35">
      <c r="A606" s="15">
        <v>45556</v>
      </c>
      <c r="B606" s="15" t="s">
        <v>94</v>
      </c>
      <c r="C606" s="16" t="s">
        <v>347</v>
      </c>
      <c r="D606" s="16" t="s">
        <v>58</v>
      </c>
      <c r="E606" s="16" t="s">
        <v>143</v>
      </c>
      <c r="F606" s="16" t="s">
        <v>53</v>
      </c>
      <c r="G606" s="16" t="s">
        <v>12</v>
      </c>
      <c r="H606" s="16">
        <v>81</v>
      </c>
      <c r="I606" s="16">
        <v>948</v>
      </c>
      <c r="J606" s="16">
        <v>904</v>
      </c>
      <c r="K606" s="17">
        <f t="shared" si="36"/>
        <v>76788</v>
      </c>
      <c r="L606" s="17">
        <f t="shared" si="37"/>
        <v>73224</v>
      </c>
      <c r="M606" s="17">
        <f t="shared" si="38"/>
        <v>-3564</v>
      </c>
      <c r="N606" s="17" t="str">
        <f t="shared" si="39"/>
        <v>loss</v>
      </c>
    </row>
    <row r="607" spans="1:14" ht="15.6" thickTop="1" thickBot="1" x14ac:dyDescent="0.35">
      <c r="A607" s="15">
        <v>45557</v>
      </c>
      <c r="B607" s="15" t="s">
        <v>94</v>
      </c>
      <c r="C607" s="16" t="s">
        <v>348</v>
      </c>
      <c r="D607" s="16" t="s">
        <v>58</v>
      </c>
      <c r="E607" s="16" t="s">
        <v>143</v>
      </c>
      <c r="F607" s="16" t="s">
        <v>69</v>
      </c>
      <c r="G607" s="16" t="s">
        <v>12</v>
      </c>
      <c r="H607" s="16">
        <v>80</v>
      </c>
      <c r="I607" s="16">
        <v>771</v>
      </c>
      <c r="J607" s="16">
        <v>1090</v>
      </c>
      <c r="K607" s="17">
        <f t="shared" si="36"/>
        <v>61680</v>
      </c>
      <c r="L607" s="17">
        <f t="shared" si="37"/>
        <v>87200</v>
      </c>
      <c r="M607" s="17">
        <f t="shared" si="38"/>
        <v>25520</v>
      </c>
      <c r="N607" s="17" t="str">
        <f t="shared" si="39"/>
        <v>profit</v>
      </c>
    </row>
    <row r="608" spans="1:14" ht="15.6" thickTop="1" thickBot="1" x14ac:dyDescent="0.35">
      <c r="A608" s="15">
        <v>45558</v>
      </c>
      <c r="B608" s="15" t="s">
        <v>94</v>
      </c>
      <c r="C608" s="16" t="s">
        <v>349</v>
      </c>
      <c r="D608" s="16" t="s">
        <v>58</v>
      </c>
      <c r="E608" s="16" t="s">
        <v>143</v>
      </c>
      <c r="F608" s="16" t="s">
        <v>74</v>
      </c>
      <c r="G608" s="16" t="s">
        <v>8</v>
      </c>
      <c r="H608" s="16">
        <v>88</v>
      </c>
      <c r="I608" s="16">
        <v>943</v>
      </c>
      <c r="J608" s="16">
        <v>1082</v>
      </c>
      <c r="K608" s="17">
        <f t="shared" si="36"/>
        <v>82984</v>
      </c>
      <c r="L608" s="17">
        <f t="shared" si="37"/>
        <v>95216</v>
      </c>
      <c r="M608" s="17">
        <f t="shared" si="38"/>
        <v>12232</v>
      </c>
      <c r="N608" s="17" t="str">
        <f t="shared" si="39"/>
        <v>profit</v>
      </c>
    </row>
    <row r="609" spans="1:14" ht="15.6" thickTop="1" thickBot="1" x14ac:dyDescent="0.35">
      <c r="A609" s="15">
        <v>45559</v>
      </c>
      <c r="B609" s="15" t="s">
        <v>94</v>
      </c>
      <c r="C609" s="16" t="s">
        <v>350</v>
      </c>
      <c r="D609" s="16" t="s">
        <v>58</v>
      </c>
      <c r="E609" s="16" t="s">
        <v>143</v>
      </c>
      <c r="F609" s="16" t="s">
        <v>53</v>
      </c>
      <c r="G609" s="16" t="s">
        <v>12</v>
      </c>
      <c r="H609" s="16">
        <v>68</v>
      </c>
      <c r="I609" s="16">
        <v>909</v>
      </c>
      <c r="J609" s="16">
        <v>1329</v>
      </c>
      <c r="K609" s="17">
        <f t="shared" si="36"/>
        <v>61812</v>
      </c>
      <c r="L609" s="17">
        <f t="shared" si="37"/>
        <v>90372</v>
      </c>
      <c r="M609" s="17">
        <f t="shared" si="38"/>
        <v>28560</v>
      </c>
      <c r="N609" s="17" t="str">
        <f t="shared" si="39"/>
        <v>profit</v>
      </c>
    </row>
    <row r="610" spans="1:14" ht="15.6" thickTop="1" thickBot="1" x14ac:dyDescent="0.35">
      <c r="A610" s="15">
        <v>45660</v>
      </c>
      <c r="B610" s="15" t="s">
        <v>119</v>
      </c>
      <c r="C610" s="16" t="s">
        <v>243</v>
      </c>
      <c r="D610" s="16" t="s">
        <v>43</v>
      </c>
      <c r="E610" s="16" t="s">
        <v>44</v>
      </c>
      <c r="F610" s="16" t="s">
        <v>100</v>
      </c>
      <c r="G610" s="16" t="s">
        <v>8</v>
      </c>
      <c r="H610" s="16">
        <v>11</v>
      </c>
      <c r="I610" s="16">
        <v>676</v>
      </c>
      <c r="J610" s="16">
        <v>1050</v>
      </c>
      <c r="K610" s="17">
        <f t="shared" si="36"/>
        <v>7436</v>
      </c>
      <c r="L610" s="17">
        <f t="shared" si="37"/>
        <v>11550</v>
      </c>
      <c r="M610" s="17">
        <f t="shared" si="38"/>
        <v>4114</v>
      </c>
      <c r="N610" s="17" t="str">
        <f t="shared" si="39"/>
        <v>profit</v>
      </c>
    </row>
    <row r="611" spans="1:14" ht="15.6" thickTop="1" thickBot="1" x14ac:dyDescent="0.35">
      <c r="A611" s="15">
        <v>45560</v>
      </c>
      <c r="B611" s="15" t="s">
        <v>94</v>
      </c>
      <c r="C611" s="16" t="s">
        <v>351</v>
      </c>
      <c r="D611" s="16" t="s">
        <v>58</v>
      </c>
      <c r="E611" s="16" t="s">
        <v>143</v>
      </c>
      <c r="F611" s="16" t="s">
        <v>77</v>
      </c>
      <c r="G611" s="16" t="s">
        <v>12</v>
      </c>
      <c r="H611" s="16">
        <v>65</v>
      </c>
      <c r="I611" s="16">
        <v>568</v>
      </c>
      <c r="J611" s="16">
        <v>1482</v>
      </c>
      <c r="K611" s="17">
        <f t="shared" si="36"/>
        <v>36920</v>
      </c>
      <c r="L611" s="17">
        <f t="shared" si="37"/>
        <v>96330</v>
      </c>
      <c r="M611" s="17">
        <f t="shared" si="38"/>
        <v>59410</v>
      </c>
      <c r="N611" s="17" t="str">
        <f t="shared" si="39"/>
        <v>profit</v>
      </c>
    </row>
    <row r="612" spans="1:14" ht="15.6" thickTop="1" thickBot="1" x14ac:dyDescent="0.35">
      <c r="A612" s="15">
        <v>45662</v>
      </c>
      <c r="B612" s="15" t="s">
        <v>119</v>
      </c>
      <c r="C612" s="16" t="s">
        <v>245</v>
      </c>
      <c r="D612" s="16" t="s">
        <v>43</v>
      </c>
      <c r="E612" s="16" t="s">
        <v>44</v>
      </c>
      <c r="F612" s="16" t="s">
        <v>69</v>
      </c>
      <c r="G612" s="16" t="s">
        <v>8</v>
      </c>
      <c r="H612" s="16">
        <v>13</v>
      </c>
      <c r="I612" s="16">
        <v>521</v>
      </c>
      <c r="J612" s="16">
        <v>1433</v>
      </c>
      <c r="K612" s="17">
        <f t="shared" si="36"/>
        <v>6773</v>
      </c>
      <c r="L612" s="17">
        <f t="shared" si="37"/>
        <v>18629</v>
      </c>
      <c r="M612" s="17">
        <f t="shared" si="38"/>
        <v>11856</v>
      </c>
      <c r="N612" s="17" t="str">
        <f t="shared" si="39"/>
        <v>profit</v>
      </c>
    </row>
    <row r="613" spans="1:14" ht="15.6" thickTop="1" thickBot="1" x14ac:dyDescent="0.35">
      <c r="A613" s="15">
        <v>45561</v>
      </c>
      <c r="B613" s="15" t="s">
        <v>94</v>
      </c>
      <c r="C613" s="16" t="s">
        <v>352</v>
      </c>
      <c r="D613" s="16" t="s">
        <v>58</v>
      </c>
      <c r="E613" s="16" t="s">
        <v>143</v>
      </c>
      <c r="F613" s="16" t="s">
        <v>79</v>
      </c>
      <c r="G613" s="16" t="s">
        <v>12</v>
      </c>
      <c r="H613" s="16">
        <v>58</v>
      </c>
      <c r="I613" s="16">
        <v>758</v>
      </c>
      <c r="J613" s="16">
        <v>1241</v>
      </c>
      <c r="K613" s="17">
        <f t="shared" si="36"/>
        <v>43964</v>
      </c>
      <c r="L613" s="17">
        <f t="shared" si="37"/>
        <v>71978</v>
      </c>
      <c r="M613" s="17">
        <f t="shared" si="38"/>
        <v>28014</v>
      </c>
      <c r="N613" s="17" t="str">
        <f t="shared" si="39"/>
        <v>profit</v>
      </c>
    </row>
    <row r="614" spans="1:14" ht="15.6" thickTop="1" thickBot="1" x14ac:dyDescent="0.35">
      <c r="A614" s="15">
        <v>45664</v>
      </c>
      <c r="B614" s="15" t="s">
        <v>119</v>
      </c>
      <c r="C614" s="16" t="s">
        <v>247</v>
      </c>
      <c r="D614" s="16" t="s">
        <v>43</v>
      </c>
      <c r="E614" s="16" t="s">
        <v>44</v>
      </c>
      <c r="F614" s="16" t="s">
        <v>49</v>
      </c>
      <c r="G614" s="16" t="s">
        <v>8</v>
      </c>
      <c r="H614" s="16">
        <v>16</v>
      </c>
      <c r="I614" s="16">
        <v>887</v>
      </c>
      <c r="J614" s="16">
        <v>1059</v>
      </c>
      <c r="K614" s="17">
        <f t="shared" si="36"/>
        <v>14192</v>
      </c>
      <c r="L614" s="17">
        <f t="shared" si="37"/>
        <v>16944</v>
      </c>
      <c r="M614" s="17">
        <f t="shared" si="38"/>
        <v>2752</v>
      </c>
      <c r="N614" s="17" t="str">
        <f t="shared" si="39"/>
        <v>profit</v>
      </c>
    </row>
    <row r="615" spans="1:14" ht="15.6" thickTop="1" thickBot="1" x14ac:dyDescent="0.35">
      <c r="A615" s="15">
        <v>45569</v>
      </c>
      <c r="B615" s="15" t="s">
        <v>109</v>
      </c>
      <c r="C615" s="16" t="s">
        <v>353</v>
      </c>
      <c r="D615" s="16" t="s">
        <v>58</v>
      </c>
      <c r="E615" s="16" t="s">
        <v>123</v>
      </c>
      <c r="F615" s="16" t="s">
        <v>55</v>
      </c>
      <c r="G615" s="16" t="s">
        <v>8</v>
      </c>
      <c r="H615" s="16">
        <v>61</v>
      </c>
      <c r="I615" s="16">
        <v>604</v>
      </c>
      <c r="J615" s="16">
        <v>1251</v>
      </c>
      <c r="K615" s="17">
        <f t="shared" si="36"/>
        <v>36844</v>
      </c>
      <c r="L615" s="17">
        <f t="shared" si="37"/>
        <v>76311</v>
      </c>
      <c r="M615" s="17">
        <f t="shared" si="38"/>
        <v>39467</v>
      </c>
      <c r="N615" s="17" t="str">
        <f t="shared" si="39"/>
        <v>profit</v>
      </c>
    </row>
    <row r="616" spans="1:14" ht="15.6" thickTop="1" thickBot="1" x14ac:dyDescent="0.35">
      <c r="A616" s="15">
        <v>45570</v>
      </c>
      <c r="B616" s="15" t="s">
        <v>109</v>
      </c>
      <c r="C616" s="16" t="s">
        <v>354</v>
      </c>
      <c r="D616" s="16" t="s">
        <v>58</v>
      </c>
      <c r="E616" s="16" t="s">
        <v>123</v>
      </c>
      <c r="F616" s="16" t="s">
        <v>137</v>
      </c>
      <c r="G616" s="16" t="s">
        <v>8</v>
      </c>
      <c r="H616" s="16">
        <v>62</v>
      </c>
      <c r="I616" s="16">
        <v>641</v>
      </c>
      <c r="J616" s="16">
        <v>869</v>
      </c>
      <c r="K616" s="17">
        <f t="shared" si="36"/>
        <v>39742</v>
      </c>
      <c r="L616" s="17">
        <f t="shared" si="37"/>
        <v>53878</v>
      </c>
      <c r="M616" s="17">
        <f t="shared" si="38"/>
        <v>14136</v>
      </c>
      <c r="N616" s="17" t="str">
        <f t="shared" si="39"/>
        <v>profit</v>
      </c>
    </row>
    <row r="617" spans="1:14" ht="15.6" thickTop="1" thickBot="1" x14ac:dyDescent="0.35">
      <c r="A617" s="15">
        <v>45572</v>
      </c>
      <c r="B617" s="15" t="s">
        <v>109</v>
      </c>
      <c r="C617" s="16" t="s">
        <v>355</v>
      </c>
      <c r="D617" s="16" t="s">
        <v>58</v>
      </c>
      <c r="E617" s="16" t="s">
        <v>123</v>
      </c>
      <c r="F617" s="16" t="s">
        <v>176</v>
      </c>
      <c r="G617" s="16" t="s">
        <v>8</v>
      </c>
      <c r="H617" s="16">
        <v>53</v>
      </c>
      <c r="I617" s="16">
        <v>913</v>
      </c>
      <c r="J617" s="16">
        <v>1369</v>
      </c>
      <c r="K617" s="17">
        <f t="shared" si="36"/>
        <v>48389</v>
      </c>
      <c r="L617" s="17">
        <f t="shared" si="37"/>
        <v>72557</v>
      </c>
      <c r="M617" s="17">
        <f t="shared" si="38"/>
        <v>24168</v>
      </c>
      <c r="N617" s="17" t="str">
        <f t="shared" si="39"/>
        <v>profit</v>
      </c>
    </row>
    <row r="618" spans="1:14" ht="15.6" thickTop="1" thickBot="1" x14ac:dyDescent="0.35">
      <c r="A618" s="15">
        <v>45573</v>
      </c>
      <c r="B618" s="15" t="s">
        <v>109</v>
      </c>
      <c r="C618" s="16" t="s">
        <v>356</v>
      </c>
      <c r="D618" s="16" t="s">
        <v>58</v>
      </c>
      <c r="E618" s="16" t="s">
        <v>123</v>
      </c>
      <c r="F618" s="16" t="s">
        <v>178</v>
      </c>
      <c r="G618" s="16" t="s">
        <v>8</v>
      </c>
      <c r="H618" s="16">
        <v>56</v>
      </c>
      <c r="I618" s="16">
        <v>840</v>
      </c>
      <c r="J618" s="16">
        <v>1353</v>
      </c>
      <c r="K618" s="17">
        <f t="shared" si="36"/>
        <v>47040</v>
      </c>
      <c r="L618" s="17">
        <f t="shared" si="37"/>
        <v>75768</v>
      </c>
      <c r="M618" s="17">
        <f t="shared" si="38"/>
        <v>28728</v>
      </c>
      <c r="N618" s="17" t="str">
        <f t="shared" si="39"/>
        <v>profit</v>
      </c>
    </row>
    <row r="619" spans="1:14" ht="15.6" thickTop="1" thickBot="1" x14ac:dyDescent="0.35">
      <c r="A619" s="15">
        <v>45574</v>
      </c>
      <c r="B619" s="15" t="s">
        <v>109</v>
      </c>
      <c r="C619" s="16" t="s">
        <v>357</v>
      </c>
      <c r="D619" s="16" t="s">
        <v>58</v>
      </c>
      <c r="E619" s="16" t="s">
        <v>143</v>
      </c>
      <c r="F619" s="16" t="s">
        <v>45</v>
      </c>
      <c r="G619" s="16" t="s">
        <v>8</v>
      </c>
      <c r="H619" s="16">
        <v>85</v>
      </c>
      <c r="I619" s="16">
        <v>541</v>
      </c>
      <c r="J619" s="16">
        <v>1331</v>
      </c>
      <c r="K619" s="17">
        <f t="shared" si="36"/>
        <v>45985</v>
      </c>
      <c r="L619" s="17">
        <f t="shared" si="37"/>
        <v>113135</v>
      </c>
      <c r="M619" s="17">
        <f t="shared" si="38"/>
        <v>67150</v>
      </c>
      <c r="N619" s="17" t="str">
        <f t="shared" si="39"/>
        <v>profit</v>
      </c>
    </row>
    <row r="620" spans="1:14" ht="15.6" thickTop="1" thickBot="1" x14ac:dyDescent="0.35">
      <c r="A620" s="15">
        <v>45575</v>
      </c>
      <c r="B620" s="15" t="s">
        <v>109</v>
      </c>
      <c r="C620" s="16" t="s">
        <v>358</v>
      </c>
      <c r="D620" s="16" t="s">
        <v>58</v>
      </c>
      <c r="E620" s="16" t="s">
        <v>143</v>
      </c>
      <c r="F620" s="16" t="s">
        <v>47</v>
      </c>
      <c r="G620" s="16" t="s">
        <v>8</v>
      </c>
      <c r="H620" s="16">
        <v>56</v>
      </c>
      <c r="I620" s="16">
        <v>611</v>
      </c>
      <c r="J620" s="16">
        <v>1240</v>
      </c>
      <c r="K620" s="17">
        <f t="shared" si="36"/>
        <v>34216</v>
      </c>
      <c r="L620" s="17">
        <f t="shared" si="37"/>
        <v>69440</v>
      </c>
      <c r="M620" s="17">
        <f t="shared" si="38"/>
        <v>35224</v>
      </c>
      <c r="N620" s="17" t="str">
        <f t="shared" si="39"/>
        <v>profit</v>
      </c>
    </row>
    <row r="621" spans="1:14" ht="15.6" thickTop="1" thickBot="1" x14ac:dyDescent="0.35">
      <c r="A621" s="15">
        <v>45671</v>
      </c>
      <c r="B621" s="15" t="s">
        <v>119</v>
      </c>
      <c r="C621" s="16" t="s">
        <v>254</v>
      </c>
      <c r="D621" s="16" t="s">
        <v>58</v>
      </c>
      <c r="E621" s="16" t="s">
        <v>143</v>
      </c>
      <c r="F621" s="16" t="s">
        <v>85</v>
      </c>
      <c r="G621" s="16" t="s">
        <v>12</v>
      </c>
      <c r="H621" s="16">
        <v>90</v>
      </c>
      <c r="I621" s="16">
        <v>554</v>
      </c>
      <c r="J621" s="16">
        <v>940</v>
      </c>
      <c r="K621" s="17">
        <f t="shared" si="36"/>
        <v>49860</v>
      </c>
      <c r="L621" s="17">
        <f t="shared" si="37"/>
        <v>84600</v>
      </c>
      <c r="M621" s="17">
        <f t="shared" si="38"/>
        <v>34740</v>
      </c>
      <c r="N621" s="17" t="str">
        <f t="shared" si="39"/>
        <v>profit</v>
      </c>
    </row>
    <row r="622" spans="1:14" ht="15.6" thickTop="1" thickBot="1" x14ac:dyDescent="0.35">
      <c r="A622" s="15">
        <v>45576</v>
      </c>
      <c r="B622" s="15" t="s">
        <v>109</v>
      </c>
      <c r="C622" s="16" t="s">
        <v>359</v>
      </c>
      <c r="D622" s="16" t="s">
        <v>58</v>
      </c>
      <c r="E622" s="16" t="s">
        <v>143</v>
      </c>
      <c r="F622" s="16" t="s">
        <v>49</v>
      </c>
      <c r="G622" s="16" t="s">
        <v>8</v>
      </c>
      <c r="H622" s="16">
        <v>91</v>
      </c>
      <c r="I622" s="16">
        <v>867</v>
      </c>
      <c r="J622" s="16">
        <v>957</v>
      </c>
      <c r="K622" s="17">
        <f t="shared" si="36"/>
        <v>78897</v>
      </c>
      <c r="L622" s="17">
        <f t="shared" si="37"/>
        <v>87087</v>
      </c>
      <c r="M622" s="17">
        <f t="shared" si="38"/>
        <v>8190</v>
      </c>
      <c r="N622" s="17" t="str">
        <f t="shared" si="39"/>
        <v>profit</v>
      </c>
    </row>
    <row r="623" spans="1:14" ht="15.6" thickTop="1" thickBot="1" x14ac:dyDescent="0.35">
      <c r="A623" s="15">
        <v>45577</v>
      </c>
      <c r="B623" s="15" t="s">
        <v>109</v>
      </c>
      <c r="C623" s="16" t="s">
        <v>360</v>
      </c>
      <c r="D623" s="16" t="s">
        <v>58</v>
      </c>
      <c r="E623" s="16" t="s">
        <v>143</v>
      </c>
      <c r="F623" s="16" t="s">
        <v>51</v>
      </c>
      <c r="G623" s="16" t="s">
        <v>8</v>
      </c>
      <c r="H623" s="16">
        <v>95</v>
      </c>
      <c r="I623" s="16">
        <v>508</v>
      </c>
      <c r="J623" s="16">
        <v>783</v>
      </c>
      <c r="K623" s="17">
        <f t="shared" si="36"/>
        <v>48260</v>
      </c>
      <c r="L623" s="17">
        <f t="shared" si="37"/>
        <v>74385</v>
      </c>
      <c r="M623" s="17">
        <f t="shared" si="38"/>
        <v>26125</v>
      </c>
      <c r="N623" s="17" t="str">
        <f t="shared" si="39"/>
        <v>profit</v>
      </c>
    </row>
    <row r="624" spans="1:14" ht="15.6" thickTop="1" thickBot="1" x14ac:dyDescent="0.35">
      <c r="A624" s="15">
        <v>45579</v>
      </c>
      <c r="B624" s="15" t="s">
        <v>109</v>
      </c>
      <c r="C624" s="16" t="s">
        <v>361</v>
      </c>
      <c r="D624" s="16" t="s">
        <v>58</v>
      </c>
      <c r="E624" s="16" t="s">
        <v>143</v>
      </c>
      <c r="F624" s="16" t="s">
        <v>53</v>
      </c>
      <c r="G624" s="16" t="s">
        <v>12</v>
      </c>
      <c r="H624" s="16">
        <v>75</v>
      </c>
      <c r="I624" s="16">
        <v>549</v>
      </c>
      <c r="J624" s="16">
        <v>1108</v>
      </c>
      <c r="K624" s="17">
        <f t="shared" si="36"/>
        <v>41175</v>
      </c>
      <c r="L624" s="17">
        <f t="shared" si="37"/>
        <v>83100</v>
      </c>
      <c r="M624" s="17">
        <f t="shared" si="38"/>
        <v>41925</v>
      </c>
      <c r="N624" s="17" t="str">
        <f t="shared" si="39"/>
        <v>profit</v>
      </c>
    </row>
    <row r="625" spans="1:14" ht="15.6" thickTop="1" thickBot="1" x14ac:dyDescent="0.35">
      <c r="A625" s="15">
        <v>45592</v>
      </c>
      <c r="B625" s="15" t="s">
        <v>109</v>
      </c>
      <c r="C625" s="16" t="s">
        <v>362</v>
      </c>
      <c r="D625" s="16" t="s">
        <v>58</v>
      </c>
      <c r="E625" s="16" t="s">
        <v>59</v>
      </c>
      <c r="F625" s="16" t="s">
        <v>137</v>
      </c>
      <c r="G625" s="16" t="s">
        <v>12</v>
      </c>
      <c r="H625" s="16">
        <v>95</v>
      </c>
      <c r="I625" s="16">
        <v>845</v>
      </c>
      <c r="J625" s="16">
        <v>1102</v>
      </c>
      <c r="K625" s="17">
        <f t="shared" si="36"/>
        <v>80275</v>
      </c>
      <c r="L625" s="17">
        <f t="shared" si="37"/>
        <v>104690</v>
      </c>
      <c r="M625" s="17">
        <f t="shared" si="38"/>
        <v>24415</v>
      </c>
      <c r="N625" s="17" t="str">
        <f t="shared" si="39"/>
        <v>profit</v>
      </c>
    </row>
    <row r="626" spans="1:14" ht="15.6" thickTop="1" thickBot="1" x14ac:dyDescent="0.35">
      <c r="A626" s="15">
        <v>45593</v>
      </c>
      <c r="B626" s="15" t="s">
        <v>109</v>
      </c>
      <c r="C626" s="16" t="s">
        <v>363</v>
      </c>
      <c r="D626" s="16" t="s">
        <v>58</v>
      </c>
      <c r="E626" s="16" t="s">
        <v>59</v>
      </c>
      <c r="F626" s="16" t="s">
        <v>69</v>
      </c>
      <c r="G626" s="16" t="s">
        <v>12</v>
      </c>
      <c r="H626" s="16">
        <v>86</v>
      </c>
      <c r="I626" s="16">
        <v>949</v>
      </c>
      <c r="J626" s="16">
        <v>924</v>
      </c>
      <c r="K626" s="17">
        <f t="shared" si="36"/>
        <v>81614</v>
      </c>
      <c r="L626" s="17">
        <f t="shared" si="37"/>
        <v>79464</v>
      </c>
      <c r="M626" s="17">
        <f t="shared" si="38"/>
        <v>-2150</v>
      </c>
      <c r="N626" s="17" t="str">
        <f t="shared" si="39"/>
        <v>loss</v>
      </c>
    </row>
    <row r="627" spans="1:14" ht="15.6" thickTop="1" thickBot="1" x14ac:dyDescent="0.35">
      <c r="A627" s="15">
        <v>45677</v>
      </c>
      <c r="B627" s="15" t="s">
        <v>119</v>
      </c>
      <c r="C627" s="16" t="s">
        <v>152</v>
      </c>
      <c r="D627" s="16" t="s">
        <v>43</v>
      </c>
      <c r="E627" s="16" t="s">
        <v>62</v>
      </c>
      <c r="F627" s="16" t="s">
        <v>178</v>
      </c>
      <c r="G627" s="16" t="s">
        <v>8</v>
      </c>
      <c r="H627" s="16">
        <v>11</v>
      </c>
      <c r="I627" s="16">
        <v>587</v>
      </c>
      <c r="J627" s="16">
        <v>1386</v>
      </c>
      <c r="K627" s="17">
        <f t="shared" si="36"/>
        <v>6457</v>
      </c>
      <c r="L627" s="17">
        <f t="shared" si="37"/>
        <v>15246</v>
      </c>
      <c r="M627" s="17">
        <f t="shared" si="38"/>
        <v>8789</v>
      </c>
      <c r="N627" s="17" t="str">
        <f t="shared" si="39"/>
        <v>profit</v>
      </c>
    </row>
    <row r="628" spans="1:14" ht="15.6" thickTop="1" thickBot="1" x14ac:dyDescent="0.35">
      <c r="A628" s="15">
        <v>45594</v>
      </c>
      <c r="B628" s="15" t="s">
        <v>109</v>
      </c>
      <c r="C628" s="16" t="s">
        <v>364</v>
      </c>
      <c r="D628" s="16" t="s">
        <v>58</v>
      </c>
      <c r="E628" s="16" t="s">
        <v>59</v>
      </c>
      <c r="F628" s="16" t="s">
        <v>176</v>
      </c>
      <c r="G628" s="16" t="s">
        <v>8</v>
      </c>
      <c r="H628" s="16">
        <v>73</v>
      </c>
      <c r="I628" s="16">
        <v>801</v>
      </c>
      <c r="J628" s="16">
        <v>1092</v>
      </c>
      <c r="K628" s="17">
        <f t="shared" si="36"/>
        <v>58473</v>
      </c>
      <c r="L628" s="17">
        <f t="shared" si="37"/>
        <v>79716</v>
      </c>
      <c r="M628" s="17">
        <f t="shared" si="38"/>
        <v>21243</v>
      </c>
      <c r="N628" s="17" t="str">
        <f t="shared" si="39"/>
        <v>profit</v>
      </c>
    </row>
    <row r="629" spans="1:14" ht="15.6" thickTop="1" thickBot="1" x14ac:dyDescent="0.35">
      <c r="A629" s="15">
        <v>45595</v>
      </c>
      <c r="B629" s="15" t="s">
        <v>109</v>
      </c>
      <c r="C629" s="16" t="s">
        <v>365</v>
      </c>
      <c r="D629" s="16" t="s">
        <v>58</v>
      </c>
      <c r="E629" s="16" t="s">
        <v>59</v>
      </c>
      <c r="F629" s="16" t="s">
        <v>178</v>
      </c>
      <c r="G629" s="16" t="s">
        <v>12</v>
      </c>
      <c r="H629" s="16">
        <v>70</v>
      </c>
      <c r="I629" s="16">
        <v>699</v>
      </c>
      <c r="J629" s="16">
        <v>1090</v>
      </c>
      <c r="K629" s="17">
        <f t="shared" si="36"/>
        <v>48930</v>
      </c>
      <c r="L629" s="17">
        <f t="shared" si="37"/>
        <v>76300</v>
      </c>
      <c r="M629" s="17">
        <f t="shared" si="38"/>
        <v>27370</v>
      </c>
      <c r="N629" s="17" t="str">
        <f t="shared" si="39"/>
        <v>profit</v>
      </c>
    </row>
    <row r="630" spans="1:14" ht="15.6" thickTop="1" thickBot="1" x14ac:dyDescent="0.35">
      <c r="A630" s="15">
        <v>45603</v>
      </c>
      <c r="B630" s="15" t="s">
        <v>184</v>
      </c>
      <c r="C630" s="16" t="s">
        <v>366</v>
      </c>
      <c r="D630" s="16" t="s">
        <v>58</v>
      </c>
      <c r="E630" s="16" t="s">
        <v>186</v>
      </c>
      <c r="F630" s="16" t="s">
        <v>51</v>
      </c>
      <c r="G630" s="16" t="s">
        <v>8</v>
      </c>
      <c r="H630" s="16">
        <v>67</v>
      </c>
      <c r="I630" s="16">
        <v>674</v>
      </c>
      <c r="J630" s="16">
        <v>1413</v>
      </c>
      <c r="K630" s="17">
        <f t="shared" si="36"/>
        <v>45158</v>
      </c>
      <c r="L630" s="17">
        <f t="shared" si="37"/>
        <v>94671</v>
      </c>
      <c r="M630" s="17">
        <f t="shared" si="38"/>
        <v>49513</v>
      </c>
      <c r="N630" s="17" t="str">
        <f t="shared" si="39"/>
        <v>profit</v>
      </c>
    </row>
    <row r="631" spans="1:14" ht="15.6" thickTop="1" thickBot="1" x14ac:dyDescent="0.35">
      <c r="A631" s="15">
        <v>45604</v>
      </c>
      <c r="B631" s="15" t="s">
        <v>184</v>
      </c>
      <c r="C631" s="16" t="s">
        <v>367</v>
      </c>
      <c r="D631" s="16" t="s">
        <v>58</v>
      </c>
      <c r="E631" s="16" t="s">
        <v>186</v>
      </c>
      <c r="F631" s="16" t="s">
        <v>100</v>
      </c>
      <c r="G631" s="16" t="s">
        <v>8</v>
      </c>
      <c r="H631" s="16">
        <v>55</v>
      </c>
      <c r="I631" s="16">
        <v>599</v>
      </c>
      <c r="J631" s="16">
        <v>1482</v>
      </c>
      <c r="K631" s="17">
        <f t="shared" si="36"/>
        <v>32945</v>
      </c>
      <c r="L631" s="17">
        <f t="shared" si="37"/>
        <v>81510</v>
      </c>
      <c r="M631" s="17">
        <f t="shared" si="38"/>
        <v>48565</v>
      </c>
      <c r="N631" s="17" t="str">
        <f t="shared" si="39"/>
        <v>profit</v>
      </c>
    </row>
    <row r="632" spans="1:14" ht="15.6" thickTop="1" thickBot="1" x14ac:dyDescent="0.35">
      <c r="A632" s="15">
        <v>45606</v>
      </c>
      <c r="B632" s="15" t="s">
        <v>184</v>
      </c>
      <c r="C632" s="16" t="s">
        <v>368</v>
      </c>
      <c r="D632" s="16" t="s">
        <v>58</v>
      </c>
      <c r="E632" s="16" t="s">
        <v>186</v>
      </c>
      <c r="F632" s="16" t="s">
        <v>69</v>
      </c>
      <c r="G632" s="16" t="s">
        <v>8</v>
      </c>
      <c r="H632" s="16">
        <v>90</v>
      </c>
      <c r="I632" s="16">
        <v>962</v>
      </c>
      <c r="J632" s="16">
        <v>1495</v>
      </c>
      <c r="K632" s="17">
        <f t="shared" si="36"/>
        <v>86580</v>
      </c>
      <c r="L632" s="17">
        <f t="shared" si="37"/>
        <v>134550</v>
      </c>
      <c r="M632" s="17">
        <f t="shared" si="38"/>
        <v>47970</v>
      </c>
      <c r="N632" s="17" t="str">
        <f t="shared" si="39"/>
        <v>profit</v>
      </c>
    </row>
    <row r="633" spans="1:14" ht="15.6" thickTop="1" thickBot="1" x14ac:dyDescent="0.35">
      <c r="A633" s="15">
        <v>45683</v>
      </c>
      <c r="B633" s="15" t="s">
        <v>119</v>
      </c>
      <c r="C633" s="16" t="s">
        <v>266</v>
      </c>
      <c r="D633" s="16" t="s">
        <v>43</v>
      </c>
      <c r="E633" s="16" t="s">
        <v>62</v>
      </c>
      <c r="F633" s="16" t="s">
        <v>53</v>
      </c>
      <c r="G633" s="16" t="s">
        <v>8</v>
      </c>
      <c r="H633" s="16">
        <v>18</v>
      </c>
      <c r="I633" s="16">
        <v>910</v>
      </c>
      <c r="J633" s="16">
        <v>1065</v>
      </c>
      <c r="K633" s="17">
        <f t="shared" si="36"/>
        <v>16380</v>
      </c>
      <c r="L633" s="17">
        <f t="shared" si="37"/>
        <v>19170</v>
      </c>
      <c r="M633" s="17">
        <f t="shared" si="38"/>
        <v>2790</v>
      </c>
      <c r="N633" s="17" t="str">
        <f t="shared" si="39"/>
        <v>profit</v>
      </c>
    </row>
    <row r="634" spans="1:14" ht="15.6" thickTop="1" thickBot="1" x14ac:dyDescent="0.35">
      <c r="A634" s="15">
        <v>45607</v>
      </c>
      <c r="B634" s="15" t="s">
        <v>184</v>
      </c>
      <c r="C634" s="16" t="s">
        <v>369</v>
      </c>
      <c r="D634" s="16" t="s">
        <v>58</v>
      </c>
      <c r="E634" s="16" t="s">
        <v>186</v>
      </c>
      <c r="F634" s="16" t="s">
        <v>51</v>
      </c>
      <c r="G634" s="16" t="s">
        <v>8</v>
      </c>
      <c r="H634" s="16">
        <v>71</v>
      </c>
      <c r="I634" s="16">
        <v>739</v>
      </c>
      <c r="J634" s="16">
        <v>1353</v>
      </c>
      <c r="K634" s="17">
        <f t="shared" si="36"/>
        <v>52469</v>
      </c>
      <c r="L634" s="17">
        <f t="shared" si="37"/>
        <v>96063</v>
      </c>
      <c r="M634" s="17">
        <f t="shared" si="38"/>
        <v>43594</v>
      </c>
      <c r="N634" s="17" t="str">
        <f t="shared" si="39"/>
        <v>profit</v>
      </c>
    </row>
    <row r="635" spans="1:14" ht="15.6" thickTop="1" thickBot="1" x14ac:dyDescent="0.35">
      <c r="A635" s="15">
        <v>45608</v>
      </c>
      <c r="B635" s="15" t="s">
        <v>184</v>
      </c>
      <c r="C635" s="16" t="s">
        <v>370</v>
      </c>
      <c r="D635" s="16" t="s">
        <v>58</v>
      </c>
      <c r="E635" s="16" t="s">
        <v>186</v>
      </c>
      <c r="F635" s="16" t="s">
        <v>89</v>
      </c>
      <c r="G635" s="16" t="s">
        <v>8</v>
      </c>
      <c r="H635" s="16">
        <v>63</v>
      </c>
      <c r="I635" s="16">
        <v>691</v>
      </c>
      <c r="J635" s="16">
        <v>1058</v>
      </c>
      <c r="K635" s="17">
        <f t="shared" si="36"/>
        <v>43533</v>
      </c>
      <c r="L635" s="17">
        <f t="shared" si="37"/>
        <v>66654</v>
      </c>
      <c r="M635" s="17">
        <f t="shared" si="38"/>
        <v>23121</v>
      </c>
      <c r="N635" s="17" t="str">
        <f t="shared" si="39"/>
        <v>profit</v>
      </c>
    </row>
    <row r="636" spans="1:14" ht="15.6" thickTop="1" thickBot="1" x14ac:dyDescent="0.35">
      <c r="A636" s="15">
        <v>45636</v>
      </c>
      <c r="B636" s="15" t="s">
        <v>213</v>
      </c>
      <c r="C636" s="16" t="s">
        <v>215</v>
      </c>
      <c r="D636" s="16" t="s">
        <v>58</v>
      </c>
      <c r="E636" s="16" t="s">
        <v>123</v>
      </c>
      <c r="F636" s="16" t="s">
        <v>45</v>
      </c>
      <c r="G636" s="16" t="s">
        <v>12</v>
      </c>
      <c r="H636" s="16">
        <v>99</v>
      </c>
      <c r="I636" s="16">
        <v>705</v>
      </c>
      <c r="J636" s="16">
        <v>1356</v>
      </c>
      <c r="K636" s="17">
        <f t="shared" si="36"/>
        <v>69795</v>
      </c>
      <c r="L636" s="17">
        <f t="shared" si="37"/>
        <v>134244</v>
      </c>
      <c r="M636" s="17">
        <f t="shared" si="38"/>
        <v>64449</v>
      </c>
      <c r="N636" s="17" t="str">
        <f t="shared" si="39"/>
        <v>profit</v>
      </c>
    </row>
    <row r="637" spans="1:14" ht="15.6" thickTop="1" thickBot="1" x14ac:dyDescent="0.35">
      <c r="A637" s="15">
        <v>45687</v>
      </c>
      <c r="B637" s="15" t="s">
        <v>119</v>
      </c>
      <c r="C637" s="16" t="s">
        <v>270</v>
      </c>
      <c r="D637" s="16" t="s">
        <v>43</v>
      </c>
      <c r="E637" s="16" t="s">
        <v>62</v>
      </c>
      <c r="F637" s="16" t="s">
        <v>55</v>
      </c>
      <c r="G637" s="16" t="s">
        <v>12</v>
      </c>
      <c r="H637" s="16">
        <v>11</v>
      </c>
      <c r="I637" s="16">
        <v>543</v>
      </c>
      <c r="J637" s="16">
        <v>1153</v>
      </c>
      <c r="K637" s="17">
        <f t="shared" si="36"/>
        <v>5973</v>
      </c>
      <c r="L637" s="17">
        <f t="shared" si="37"/>
        <v>12683</v>
      </c>
      <c r="M637" s="17">
        <f t="shared" si="38"/>
        <v>6710</v>
      </c>
      <c r="N637" s="17" t="str">
        <f t="shared" si="39"/>
        <v>profit</v>
      </c>
    </row>
    <row r="638" spans="1:14" ht="15.6" thickTop="1" thickBot="1" x14ac:dyDescent="0.35">
      <c r="A638" s="15">
        <v>45638</v>
      </c>
      <c r="B638" s="15" t="s">
        <v>213</v>
      </c>
      <c r="C638" s="16" t="s">
        <v>371</v>
      </c>
      <c r="D638" s="16" t="s">
        <v>58</v>
      </c>
      <c r="E638" s="16" t="s">
        <v>123</v>
      </c>
      <c r="F638" s="16" t="s">
        <v>49</v>
      </c>
      <c r="G638" s="16" t="s">
        <v>8</v>
      </c>
      <c r="H638" s="16">
        <v>74</v>
      </c>
      <c r="I638" s="16">
        <v>922</v>
      </c>
      <c r="J638" s="16">
        <v>970</v>
      </c>
      <c r="K638" s="17">
        <f t="shared" si="36"/>
        <v>68228</v>
      </c>
      <c r="L638" s="17">
        <f t="shared" si="37"/>
        <v>71780</v>
      </c>
      <c r="M638" s="17">
        <f t="shared" si="38"/>
        <v>3552</v>
      </c>
      <c r="N638" s="17" t="str">
        <f t="shared" si="39"/>
        <v>profit</v>
      </c>
    </row>
    <row r="639" spans="1:14" ht="15.6" thickTop="1" thickBot="1" x14ac:dyDescent="0.35">
      <c r="A639" s="15">
        <v>45639</v>
      </c>
      <c r="B639" s="15" t="s">
        <v>213</v>
      </c>
      <c r="C639" s="16" t="s">
        <v>372</v>
      </c>
      <c r="D639" s="16" t="s">
        <v>58</v>
      </c>
      <c r="E639" s="16" t="s">
        <v>123</v>
      </c>
      <c r="F639" s="16" t="s">
        <v>51</v>
      </c>
      <c r="G639" s="16" t="s">
        <v>8</v>
      </c>
      <c r="H639" s="16">
        <v>72</v>
      </c>
      <c r="I639" s="16">
        <v>560</v>
      </c>
      <c r="J639" s="16">
        <v>918</v>
      </c>
      <c r="K639" s="17">
        <f t="shared" si="36"/>
        <v>40320</v>
      </c>
      <c r="L639" s="17">
        <f t="shared" si="37"/>
        <v>66096</v>
      </c>
      <c r="M639" s="17">
        <f t="shared" si="38"/>
        <v>25776</v>
      </c>
      <c r="N639" s="17" t="str">
        <f t="shared" si="39"/>
        <v>profit</v>
      </c>
    </row>
    <row r="640" spans="1:14" ht="15.6" thickTop="1" thickBot="1" x14ac:dyDescent="0.35">
      <c r="A640" s="15">
        <v>45640</v>
      </c>
      <c r="B640" s="15" t="s">
        <v>213</v>
      </c>
      <c r="C640" s="16" t="s">
        <v>373</v>
      </c>
      <c r="D640" s="16" t="s">
        <v>58</v>
      </c>
      <c r="E640" s="16" t="s">
        <v>123</v>
      </c>
      <c r="F640" s="16" t="s">
        <v>60</v>
      </c>
      <c r="G640" s="16" t="s">
        <v>8</v>
      </c>
      <c r="H640" s="16">
        <v>59</v>
      </c>
      <c r="I640" s="16">
        <v>834</v>
      </c>
      <c r="J640" s="16">
        <v>951</v>
      </c>
      <c r="K640" s="17">
        <f t="shared" si="36"/>
        <v>49206</v>
      </c>
      <c r="L640" s="17">
        <f t="shared" si="37"/>
        <v>56109</v>
      </c>
      <c r="M640" s="17">
        <f t="shared" si="38"/>
        <v>6903</v>
      </c>
      <c r="N640" s="17" t="str">
        <f t="shared" si="39"/>
        <v>profit</v>
      </c>
    </row>
    <row r="641" spans="1:14" ht="15.6" thickTop="1" thickBot="1" x14ac:dyDescent="0.35">
      <c r="A641" s="15">
        <v>45641</v>
      </c>
      <c r="B641" s="15" t="s">
        <v>213</v>
      </c>
      <c r="C641" s="16" t="s">
        <v>374</v>
      </c>
      <c r="D641" s="16" t="s">
        <v>58</v>
      </c>
      <c r="E641" s="16" t="s">
        <v>123</v>
      </c>
      <c r="F641" s="16" t="s">
        <v>64</v>
      </c>
      <c r="G641" s="16" t="s">
        <v>8</v>
      </c>
      <c r="H641" s="16">
        <v>83</v>
      </c>
      <c r="I641" s="16">
        <v>840</v>
      </c>
      <c r="J641" s="16">
        <v>828</v>
      </c>
      <c r="K641" s="17">
        <f t="shared" si="36"/>
        <v>69720</v>
      </c>
      <c r="L641" s="17">
        <f t="shared" si="37"/>
        <v>68724</v>
      </c>
      <c r="M641" s="17">
        <f t="shared" si="38"/>
        <v>-996</v>
      </c>
      <c r="N641" s="17" t="str">
        <f t="shared" si="39"/>
        <v>loss</v>
      </c>
    </row>
    <row r="642" spans="1:14" ht="15.6" thickTop="1" thickBot="1" x14ac:dyDescent="0.35">
      <c r="A642" s="15">
        <v>45643</v>
      </c>
      <c r="B642" s="15" t="s">
        <v>213</v>
      </c>
      <c r="C642" s="16" t="s">
        <v>375</v>
      </c>
      <c r="D642" s="16" t="s">
        <v>58</v>
      </c>
      <c r="E642" s="16" t="s">
        <v>123</v>
      </c>
      <c r="F642" s="16" t="s">
        <v>89</v>
      </c>
      <c r="G642" s="16" t="s">
        <v>8</v>
      </c>
      <c r="H642" s="16">
        <v>64</v>
      </c>
      <c r="I642" s="16">
        <v>965</v>
      </c>
      <c r="J642" s="16">
        <v>1357</v>
      </c>
      <c r="K642" s="17">
        <f t="shared" ref="K642:K705" si="40">H642*I642</f>
        <v>61760</v>
      </c>
      <c r="L642" s="17">
        <f t="shared" ref="L642:L705" si="41">H642*J642</f>
        <v>86848</v>
      </c>
      <c r="M642" s="17">
        <f t="shared" ref="M642:M705" si="42">L642-K642</f>
        <v>25088</v>
      </c>
      <c r="N642" s="17" t="str">
        <f t="shared" ref="N642:N705" si="43">IF(M642&gt;0,"profit","loss")</f>
        <v>profit</v>
      </c>
    </row>
    <row r="643" spans="1:14" ht="15.6" thickTop="1" thickBot="1" x14ac:dyDescent="0.35">
      <c r="A643" s="15">
        <v>45644</v>
      </c>
      <c r="B643" s="15" t="s">
        <v>213</v>
      </c>
      <c r="C643" s="16" t="s">
        <v>376</v>
      </c>
      <c r="D643" s="16" t="s">
        <v>58</v>
      </c>
      <c r="E643" s="16" t="s">
        <v>123</v>
      </c>
      <c r="F643" s="16" t="s">
        <v>89</v>
      </c>
      <c r="G643" s="16" t="s">
        <v>8</v>
      </c>
      <c r="H643" s="16">
        <v>59</v>
      </c>
      <c r="I643" s="16">
        <v>671</v>
      </c>
      <c r="J643" s="16">
        <v>1410</v>
      </c>
      <c r="K643" s="17">
        <f t="shared" si="40"/>
        <v>39589</v>
      </c>
      <c r="L643" s="17">
        <f t="shared" si="41"/>
        <v>83190</v>
      </c>
      <c r="M643" s="17">
        <f t="shared" si="42"/>
        <v>43601</v>
      </c>
      <c r="N643" s="17" t="str">
        <f t="shared" si="43"/>
        <v>profit</v>
      </c>
    </row>
    <row r="644" spans="1:14" ht="15.6" thickTop="1" thickBot="1" x14ac:dyDescent="0.35">
      <c r="A644" s="15">
        <v>45645</v>
      </c>
      <c r="B644" s="15" t="s">
        <v>213</v>
      </c>
      <c r="C644" s="16" t="s">
        <v>377</v>
      </c>
      <c r="D644" s="16" t="s">
        <v>58</v>
      </c>
      <c r="E644" s="16" t="s">
        <v>123</v>
      </c>
      <c r="F644" s="16" t="s">
        <v>85</v>
      </c>
      <c r="G644" s="16" t="s">
        <v>8</v>
      </c>
      <c r="H644" s="16">
        <v>85</v>
      </c>
      <c r="I644" s="16">
        <v>761</v>
      </c>
      <c r="J644" s="16">
        <v>926</v>
      </c>
      <c r="K644" s="17">
        <f t="shared" si="40"/>
        <v>64685</v>
      </c>
      <c r="L644" s="17">
        <f t="shared" si="41"/>
        <v>78710</v>
      </c>
      <c r="M644" s="17">
        <f t="shared" si="42"/>
        <v>14025</v>
      </c>
      <c r="N644" s="17" t="str">
        <f t="shared" si="43"/>
        <v>profit</v>
      </c>
    </row>
    <row r="645" spans="1:14" ht="15.6" thickTop="1" thickBot="1" x14ac:dyDescent="0.35">
      <c r="A645" s="15">
        <v>45647</v>
      </c>
      <c r="B645" s="15" t="s">
        <v>213</v>
      </c>
      <c r="C645" s="16" t="s">
        <v>378</v>
      </c>
      <c r="D645" s="16" t="s">
        <v>58</v>
      </c>
      <c r="E645" s="16" t="s">
        <v>123</v>
      </c>
      <c r="F645" s="16" t="s">
        <v>55</v>
      </c>
      <c r="G645" s="16" t="s">
        <v>8</v>
      </c>
      <c r="H645" s="16">
        <v>81</v>
      </c>
      <c r="I645" s="16">
        <v>522</v>
      </c>
      <c r="J645" s="16">
        <v>1238</v>
      </c>
      <c r="K645" s="17">
        <f t="shared" si="40"/>
        <v>42282</v>
      </c>
      <c r="L645" s="17">
        <f t="shared" si="41"/>
        <v>100278</v>
      </c>
      <c r="M645" s="17">
        <f t="shared" si="42"/>
        <v>57996</v>
      </c>
      <c r="N645" s="17" t="str">
        <f t="shared" si="43"/>
        <v>profit</v>
      </c>
    </row>
    <row r="646" spans="1:14" ht="15.6" thickTop="1" thickBot="1" x14ac:dyDescent="0.35">
      <c r="A646" s="15">
        <v>45649</v>
      </c>
      <c r="B646" s="15" t="s">
        <v>213</v>
      </c>
      <c r="C646" s="16" t="s">
        <v>379</v>
      </c>
      <c r="D646" s="16" t="s">
        <v>58</v>
      </c>
      <c r="E646" s="16" t="s">
        <v>143</v>
      </c>
      <c r="F646" s="16" t="s">
        <v>69</v>
      </c>
      <c r="G646" s="16" t="s">
        <v>8</v>
      </c>
      <c r="H646" s="16">
        <v>72</v>
      </c>
      <c r="I646" s="16">
        <v>943</v>
      </c>
      <c r="J646" s="16">
        <v>1233</v>
      </c>
      <c r="K646" s="17">
        <f t="shared" si="40"/>
        <v>67896</v>
      </c>
      <c r="L646" s="17">
        <f t="shared" si="41"/>
        <v>88776</v>
      </c>
      <c r="M646" s="17">
        <f t="shared" si="42"/>
        <v>20880</v>
      </c>
      <c r="N646" s="17" t="str">
        <f t="shared" si="43"/>
        <v>profit</v>
      </c>
    </row>
    <row r="647" spans="1:14" ht="15.6" thickTop="1" thickBot="1" x14ac:dyDescent="0.35">
      <c r="A647" s="15">
        <v>45650</v>
      </c>
      <c r="B647" s="15" t="s">
        <v>213</v>
      </c>
      <c r="C647" s="16" t="s">
        <v>380</v>
      </c>
      <c r="D647" s="16" t="s">
        <v>58</v>
      </c>
      <c r="E647" s="16" t="s">
        <v>143</v>
      </c>
      <c r="F647" s="16" t="s">
        <v>176</v>
      </c>
      <c r="G647" s="16" t="s">
        <v>8</v>
      </c>
      <c r="H647" s="16">
        <v>67</v>
      </c>
      <c r="I647" s="16">
        <v>801</v>
      </c>
      <c r="J647" s="16">
        <v>1220</v>
      </c>
      <c r="K647" s="17">
        <f t="shared" si="40"/>
        <v>53667</v>
      </c>
      <c r="L647" s="17">
        <f t="shared" si="41"/>
        <v>81740</v>
      </c>
      <c r="M647" s="17">
        <f t="shared" si="42"/>
        <v>28073</v>
      </c>
      <c r="N647" s="17" t="str">
        <f t="shared" si="43"/>
        <v>profit</v>
      </c>
    </row>
    <row r="648" spans="1:14" ht="15.6" thickTop="1" thickBot="1" x14ac:dyDescent="0.35">
      <c r="A648" s="15">
        <v>45698</v>
      </c>
      <c r="B648" s="15" t="s">
        <v>262</v>
      </c>
      <c r="C648" s="16" t="s">
        <v>275</v>
      </c>
      <c r="D648" s="16" t="s">
        <v>71</v>
      </c>
      <c r="E648" s="16" t="s">
        <v>10</v>
      </c>
      <c r="F648" s="16" t="s">
        <v>55</v>
      </c>
      <c r="G648" s="16" t="s">
        <v>8</v>
      </c>
      <c r="H648" s="16">
        <v>29</v>
      </c>
      <c r="I648" s="16">
        <v>725</v>
      </c>
      <c r="J648" s="16">
        <v>792</v>
      </c>
      <c r="K648" s="17">
        <f t="shared" si="40"/>
        <v>21025</v>
      </c>
      <c r="L648" s="17">
        <f t="shared" si="41"/>
        <v>22968</v>
      </c>
      <c r="M648" s="17">
        <f t="shared" si="42"/>
        <v>1943</v>
      </c>
      <c r="N648" s="17" t="str">
        <f t="shared" si="43"/>
        <v>profit</v>
      </c>
    </row>
    <row r="649" spans="1:14" ht="15.6" thickTop="1" thickBot="1" x14ac:dyDescent="0.35">
      <c r="A649" s="15">
        <v>45651</v>
      </c>
      <c r="B649" s="15" t="s">
        <v>213</v>
      </c>
      <c r="C649" s="16" t="s">
        <v>381</v>
      </c>
      <c r="D649" s="16" t="s">
        <v>58</v>
      </c>
      <c r="E649" s="16" t="s">
        <v>143</v>
      </c>
      <c r="F649" s="16" t="s">
        <v>178</v>
      </c>
      <c r="G649" s="16" t="s">
        <v>8</v>
      </c>
      <c r="H649" s="16">
        <v>57</v>
      </c>
      <c r="I649" s="16">
        <v>647</v>
      </c>
      <c r="J649" s="16">
        <v>905</v>
      </c>
      <c r="K649" s="17">
        <f t="shared" si="40"/>
        <v>36879</v>
      </c>
      <c r="L649" s="17">
        <f t="shared" si="41"/>
        <v>51585</v>
      </c>
      <c r="M649" s="17">
        <f t="shared" si="42"/>
        <v>14706</v>
      </c>
      <c r="N649" s="17" t="str">
        <f t="shared" si="43"/>
        <v>profit</v>
      </c>
    </row>
    <row r="650" spans="1:14" ht="15.6" thickTop="1" thickBot="1" x14ac:dyDescent="0.35">
      <c r="A650" s="15">
        <v>45652</v>
      </c>
      <c r="B650" s="15" t="s">
        <v>213</v>
      </c>
      <c r="C650" s="16" t="s">
        <v>382</v>
      </c>
      <c r="D650" s="16" t="s">
        <v>58</v>
      </c>
      <c r="E650" s="16" t="s">
        <v>143</v>
      </c>
      <c r="F650" s="16" t="s">
        <v>45</v>
      </c>
      <c r="G650" s="16" t="s">
        <v>8</v>
      </c>
      <c r="H650" s="16">
        <v>91</v>
      </c>
      <c r="I650" s="16">
        <v>906</v>
      </c>
      <c r="J650" s="16">
        <v>925</v>
      </c>
      <c r="K650" s="17">
        <f t="shared" si="40"/>
        <v>82446</v>
      </c>
      <c r="L650" s="17">
        <f t="shared" si="41"/>
        <v>84175</v>
      </c>
      <c r="M650" s="17">
        <f t="shared" si="42"/>
        <v>1729</v>
      </c>
      <c r="N650" s="17" t="str">
        <f t="shared" si="43"/>
        <v>profit</v>
      </c>
    </row>
    <row r="651" spans="1:14" ht="15.6" thickTop="1" thickBot="1" x14ac:dyDescent="0.35">
      <c r="A651" s="15">
        <v>45654</v>
      </c>
      <c r="B651" s="15" t="s">
        <v>213</v>
      </c>
      <c r="C651" s="16" t="s">
        <v>383</v>
      </c>
      <c r="D651" s="16" t="s">
        <v>58</v>
      </c>
      <c r="E651" s="16" t="s">
        <v>143</v>
      </c>
      <c r="F651" s="16" t="s">
        <v>49</v>
      </c>
      <c r="G651" s="16" t="s">
        <v>12</v>
      </c>
      <c r="H651" s="16">
        <v>82</v>
      </c>
      <c r="I651" s="16">
        <v>955</v>
      </c>
      <c r="J651" s="16">
        <v>1218</v>
      </c>
      <c r="K651" s="17">
        <f t="shared" si="40"/>
        <v>78310</v>
      </c>
      <c r="L651" s="17">
        <f t="shared" si="41"/>
        <v>99876</v>
      </c>
      <c r="M651" s="17">
        <f t="shared" si="42"/>
        <v>21566</v>
      </c>
      <c r="N651" s="17" t="str">
        <f t="shared" si="43"/>
        <v>profit</v>
      </c>
    </row>
    <row r="652" spans="1:14" ht="15.6" thickTop="1" thickBot="1" x14ac:dyDescent="0.35">
      <c r="A652" s="15">
        <v>45702</v>
      </c>
      <c r="B652" s="15" t="s">
        <v>262</v>
      </c>
      <c r="C652" s="16" t="s">
        <v>276</v>
      </c>
      <c r="D652" s="16" t="s">
        <v>58</v>
      </c>
      <c r="E652" s="16" t="s">
        <v>123</v>
      </c>
      <c r="F652" s="16" t="s">
        <v>89</v>
      </c>
      <c r="G652" s="16" t="s">
        <v>8</v>
      </c>
      <c r="H652" s="16">
        <v>59</v>
      </c>
      <c r="I652" s="16">
        <v>725</v>
      </c>
      <c r="J652" s="16">
        <v>1113</v>
      </c>
      <c r="K652" s="17">
        <f t="shared" si="40"/>
        <v>42775</v>
      </c>
      <c r="L652" s="17">
        <f t="shared" si="41"/>
        <v>65667</v>
      </c>
      <c r="M652" s="17">
        <f t="shared" si="42"/>
        <v>22892</v>
      </c>
      <c r="N652" s="17" t="str">
        <f t="shared" si="43"/>
        <v>profit</v>
      </c>
    </row>
    <row r="653" spans="1:14" ht="15.6" thickTop="1" thickBot="1" x14ac:dyDescent="0.35">
      <c r="A653" s="15">
        <v>45655</v>
      </c>
      <c r="B653" s="15" t="s">
        <v>213</v>
      </c>
      <c r="C653" s="16" t="s">
        <v>384</v>
      </c>
      <c r="D653" s="16" t="s">
        <v>58</v>
      </c>
      <c r="E653" s="16" t="s">
        <v>143</v>
      </c>
      <c r="F653" s="16" t="s">
        <v>51</v>
      </c>
      <c r="G653" s="16" t="s">
        <v>12</v>
      </c>
      <c r="H653" s="16">
        <v>72</v>
      </c>
      <c r="I653" s="16">
        <v>829</v>
      </c>
      <c r="J653" s="16">
        <v>1165</v>
      </c>
      <c r="K653" s="17">
        <f t="shared" si="40"/>
        <v>59688</v>
      </c>
      <c r="L653" s="17">
        <f t="shared" si="41"/>
        <v>83880</v>
      </c>
      <c r="M653" s="17">
        <f t="shared" si="42"/>
        <v>24192</v>
      </c>
      <c r="N653" s="17" t="str">
        <f t="shared" si="43"/>
        <v>profit</v>
      </c>
    </row>
    <row r="654" spans="1:14" ht="15.6" thickTop="1" thickBot="1" x14ac:dyDescent="0.35">
      <c r="A654" s="15">
        <v>45656</v>
      </c>
      <c r="B654" s="15" t="s">
        <v>213</v>
      </c>
      <c r="C654" s="16" t="s">
        <v>385</v>
      </c>
      <c r="D654" s="16" t="s">
        <v>58</v>
      </c>
      <c r="E654" s="16" t="s">
        <v>143</v>
      </c>
      <c r="F654" s="16" t="s">
        <v>51</v>
      </c>
      <c r="G654" s="16" t="s">
        <v>12</v>
      </c>
      <c r="H654" s="16">
        <v>62</v>
      </c>
      <c r="I654" s="16">
        <v>680</v>
      </c>
      <c r="J654" s="16">
        <v>912</v>
      </c>
      <c r="K654" s="17">
        <f t="shared" si="40"/>
        <v>42160</v>
      </c>
      <c r="L654" s="17">
        <f t="shared" si="41"/>
        <v>56544</v>
      </c>
      <c r="M654" s="17">
        <f t="shared" si="42"/>
        <v>14384</v>
      </c>
      <c r="N654" s="17" t="str">
        <f t="shared" si="43"/>
        <v>profit</v>
      </c>
    </row>
    <row r="655" spans="1:14" ht="15.6" thickTop="1" thickBot="1" x14ac:dyDescent="0.35">
      <c r="A655" s="15">
        <v>45657</v>
      </c>
      <c r="B655" s="15" t="s">
        <v>213</v>
      </c>
      <c r="C655" s="16" t="s">
        <v>386</v>
      </c>
      <c r="D655" s="16" t="s">
        <v>58</v>
      </c>
      <c r="E655" s="16" t="s">
        <v>143</v>
      </c>
      <c r="F655" s="16" t="s">
        <v>53</v>
      </c>
      <c r="G655" s="16" t="s">
        <v>12</v>
      </c>
      <c r="H655" s="16">
        <v>67</v>
      </c>
      <c r="I655" s="16">
        <v>600</v>
      </c>
      <c r="J655" s="16">
        <v>1328</v>
      </c>
      <c r="K655" s="17">
        <f t="shared" si="40"/>
        <v>40200</v>
      </c>
      <c r="L655" s="17">
        <f t="shared" si="41"/>
        <v>88976</v>
      </c>
      <c r="M655" s="17">
        <f t="shared" si="42"/>
        <v>48776</v>
      </c>
      <c r="N655" s="17" t="str">
        <f t="shared" si="43"/>
        <v>profit</v>
      </c>
    </row>
    <row r="656" spans="1:14" ht="15.6" thickTop="1" thickBot="1" x14ac:dyDescent="0.35">
      <c r="A656" s="15">
        <v>45658</v>
      </c>
      <c r="B656" s="15" t="s">
        <v>119</v>
      </c>
      <c r="C656" s="16" t="s">
        <v>387</v>
      </c>
      <c r="D656" s="16" t="s">
        <v>58</v>
      </c>
      <c r="E656" s="16" t="s">
        <v>143</v>
      </c>
      <c r="F656" s="16" t="s">
        <v>55</v>
      </c>
      <c r="G656" s="16" t="s">
        <v>8</v>
      </c>
      <c r="H656" s="16">
        <v>97</v>
      </c>
      <c r="I656" s="16">
        <v>946</v>
      </c>
      <c r="J656" s="16">
        <v>1297</v>
      </c>
      <c r="K656" s="17">
        <f t="shared" si="40"/>
        <v>91762</v>
      </c>
      <c r="L656" s="17">
        <f t="shared" si="41"/>
        <v>125809</v>
      </c>
      <c r="M656" s="17">
        <f t="shared" si="42"/>
        <v>34047</v>
      </c>
      <c r="N656" s="17" t="str">
        <f t="shared" si="43"/>
        <v>profit</v>
      </c>
    </row>
    <row r="657" spans="1:14" ht="15.6" thickTop="1" thickBot="1" x14ac:dyDescent="0.35">
      <c r="A657" s="15">
        <v>45666</v>
      </c>
      <c r="B657" s="15" t="s">
        <v>119</v>
      </c>
      <c r="C657" s="16" t="s">
        <v>388</v>
      </c>
      <c r="D657" s="16" t="s">
        <v>58</v>
      </c>
      <c r="E657" s="16" t="s">
        <v>123</v>
      </c>
      <c r="F657" s="16" t="s">
        <v>60</v>
      </c>
      <c r="G657" s="16" t="s">
        <v>12</v>
      </c>
      <c r="H657" s="16">
        <v>62</v>
      </c>
      <c r="I657" s="16">
        <v>800</v>
      </c>
      <c r="J657" s="16">
        <v>882</v>
      </c>
      <c r="K657" s="17">
        <f t="shared" si="40"/>
        <v>49600</v>
      </c>
      <c r="L657" s="17">
        <f t="shared" si="41"/>
        <v>54684</v>
      </c>
      <c r="M657" s="17">
        <f t="shared" si="42"/>
        <v>5084</v>
      </c>
      <c r="N657" s="17" t="str">
        <f t="shared" si="43"/>
        <v>profit</v>
      </c>
    </row>
    <row r="658" spans="1:14" ht="15.6" thickTop="1" thickBot="1" x14ac:dyDescent="0.35">
      <c r="A658" s="15">
        <v>45667</v>
      </c>
      <c r="B658" s="15" t="s">
        <v>119</v>
      </c>
      <c r="C658" s="16" t="s">
        <v>389</v>
      </c>
      <c r="D658" s="16" t="s">
        <v>58</v>
      </c>
      <c r="E658" s="16" t="s">
        <v>123</v>
      </c>
      <c r="F658" s="16" t="s">
        <v>64</v>
      </c>
      <c r="G658" s="16" t="s">
        <v>12</v>
      </c>
      <c r="H658" s="16">
        <v>65</v>
      </c>
      <c r="I658" s="16">
        <v>875</v>
      </c>
      <c r="J658" s="16">
        <v>1361</v>
      </c>
      <c r="K658" s="17">
        <f t="shared" si="40"/>
        <v>56875</v>
      </c>
      <c r="L658" s="17">
        <f t="shared" si="41"/>
        <v>88465</v>
      </c>
      <c r="M658" s="17">
        <f t="shared" si="42"/>
        <v>31590</v>
      </c>
      <c r="N658" s="17" t="str">
        <f t="shared" si="43"/>
        <v>profit</v>
      </c>
    </row>
    <row r="659" spans="1:14" ht="15.6" thickTop="1" thickBot="1" x14ac:dyDescent="0.35">
      <c r="A659" s="15">
        <v>45709</v>
      </c>
      <c r="B659" s="15" t="s">
        <v>262</v>
      </c>
      <c r="C659" s="16" t="s">
        <v>277</v>
      </c>
      <c r="D659" s="16" t="s">
        <v>58</v>
      </c>
      <c r="E659" s="16" t="s">
        <v>123</v>
      </c>
      <c r="F659" s="16" t="s">
        <v>176</v>
      </c>
      <c r="G659" s="16" t="s">
        <v>12</v>
      </c>
      <c r="H659" s="16">
        <v>100</v>
      </c>
      <c r="I659" s="16">
        <v>831</v>
      </c>
      <c r="J659" s="16">
        <v>1466</v>
      </c>
      <c r="K659" s="17">
        <f t="shared" si="40"/>
        <v>83100</v>
      </c>
      <c r="L659" s="17">
        <f t="shared" si="41"/>
        <v>146600</v>
      </c>
      <c r="M659" s="17">
        <f t="shared" si="42"/>
        <v>63500</v>
      </c>
      <c r="N659" s="17" t="str">
        <f t="shared" si="43"/>
        <v>profit</v>
      </c>
    </row>
    <row r="660" spans="1:14" ht="15.6" thickTop="1" thickBot="1" x14ac:dyDescent="0.35">
      <c r="A660" s="15">
        <v>45668</v>
      </c>
      <c r="B660" s="15" t="s">
        <v>119</v>
      </c>
      <c r="C660" s="16" t="s">
        <v>390</v>
      </c>
      <c r="D660" s="16" t="s">
        <v>58</v>
      </c>
      <c r="E660" s="16" t="s">
        <v>123</v>
      </c>
      <c r="F660" s="16" t="s">
        <v>64</v>
      </c>
      <c r="G660" s="16" t="s">
        <v>12</v>
      </c>
      <c r="H660" s="16">
        <v>88</v>
      </c>
      <c r="I660" s="16">
        <v>823</v>
      </c>
      <c r="J660" s="16">
        <v>1026</v>
      </c>
      <c r="K660" s="17">
        <f t="shared" si="40"/>
        <v>72424</v>
      </c>
      <c r="L660" s="17">
        <f t="shared" si="41"/>
        <v>90288</v>
      </c>
      <c r="M660" s="17">
        <f t="shared" si="42"/>
        <v>17864</v>
      </c>
      <c r="N660" s="17" t="str">
        <f t="shared" si="43"/>
        <v>profit</v>
      </c>
    </row>
    <row r="661" spans="1:14" ht="15.6" thickTop="1" thickBot="1" x14ac:dyDescent="0.35">
      <c r="A661" s="15">
        <v>45669</v>
      </c>
      <c r="B661" s="15" t="s">
        <v>119</v>
      </c>
      <c r="C661" s="16" t="s">
        <v>391</v>
      </c>
      <c r="D661" s="16" t="s">
        <v>58</v>
      </c>
      <c r="E661" s="16" t="s">
        <v>123</v>
      </c>
      <c r="F661" s="16" t="s">
        <v>89</v>
      </c>
      <c r="G661" s="16" t="s">
        <v>8</v>
      </c>
      <c r="H661" s="16">
        <v>54</v>
      </c>
      <c r="I661" s="16">
        <v>664</v>
      </c>
      <c r="J661" s="16">
        <v>761</v>
      </c>
      <c r="K661" s="17">
        <f t="shared" si="40"/>
        <v>35856</v>
      </c>
      <c r="L661" s="17">
        <f t="shared" si="41"/>
        <v>41094</v>
      </c>
      <c r="M661" s="17">
        <f t="shared" si="42"/>
        <v>5238</v>
      </c>
      <c r="N661" s="17" t="str">
        <f t="shared" si="43"/>
        <v>profit</v>
      </c>
    </row>
    <row r="662" spans="1:14" ht="15.6" thickTop="1" thickBot="1" x14ac:dyDescent="0.35">
      <c r="A662" s="15">
        <v>45670</v>
      </c>
      <c r="B662" s="18" t="s">
        <v>119</v>
      </c>
      <c r="C662" s="19" t="s">
        <v>392</v>
      </c>
      <c r="D662" s="19" t="s">
        <v>58</v>
      </c>
      <c r="E662" s="19" t="s">
        <v>123</v>
      </c>
      <c r="F662" s="19" t="s">
        <v>89</v>
      </c>
      <c r="G662" s="16" t="s">
        <v>12</v>
      </c>
      <c r="H662" s="16">
        <v>52</v>
      </c>
      <c r="I662" s="16">
        <v>538</v>
      </c>
      <c r="J662" s="16">
        <v>1257</v>
      </c>
      <c r="K662" s="17">
        <f t="shared" si="40"/>
        <v>27976</v>
      </c>
      <c r="L662" s="17">
        <f t="shared" si="41"/>
        <v>65364</v>
      </c>
      <c r="M662" s="17">
        <f t="shared" si="42"/>
        <v>37388</v>
      </c>
      <c r="N662" s="17" t="str">
        <f t="shared" si="43"/>
        <v>profit</v>
      </c>
    </row>
    <row r="663" spans="1:14" ht="15.6" thickTop="1" thickBot="1" x14ac:dyDescent="0.35">
      <c r="A663" s="15">
        <v>45672</v>
      </c>
      <c r="B663" s="20" t="s">
        <v>119</v>
      </c>
      <c r="C663" s="21" t="s">
        <v>393</v>
      </c>
      <c r="D663" s="19" t="s">
        <v>58</v>
      </c>
      <c r="E663" s="21" t="s">
        <v>143</v>
      </c>
      <c r="F663" s="19" t="s">
        <v>64</v>
      </c>
      <c r="G663" s="16" t="s">
        <v>12</v>
      </c>
      <c r="H663" s="16">
        <v>81</v>
      </c>
      <c r="I663" s="16">
        <v>556</v>
      </c>
      <c r="J663" s="16">
        <v>1345</v>
      </c>
      <c r="K663" s="17">
        <f t="shared" si="40"/>
        <v>45036</v>
      </c>
      <c r="L663" s="17">
        <f t="shared" si="41"/>
        <v>108945</v>
      </c>
      <c r="M663" s="17">
        <f t="shared" si="42"/>
        <v>63909</v>
      </c>
      <c r="N663" s="17" t="str">
        <f t="shared" si="43"/>
        <v>profit</v>
      </c>
    </row>
    <row r="664" spans="1:14" ht="15.6" thickTop="1" thickBot="1" x14ac:dyDescent="0.35">
      <c r="A664" s="15">
        <v>45673</v>
      </c>
      <c r="B664" s="15" t="s">
        <v>119</v>
      </c>
      <c r="C664" s="16" t="s">
        <v>394</v>
      </c>
      <c r="D664" s="16" t="s">
        <v>58</v>
      </c>
      <c r="E664" s="16" t="s">
        <v>143</v>
      </c>
      <c r="F664" s="16" t="s">
        <v>55</v>
      </c>
      <c r="G664" s="16" t="s">
        <v>12</v>
      </c>
      <c r="H664" s="16">
        <v>72</v>
      </c>
      <c r="I664" s="16">
        <v>608</v>
      </c>
      <c r="J664" s="16">
        <v>1209</v>
      </c>
      <c r="K664" s="17">
        <f t="shared" si="40"/>
        <v>43776</v>
      </c>
      <c r="L664" s="17">
        <f t="shared" si="41"/>
        <v>87048</v>
      </c>
      <c r="M664" s="17">
        <f t="shared" si="42"/>
        <v>43272</v>
      </c>
      <c r="N664" s="17" t="str">
        <f t="shared" si="43"/>
        <v>profit</v>
      </c>
    </row>
    <row r="665" spans="1:14" ht="15.6" thickTop="1" thickBot="1" x14ac:dyDescent="0.35">
      <c r="A665" s="15">
        <v>45674</v>
      </c>
      <c r="B665" s="15" t="s">
        <v>119</v>
      </c>
      <c r="C665" s="16" t="s">
        <v>395</v>
      </c>
      <c r="D665" s="16" t="s">
        <v>58</v>
      </c>
      <c r="E665" s="16" t="s">
        <v>143</v>
      </c>
      <c r="F665" s="16" t="s">
        <v>137</v>
      </c>
      <c r="G665" s="16" t="s">
        <v>8</v>
      </c>
      <c r="H665" s="16">
        <v>61</v>
      </c>
      <c r="I665" s="16">
        <v>994</v>
      </c>
      <c r="J665" s="16">
        <v>886</v>
      </c>
      <c r="K665" s="17">
        <f t="shared" si="40"/>
        <v>60634</v>
      </c>
      <c r="L665" s="17">
        <f t="shared" si="41"/>
        <v>54046</v>
      </c>
      <c r="M665" s="17">
        <f t="shared" si="42"/>
        <v>-6588</v>
      </c>
      <c r="N665" s="17" t="str">
        <f t="shared" si="43"/>
        <v>loss</v>
      </c>
    </row>
    <row r="666" spans="1:14" ht="15.6" thickTop="1" thickBot="1" x14ac:dyDescent="0.35">
      <c r="A666" s="15">
        <v>45675</v>
      </c>
      <c r="B666" s="15" t="s">
        <v>119</v>
      </c>
      <c r="C666" s="16" t="s">
        <v>396</v>
      </c>
      <c r="D666" s="16" t="s">
        <v>58</v>
      </c>
      <c r="E666" s="16" t="s">
        <v>143</v>
      </c>
      <c r="F666" s="16" t="s">
        <v>69</v>
      </c>
      <c r="G666" s="16" t="s">
        <v>8</v>
      </c>
      <c r="H666" s="16">
        <v>57</v>
      </c>
      <c r="I666" s="16">
        <v>566</v>
      </c>
      <c r="J666" s="16">
        <v>830</v>
      </c>
      <c r="K666" s="17">
        <f t="shared" si="40"/>
        <v>32262</v>
      </c>
      <c r="L666" s="17">
        <f t="shared" si="41"/>
        <v>47310</v>
      </c>
      <c r="M666" s="17">
        <f t="shared" si="42"/>
        <v>15048</v>
      </c>
      <c r="N666" s="17" t="str">
        <f t="shared" si="43"/>
        <v>profit</v>
      </c>
    </row>
    <row r="667" spans="1:14" ht="15.6" thickTop="1" thickBot="1" x14ac:dyDescent="0.35">
      <c r="A667" s="15">
        <v>45676</v>
      </c>
      <c r="B667" s="15" t="s">
        <v>119</v>
      </c>
      <c r="C667" s="16" t="s">
        <v>397</v>
      </c>
      <c r="D667" s="16" t="s">
        <v>58</v>
      </c>
      <c r="E667" s="16" t="s">
        <v>143</v>
      </c>
      <c r="F667" s="16" t="s">
        <v>176</v>
      </c>
      <c r="G667" s="16" t="s">
        <v>8</v>
      </c>
      <c r="H667" s="16">
        <v>50</v>
      </c>
      <c r="I667" s="16">
        <v>714</v>
      </c>
      <c r="J667" s="16">
        <v>1071</v>
      </c>
      <c r="K667" s="17">
        <f t="shared" si="40"/>
        <v>35700</v>
      </c>
      <c r="L667" s="17">
        <f t="shared" si="41"/>
        <v>53550</v>
      </c>
      <c r="M667" s="17">
        <f t="shared" si="42"/>
        <v>17850</v>
      </c>
      <c r="N667" s="17" t="str">
        <f t="shared" si="43"/>
        <v>profit</v>
      </c>
    </row>
    <row r="668" spans="1:14" ht="15.6" thickTop="1" thickBot="1" x14ac:dyDescent="0.35">
      <c r="A668" s="15">
        <v>45700</v>
      </c>
      <c r="B668" s="15" t="s">
        <v>262</v>
      </c>
      <c r="C668" s="16" t="s">
        <v>398</v>
      </c>
      <c r="D668" s="16" t="s">
        <v>58</v>
      </c>
      <c r="E668" s="16" t="s">
        <v>123</v>
      </c>
      <c r="F668" s="16" t="s">
        <v>64</v>
      </c>
      <c r="G668" s="16" t="s">
        <v>8</v>
      </c>
      <c r="H668" s="16">
        <v>80</v>
      </c>
      <c r="I668" s="16">
        <v>636</v>
      </c>
      <c r="J668" s="16">
        <v>1259</v>
      </c>
      <c r="K668" s="17">
        <f t="shared" si="40"/>
        <v>50880</v>
      </c>
      <c r="L668" s="17">
        <f t="shared" si="41"/>
        <v>100720</v>
      </c>
      <c r="M668" s="17">
        <f t="shared" si="42"/>
        <v>49840</v>
      </c>
      <c r="N668" s="17" t="str">
        <f t="shared" si="43"/>
        <v>profit</v>
      </c>
    </row>
    <row r="669" spans="1:14" ht="15.6" thickTop="1" thickBot="1" x14ac:dyDescent="0.35">
      <c r="A669" s="15">
        <v>45701</v>
      </c>
      <c r="B669" s="15" t="s">
        <v>262</v>
      </c>
      <c r="C669" s="16" t="s">
        <v>399</v>
      </c>
      <c r="D669" s="16" t="s">
        <v>58</v>
      </c>
      <c r="E669" s="16" t="s">
        <v>123</v>
      </c>
      <c r="F669" s="16" t="s">
        <v>64</v>
      </c>
      <c r="G669" s="16" t="s">
        <v>8</v>
      </c>
      <c r="H669" s="16">
        <v>50</v>
      </c>
      <c r="I669" s="16">
        <v>581</v>
      </c>
      <c r="J669" s="16">
        <v>1380</v>
      </c>
      <c r="K669" s="17">
        <f t="shared" si="40"/>
        <v>29050</v>
      </c>
      <c r="L669" s="17">
        <f t="shared" si="41"/>
        <v>69000</v>
      </c>
      <c r="M669" s="17">
        <f t="shared" si="42"/>
        <v>39950</v>
      </c>
      <c r="N669" s="17" t="str">
        <f t="shared" si="43"/>
        <v>profit</v>
      </c>
    </row>
    <row r="670" spans="1:14" ht="15.6" thickTop="1" thickBot="1" x14ac:dyDescent="0.35">
      <c r="A670" s="15">
        <v>45389</v>
      </c>
      <c r="B670" s="15" t="s">
        <v>56</v>
      </c>
      <c r="C670" s="16" t="s">
        <v>57</v>
      </c>
      <c r="D670" s="16" t="s">
        <v>58</v>
      </c>
      <c r="E670" s="16" t="s">
        <v>59</v>
      </c>
      <c r="F670" s="16" t="s">
        <v>60</v>
      </c>
      <c r="G670" s="16" t="s">
        <v>12</v>
      </c>
      <c r="H670" s="16">
        <v>78</v>
      </c>
      <c r="I670" s="16">
        <v>655</v>
      </c>
      <c r="J670" s="16">
        <v>790</v>
      </c>
      <c r="K670" s="17">
        <f t="shared" si="40"/>
        <v>51090</v>
      </c>
      <c r="L670" s="17">
        <f t="shared" si="41"/>
        <v>61620</v>
      </c>
      <c r="M670" s="17">
        <f t="shared" si="42"/>
        <v>10530</v>
      </c>
      <c r="N670" s="17" t="str">
        <f t="shared" si="43"/>
        <v>profit</v>
      </c>
    </row>
    <row r="671" spans="1:14" ht="15.6" thickTop="1" thickBot="1" x14ac:dyDescent="0.35">
      <c r="A671" s="15">
        <v>45703</v>
      </c>
      <c r="B671" s="15" t="s">
        <v>262</v>
      </c>
      <c r="C671" s="16" t="s">
        <v>400</v>
      </c>
      <c r="D671" s="16" t="s">
        <v>58</v>
      </c>
      <c r="E671" s="16" t="s">
        <v>123</v>
      </c>
      <c r="F671" s="16" t="s">
        <v>89</v>
      </c>
      <c r="G671" s="16" t="s">
        <v>8</v>
      </c>
      <c r="H671" s="16">
        <v>78</v>
      </c>
      <c r="I671" s="16">
        <v>964</v>
      </c>
      <c r="J671" s="16">
        <v>1264</v>
      </c>
      <c r="K671" s="17">
        <f t="shared" si="40"/>
        <v>75192</v>
      </c>
      <c r="L671" s="17">
        <f t="shared" si="41"/>
        <v>98592</v>
      </c>
      <c r="M671" s="17">
        <f t="shared" si="42"/>
        <v>23400</v>
      </c>
      <c r="N671" s="17" t="str">
        <f t="shared" si="43"/>
        <v>profit</v>
      </c>
    </row>
    <row r="672" spans="1:14" ht="15.6" thickTop="1" thickBot="1" x14ac:dyDescent="0.35">
      <c r="A672" s="15">
        <v>45704</v>
      </c>
      <c r="B672" s="15" t="s">
        <v>262</v>
      </c>
      <c r="C672" s="16" t="s">
        <v>401</v>
      </c>
      <c r="D672" s="16" t="s">
        <v>58</v>
      </c>
      <c r="E672" s="16" t="s">
        <v>123</v>
      </c>
      <c r="F672" s="16" t="s">
        <v>85</v>
      </c>
      <c r="G672" s="16" t="s">
        <v>12</v>
      </c>
      <c r="H672" s="16">
        <v>97</v>
      </c>
      <c r="I672" s="16">
        <v>982</v>
      </c>
      <c r="J672" s="16">
        <v>1243</v>
      </c>
      <c r="K672" s="17">
        <f t="shared" si="40"/>
        <v>95254</v>
      </c>
      <c r="L672" s="17">
        <f t="shared" si="41"/>
        <v>120571</v>
      </c>
      <c r="M672" s="17">
        <f t="shared" si="42"/>
        <v>25317</v>
      </c>
      <c r="N672" s="17" t="str">
        <f t="shared" si="43"/>
        <v>profit</v>
      </c>
    </row>
    <row r="673" spans="1:14" ht="15.6" thickTop="1" thickBot="1" x14ac:dyDescent="0.35">
      <c r="A673" s="15">
        <v>45705</v>
      </c>
      <c r="B673" s="15" t="s">
        <v>262</v>
      </c>
      <c r="C673" s="16" t="s">
        <v>402</v>
      </c>
      <c r="D673" s="16" t="s">
        <v>58</v>
      </c>
      <c r="E673" s="16" t="s">
        <v>123</v>
      </c>
      <c r="F673" s="16" t="s">
        <v>64</v>
      </c>
      <c r="G673" s="16" t="s">
        <v>12</v>
      </c>
      <c r="H673" s="16">
        <v>93</v>
      </c>
      <c r="I673" s="16">
        <v>736</v>
      </c>
      <c r="J673" s="16">
        <v>864</v>
      </c>
      <c r="K673" s="17">
        <f t="shared" si="40"/>
        <v>68448</v>
      </c>
      <c r="L673" s="17">
        <f t="shared" si="41"/>
        <v>80352</v>
      </c>
      <c r="M673" s="17">
        <f t="shared" si="42"/>
        <v>11904</v>
      </c>
      <c r="N673" s="17" t="str">
        <f t="shared" si="43"/>
        <v>profit</v>
      </c>
    </row>
    <row r="674" spans="1:14" ht="15.6" thickTop="1" thickBot="1" x14ac:dyDescent="0.35">
      <c r="A674" s="15">
        <v>45706</v>
      </c>
      <c r="B674" s="15" t="s">
        <v>262</v>
      </c>
      <c r="C674" s="16" t="s">
        <v>403</v>
      </c>
      <c r="D674" s="16" t="s">
        <v>58</v>
      </c>
      <c r="E674" s="16" t="s">
        <v>123</v>
      </c>
      <c r="F674" s="16" t="s">
        <v>55</v>
      </c>
      <c r="G674" s="16" t="s">
        <v>12</v>
      </c>
      <c r="H674" s="16">
        <v>51</v>
      </c>
      <c r="I674" s="16">
        <v>608</v>
      </c>
      <c r="J674" s="16">
        <v>1179</v>
      </c>
      <c r="K674" s="17">
        <f t="shared" si="40"/>
        <v>31008</v>
      </c>
      <c r="L674" s="17">
        <f t="shared" si="41"/>
        <v>60129</v>
      </c>
      <c r="M674" s="17">
        <f t="shared" si="42"/>
        <v>29121</v>
      </c>
      <c r="N674" s="17" t="str">
        <f t="shared" si="43"/>
        <v>profit</v>
      </c>
    </row>
    <row r="675" spans="1:14" ht="15.6" thickTop="1" thickBot="1" x14ac:dyDescent="0.35">
      <c r="A675" s="15">
        <v>45707</v>
      </c>
      <c r="B675" s="15" t="s">
        <v>262</v>
      </c>
      <c r="C675" s="16" t="s">
        <v>404</v>
      </c>
      <c r="D675" s="16" t="s">
        <v>58</v>
      </c>
      <c r="E675" s="16" t="s">
        <v>123</v>
      </c>
      <c r="F675" s="16" t="s">
        <v>137</v>
      </c>
      <c r="G675" s="16" t="s">
        <v>12</v>
      </c>
      <c r="H675" s="16">
        <v>95</v>
      </c>
      <c r="I675" s="16">
        <v>642</v>
      </c>
      <c r="J675" s="16">
        <v>796</v>
      </c>
      <c r="K675" s="17">
        <f t="shared" si="40"/>
        <v>60990</v>
      </c>
      <c r="L675" s="17">
        <f t="shared" si="41"/>
        <v>75620</v>
      </c>
      <c r="M675" s="17">
        <f t="shared" si="42"/>
        <v>14630</v>
      </c>
      <c r="N675" s="17" t="str">
        <f t="shared" si="43"/>
        <v>profit</v>
      </c>
    </row>
    <row r="676" spans="1:14" ht="15.6" thickTop="1" thickBot="1" x14ac:dyDescent="0.35">
      <c r="A676" s="15">
        <v>45395</v>
      </c>
      <c r="B676" s="15" t="s">
        <v>56</v>
      </c>
      <c r="C676" s="16" t="s">
        <v>70</v>
      </c>
      <c r="D676" s="16" t="s">
        <v>71</v>
      </c>
      <c r="E676" s="16" t="s">
        <v>72</v>
      </c>
      <c r="F676" s="16" t="s">
        <v>69</v>
      </c>
      <c r="G676" s="16" t="s">
        <v>8</v>
      </c>
      <c r="H676" s="16">
        <v>22</v>
      </c>
      <c r="I676" s="16">
        <v>755</v>
      </c>
      <c r="J676" s="16">
        <v>996</v>
      </c>
      <c r="K676" s="17">
        <f t="shared" si="40"/>
        <v>16610</v>
      </c>
      <c r="L676" s="17">
        <f t="shared" si="41"/>
        <v>21912</v>
      </c>
      <c r="M676" s="17">
        <f t="shared" si="42"/>
        <v>5302</v>
      </c>
      <c r="N676" s="17" t="str">
        <f t="shared" si="43"/>
        <v>profit</v>
      </c>
    </row>
    <row r="677" spans="1:14" ht="15.6" thickTop="1" thickBot="1" x14ac:dyDescent="0.35">
      <c r="A677" s="15">
        <v>45708</v>
      </c>
      <c r="B677" s="15" t="s">
        <v>262</v>
      </c>
      <c r="C677" s="16" t="s">
        <v>405</v>
      </c>
      <c r="D677" s="16" t="s">
        <v>58</v>
      </c>
      <c r="E677" s="16" t="s">
        <v>123</v>
      </c>
      <c r="F677" s="16" t="s">
        <v>69</v>
      </c>
      <c r="G677" s="16" t="s">
        <v>8</v>
      </c>
      <c r="H677" s="16">
        <v>90</v>
      </c>
      <c r="I677" s="16">
        <v>713</v>
      </c>
      <c r="J677" s="16">
        <v>1148</v>
      </c>
      <c r="K677" s="17">
        <f t="shared" si="40"/>
        <v>64170</v>
      </c>
      <c r="L677" s="17">
        <f t="shared" si="41"/>
        <v>103320</v>
      </c>
      <c r="M677" s="17">
        <f t="shared" si="42"/>
        <v>39150</v>
      </c>
      <c r="N677" s="17" t="str">
        <f t="shared" si="43"/>
        <v>profit</v>
      </c>
    </row>
    <row r="678" spans="1:14" ht="15.6" thickTop="1" thickBot="1" x14ac:dyDescent="0.35">
      <c r="A678" s="15">
        <v>45710</v>
      </c>
      <c r="B678" s="15" t="s">
        <v>262</v>
      </c>
      <c r="C678" s="16" t="s">
        <v>406</v>
      </c>
      <c r="D678" s="16" t="s">
        <v>58</v>
      </c>
      <c r="E678" s="16" t="s">
        <v>123</v>
      </c>
      <c r="F678" s="16" t="s">
        <v>178</v>
      </c>
      <c r="G678" s="16" t="s">
        <v>12</v>
      </c>
      <c r="H678" s="16">
        <v>81</v>
      </c>
      <c r="I678" s="16">
        <v>813</v>
      </c>
      <c r="J678" s="16">
        <v>1428</v>
      </c>
      <c r="K678" s="17">
        <f t="shared" si="40"/>
        <v>65853</v>
      </c>
      <c r="L678" s="17">
        <f t="shared" si="41"/>
        <v>115668</v>
      </c>
      <c r="M678" s="17">
        <f t="shared" si="42"/>
        <v>49815</v>
      </c>
      <c r="N678" s="17" t="str">
        <f t="shared" si="43"/>
        <v>profit</v>
      </c>
    </row>
    <row r="679" spans="1:14" ht="15.6" thickTop="1" thickBot="1" x14ac:dyDescent="0.35">
      <c r="A679" s="15">
        <v>45711</v>
      </c>
      <c r="B679" s="15" t="s">
        <v>262</v>
      </c>
      <c r="C679" s="16" t="s">
        <v>407</v>
      </c>
      <c r="D679" s="16" t="s">
        <v>58</v>
      </c>
      <c r="E679" s="16" t="s">
        <v>123</v>
      </c>
      <c r="F679" s="16" t="s">
        <v>45</v>
      </c>
      <c r="G679" s="16" t="s">
        <v>12</v>
      </c>
      <c r="H679" s="16">
        <v>57</v>
      </c>
      <c r="I679" s="16">
        <v>912</v>
      </c>
      <c r="J679" s="16">
        <v>1246</v>
      </c>
      <c r="K679" s="17">
        <f t="shared" si="40"/>
        <v>51984</v>
      </c>
      <c r="L679" s="17">
        <f t="shared" si="41"/>
        <v>71022</v>
      </c>
      <c r="M679" s="17">
        <f t="shared" si="42"/>
        <v>19038</v>
      </c>
      <c r="N679" s="17" t="str">
        <f t="shared" si="43"/>
        <v>profit</v>
      </c>
    </row>
    <row r="680" spans="1:14" ht="15.6" thickTop="1" thickBot="1" x14ac:dyDescent="0.35">
      <c r="A680" s="15">
        <v>45712</v>
      </c>
      <c r="B680" s="15" t="s">
        <v>262</v>
      </c>
      <c r="C680" s="16" t="s">
        <v>408</v>
      </c>
      <c r="D680" s="16" t="s">
        <v>58</v>
      </c>
      <c r="E680" s="16" t="s">
        <v>143</v>
      </c>
      <c r="F680" s="16" t="s">
        <v>47</v>
      </c>
      <c r="G680" s="16" t="s">
        <v>12</v>
      </c>
      <c r="H680" s="16">
        <v>61</v>
      </c>
      <c r="I680" s="16">
        <v>565</v>
      </c>
      <c r="J680" s="16">
        <v>1212</v>
      </c>
      <c r="K680" s="17">
        <f t="shared" si="40"/>
        <v>34465</v>
      </c>
      <c r="L680" s="17">
        <f t="shared" si="41"/>
        <v>73932</v>
      </c>
      <c r="M680" s="17">
        <f t="shared" si="42"/>
        <v>39467</v>
      </c>
      <c r="N680" s="17" t="str">
        <f t="shared" si="43"/>
        <v>profit</v>
      </c>
    </row>
    <row r="681" spans="1:14" ht="15.6" thickTop="1" thickBot="1" x14ac:dyDescent="0.35">
      <c r="A681" s="15">
        <v>45713</v>
      </c>
      <c r="B681" s="15" t="s">
        <v>262</v>
      </c>
      <c r="C681" s="16" t="s">
        <v>409</v>
      </c>
      <c r="D681" s="16" t="s">
        <v>58</v>
      </c>
      <c r="E681" s="16" t="s">
        <v>410</v>
      </c>
      <c r="F681" s="16" t="s">
        <v>47</v>
      </c>
      <c r="G681" s="16" t="s">
        <v>12</v>
      </c>
      <c r="H681" s="16">
        <v>62</v>
      </c>
      <c r="I681" s="16">
        <v>805</v>
      </c>
      <c r="J681" s="16">
        <v>1163</v>
      </c>
      <c r="K681" s="17">
        <f t="shared" si="40"/>
        <v>49910</v>
      </c>
      <c r="L681" s="17">
        <f t="shared" si="41"/>
        <v>72106</v>
      </c>
      <c r="M681" s="17">
        <f t="shared" si="42"/>
        <v>22196</v>
      </c>
      <c r="N681" s="17" t="str">
        <f t="shared" si="43"/>
        <v>profit</v>
      </c>
    </row>
    <row r="682" spans="1:14" ht="15.6" thickTop="1" thickBot="1" x14ac:dyDescent="0.35">
      <c r="A682" s="15">
        <v>45387</v>
      </c>
      <c r="B682" s="15" t="s">
        <v>56</v>
      </c>
      <c r="C682" s="16" t="s">
        <v>278</v>
      </c>
      <c r="D682" s="16" t="s">
        <v>58</v>
      </c>
      <c r="E682" s="16" t="s">
        <v>59</v>
      </c>
      <c r="F682" s="16" t="s">
        <v>100</v>
      </c>
      <c r="G682" s="16" t="s">
        <v>12</v>
      </c>
      <c r="H682" s="16">
        <v>74</v>
      </c>
      <c r="I682" s="16">
        <v>743</v>
      </c>
      <c r="J682" s="16">
        <v>1265</v>
      </c>
      <c r="K682" s="17">
        <f t="shared" si="40"/>
        <v>54982</v>
      </c>
      <c r="L682" s="17">
        <f t="shared" si="41"/>
        <v>93610</v>
      </c>
      <c r="M682" s="17">
        <f t="shared" si="42"/>
        <v>38628</v>
      </c>
      <c r="N682" s="17" t="str">
        <f t="shared" si="43"/>
        <v>profit</v>
      </c>
    </row>
    <row r="683" spans="1:14" ht="15.6" thickTop="1" thickBot="1" x14ac:dyDescent="0.35">
      <c r="A683" s="15">
        <v>45388</v>
      </c>
      <c r="B683" s="15" t="s">
        <v>56</v>
      </c>
      <c r="C683" s="16" t="s">
        <v>279</v>
      </c>
      <c r="D683" s="16" t="s">
        <v>58</v>
      </c>
      <c r="E683" s="16" t="s">
        <v>59</v>
      </c>
      <c r="F683" s="16" t="s">
        <v>102</v>
      </c>
      <c r="G683" s="16" t="s">
        <v>12</v>
      </c>
      <c r="H683" s="16">
        <v>83</v>
      </c>
      <c r="I683" s="16">
        <v>594</v>
      </c>
      <c r="J683" s="16">
        <v>852</v>
      </c>
      <c r="K683" s="17">
        <f t="shared" si="40"/>
        <v>49302</v>
      </c>
      <c r="L683" s="17">
        <f t="shared" si="41"/>
        <v>70716</v>
      </c>
      <c r="M683" s="17">
        <f t="shared" si="42"/>
        <v>21414</v>
      </c>
      <c r="N683" s="17" t="str">
        <f t="shared" si="43"/>
        <v>profit</v>
      </c>
    </row>
    <row r="684" spans="1:14" ht="15.6" thickTop="1" thickBot="1" x14ac:dyDescent="0.35">
      <c r="A684" s="15">
        <v>45390</v>
      </c>
      <c r="B684" s="15" t="s">
        <v>56</v>
      </c>
      <c r="C684" s="16" t="s">
        <v>280</v>
      </c>
      <c r="D684" s="16" t="s">
        <v>58</v>
      </c>
      <c r="E684" s="16" t="s">
        <v>59</v>
      </c>
      <c r="F684" s="16" t="s">
        <v>69</v>
      </c>
      <c r="G684" s="16" t="s">
        <v>12</v>
      </c>
      <c r="H684" s="16">
        <v>70</v>
      </c>
      <c r="I684" s="16">
        <v>878</v>
      </c>
      <c r="J684" s="16">
        <v>844</v>
      </c>
      <c r="K684" s="17">
        <f t="shared" si="40"/>
        <v>61460</v>
      </c>
      <c r="L684" s="17">
        <f t="shared" si="41"/>
        <v>59080</v>
      </c>
      <c r="M684" s="17">
        <f t="shared" si="42"/>
        <v>-2380</v>
      </c>
      <c r="N684" s="17" t="str">
        <f t="shared" si="43"/>
        <v>loss</v>
      </c>
    </row>
    <row r="685" spans="1:14" ht="15.6" thickTop="1" thickBot="1" x14ac:dyDescent="0.35">
      <c r="A685" s="15">
        <v>45397</v>
      </c>
      <c r="B685" s="15" t="s">
        <v>56</v>
      </c>
      <c r="C685" s="16" t="s">
        <v>281</v>
      </c>
      <c r="D685" s="16" t="s">
        <v>58</v>
      </c>
      <c r="E685" s="16" t="s">
        <v>186</v>
      </c>
      <c r="F685" s="16" t="s">
        <v>69</v>
      </c>
      <c r="G685" s="16" t="s">
        <v>8</v>
      </c>
      <c r="H685" s="16">
        <v>57</v>
      </c>
      <c r="I685" s="16">
        <v>724</v>
      </c>
      <c r="J685" s="16">
        <v>839</v>
      </c>
      <c r="K685" s="17">
        <f t="shared" si="40"/>
        <v>41268</v>
      </c>
      <c r="L685" s="17">
        <f t="shared" si="41"/>
        <v>47823</v>
      </c>
      <c r="M685" s="17">
        <f t="shared" si="42"/>
        <v>6555</v>
      </c>
      <c r="N685" s="17" t="str">
        <f t="shared" si="43"/>
        <v>profit</v>
      </c>
    </row>
    <row r="686" spans="1:14" ht="15.6" thickTop="1" thickBot="1" x14ac:dyDescent="0.35">
      <c r="A686" s="15">
        <v>45405</v>
      </c>
      <c r="B686" s="15" t="s">
        <v>56</v>
      </c>
      <c r="C686" s="16" t="s">
        <v>87</v>
      </c>
      <c r="D686" s="16" t="s">
        <v>71</v>
      </c>
      <c r="E686" s="16" t="s">
        <v>88</v>
      </c>
      <c r="F686" s="16" t="s">
        <v>89</v>
      </c>
      <c r="G686" s="16" t="s">
        <v>12</v>
      </c>
      <c r="H686" s="16">
        <v>23</v>
      </c>
      <c r="I686" s="16">
        <v>627</v>
      </c>
      <c r="J686" s="16">
        <v>855</v>
      </c>
      <c r="K686" s="17">
        <f t="shared" si="40"/>
        <v>14421</v>
      </c>
      <c r="L686" s="17">
        <f t="shared" si="41"/>
        <v>19665</v>
      </c>
      <c r="M686" s="17">
        <f t="shared" si="42"/>
        <v>5244</v>
      </c>
      <c r="N686" s="17" t="str">
        <f t="shared" si="43"/>
        <v>profit</v>
      </c>
    </row>
    <row r="687" spans="1:14" ht="15.6" thickTop="1" thickBot="1" x14ac:dyDescent="0.35">
      <c r="A687" s="15">
        <v>45398</v>
      </c>
      <c r="B687" s="15" t="s">
        <v>56</v>
      </c>
      <c r="C687" s="16" t="s">
        <v>282</v>
      </c>
      <c r="D687" s="16" t="s">
        <v>58</v>
      </c>
      <c r="E687" s="16" t="s">
        <v>186</v>
      </c>
      <c r="F687" s="16" t="s">
        <v>74</v>
      </c>
      <c r="G687" s="16" t="s">
        <v>8</v>
      </c>
      <c r="H687" s="16">
        <v>50</v>
      </c>
      <c r="I687" s="16">
        <v>537</v>
      </c>
      <c r="J687" s="16">
        <v>1172</v>
      </c>
      <c r="K687" s="17">
        <f t="shared" si="40"/>
        <v>26850</v>
      </c>
      <c r="L687" s="17">
        <f t="shared" si="41"/>
        <v>58600</v>
      </c>
      <c r="M687" s="17">
        <f t="shared" si="42"/>
        <v>31750</v>
      </c>
      <c r="N687" s="17" t="str">
        <f t="shared" si="43"/>
        <v>profit</v>
      </c>
    </row>
    <row r="688" spans="1:14" ht="15.6" thickTop="1" thickBot="1" x14ac:dyDescent="0.35">
      <c r="A688" s="15">
        <v>45407</v>
      </c>
      <c r="B688" s="15" t="s">
        <v>56</v>
      </c>
      <c r="C688" s="16" t="s">
        <v>91</v>
      </c>
      <c r="D688" s="16" t="s">
        <v>71</v>
      </c>
      <c r="E688" s="16" t="s">
        <v>88</v>
      </c>
      <c r="F688" s="16" t="s">
        <v>85</v>
      </c>
      <c r="G688" s="16" t="s">
        <v>8</v>
      </c>
      <c r="H688" s="16">
        <v>23</v>
      </c>
      <c r="I688" s="16">
        <v>938</v>
      </c>
      <c r="J688" s="16">
        <v>1336</v>
      </c>
      <c r="K688" s="17">
        <f t="shared" si="40"/>
        <v>21574</v>
      </c>
      <c r="L688" s="17">
        <f t="shared" si="41"/>
        <v>30728</v>
      </c>
      <c r="M688" s="17">
        <f t="shared" si="42"/>
        <v>9154</v>
      </c>
      <c r="N688" s="17" t="str">
        <f t="shared" si="43"/>
        <v>profit</v>
      </c>
    </row>
    <row r="689" spans="1:14" ht="15.6" thickTop="1" thickBot="1" x14ac:dyDescent="0.35">
      <c r="A689" s="15">
        <v>45399</v>
      </c>
      <c r="B689" s="15" t="s">
        <v>56</v>
      </c>
      <c r="C689" s="16" t="s">
        <v>283</v>
      </c>
      <c r="D689" s="16" t="s">
        <v>58</v>
      </c>
      <c r="E689" s="16" t="s">
        <v>186</v>
      </c>
      <c r="F689" s="16" t="s">
        <v>53</v>
      </c>
      <c r="G689" s="16" t="s">
        <v>8</v>
      </c>
      <c r="H689" s="16">
        <v>67</v>
      </c>
      <c r="I689" s="16">
        <v>989</v>
      </c>
      <c r="J689" s="16">
        <v>956</v>
      </c>
      <c r="K689" s="17">
        <f t="shared" si="40"/>
        <v>66263</v>
      </c>
      <c r="L689" s="17">
        <f t="shared" si="41"/>
        <v>64052</v>
      </c>
      <c r="M689" s="17">
        <f t="shared" si="42"/>
        <v>-2211</v>
      </c>
      <c r="N689" s="17" t="str">
        <f t="shared" si="43"/>
        <v>loss</v>
      </c>
    </row>
    <row r="690" spans="1:14" ht="15.6" thickTop="1" thickBot="1" x14ac:dyDescent="0.35">
      <c r="A690" s="15">
        <v>45400</v>
      </c>
      <c r="B690" s="15" t="s">
        <v>56</v>
      </c>
      <c r="C690" s="16" t="s">
        <v>284</v>
      </c>
      <c r="D690" s="16" t="s">
        <v>58</v>
      </c>
      <c r="E690" s="16" t="s">
        <v>186</v>
      </c>
      <c r="F690" s="16" t="s">
        <v>77</v>
      </c>
      <c r="G690" s="16" t="s">
        <v>8</v>
      </c>
      <c r="H690" s="16">
        <v>83</v>
      </c>
      <c r="I690" s="16">
        <v>917</v>
      </c>
      <c r="J690" s="16">
        <v>989</v>
      </c>
      <c r="K690" s="17">
        <f t="shared" si="40"/>
        <v>76111</v>
      </c>
      <c r="L690" s="17">
        <f t="shared" si="41"/>
        <v>82087</v>
      </c>
      <c r="M690" s="17">
        <f t="shared" si="42"/>
        <v>5976</v>
      </c>
      <c r="N690" s="17" t="str">
        <f t="shared" si="43"/>
        <v>profit</v>
      </c>
    </row>
    <row r="691" spans="1:14" ht="15.6" thickTop="1" thickBot="1" x14ac:dyDescent="0.35">
      <c r="A691" s="15">
        <v>45401</v>
      </c>
      <c r="B691" s="15" t="s">
        <v>56</v>
      </c>
      <c r="C691" s="16" t="s">
        <v>285</v>
      </c>
      <c r="D691" s="16" t="s">
        <v>58</v>
      </c>
      <c r="E691" s="16" t="s">
        <v>186</v>
      </c>
      <c r="F691" s="16" t="s">
        <v>79</v>
      </c>
      <c r="G691" s="16" t="s">
        <v>8</v>
      </c>
      <c r="H691" s="16">
        <v>74</v>
      </c>
      <c r="I691" s="16">
        <v>645</v>
      </c>
      <c r="J691" s="16">
        <v>879</v>
      </c>
      <c r="K691" s="17">
        <f t="shared" si="40"/>
        <v>47730</v>
      </c>
      <c r="L691" s="17">
        <f t="shared" si="41"/>
        <v>65046</v>
      </c>
      <c r="M691" s="17">
        <f t="shared" si="42"/>
        <v>17316</v>
      </c>
      <c r="N691" s="17" t="str">
        <f t="shared" si="43"/>
        <v>profit</v>
      </c>
    </row>
    <row r="692" spans="1:14" ht="15.6" thickTop="1" thickBot="1" x14ac:dyDescent="0.35">
      <c r="A692" s="15">
        <v>45402</v>
      </c>
      <c r="B692" s="15" t="s">
        <v>56</v>
      </c>
      <c r="C692" s="16" t="s">
        <v>286</v>
      </c>
      <c r="D692" s="16" t="s">
        <v>58</v>
      </c>
      <c r="E692" s="16" t="s">
        <v>186</v>
      </c>
      <c r="F692" s="16" t="s">
        <v>60</v>
      </c>
      <c r="G692" s="16" t="s">
        <v>12</v>
      </c>
      <c r="H692" s="16">
        <v>76</v>
      </c>
      <c r="I692" s="16">
        <v>943</v>
      </c>
      <c r="J692" s="16">
        <v>1394</v>
      </c>
      <c r="K692" s="17">
        <f t="shared" si="40"/>
        <v>71668</v>
      </c>
      <c r="L692" s="17">
        <f t="shared" si="41"/>
        <v>105944</v>
      </c>
      <c r="M692" s="17">
        <f t="shared" si="42"/>
        <v>34276</v>
      </c>
      <c r="N692" s="17" t="str">
        <f t="shared" si="43"/>
        <v>profit</v>
      </c>
    </row>
    <row r="693" spans="1:14" ht="15.6" thickTop="1" thickBot="1" x14ac:dyDescent="0.35">
      <c r="A693" s="15">
        <v>45403</v>
      </c>
      <c r="B693" s="15" t="s">
        <v>56</v>
      </c>
      <c r="C693" s="16" t="s">
        <v>287</v>
      </c>
      <c r="D693" s="16" t="s">
        <v>58</v>
      </c>
      <c r="E693" s="16" t="s">
        <v>186</v>
      </c>
      <c r="F693" s="16" t="s">
        <v>64</v>
      </c>
      <c r="G693" s="16" t="s">
        <v>12</v>
      </c>
      <c r="H693" s="16">
        <v>85</v>
      </c>
      <c r="I693" s="16">
        <v>505</v>
      </c>
      <c r="J693" s="16">
        <v>1435</v>
      </c>
      <c r="K693" s="17">
        <f t="shared" si="40"/>
        <v>42925</v>
      </c>
      <c r="L693" s="17">
        <f t="shared" si="41"/>
        <v>121975</v>
      </c>
      <c r="M693" s="17">
        <f t="shared" si="42"/>
        <v>79050</v>
      </c>
      <c r="N693" s="17" t="str">
        <f t="shared" si="43"/>
        <v>profit</v>
      </c>
    </row>
    <row r="694" spans="1:14" ht="15.6" thickTop="1" thickBot="1" x14ac:dyDescent="0.35">
      <c r="A694" s="15">
        <v>45431</v>
      </c>
      <c r="B694" s="15" t="s">
        <v>121</v>
      </c>
      <c r="C694" s="16" t="s">
        <v>288</v>
      </c>
      <c r="D694" s="16" t="s">
        <v>58</v>
      </c>
      <c r="E694" s="16" t="s">
        <v>123</v>
      </c>
      <c r="F694" s="16" t="s">
        <v>85</v>
      </c>
      <c r="G694" s="16" t="s">
        <v>12</v>
      </c>
      <c r="H694" s="16">
        <v>82</v>
      </c>
      <c r="I694" s="16">
        <v>928</v>
      </c>
      <c r="J694" s="16">
        <v>1428</v>
      </c>
      <c r="K694" s="17">
        <f t="shared" si="40"/>
        <v>76096</v>
      </c>
      <c r="L694" s="17">
        <f t="shared" si="41"/>
        <v>117096</v>
      </c>
      <c r="M694" s="17">
        <f t="shared" si="42"/>
        <v>41000</v>
      </c>
      <c r="N694" s="17" t="str">
        <f t="shared" si="43"/>
        <v>profit</v>
      </c>
    </row>
    <row r="695" spans="1:14" ht="15.6" thickTop="1" thickBot="1" x14ac:dyDescent="0.35">
      <c r="A695" s="15">
        <v>45433</v>
      </c>
      <c r="B695" s="15" t="s">
        <v>121</v>
      </c>
      <c r="C695" s="16" t="s">
        <v>289</v>
      </c>
      <c r="D695" s="16" t="s">
        <v>58</v>
      </c>
      <c r="E695" s="16" t="s">
        <v>123</v>
      </c>
      <c r="F695" s="16" t="s">
        <v>64</v>
      </c>
      <c r="G695" s="16" t="s">
        <v>8</v>
      </c>
      <c r="H695" s="16">
        <v>72</v>
      </c>
      <c r="I695" s="16">
        <v>605</v>
      </c>
      <c r="J695" s="16">
        <v>1081</v>
      </c>
      <c r="K695" s="17">
        <f t="shared" si="40"/>
        <v>43560</v>
      </c>
      <c r="L695" s="17">
        <f t="shared" si="41"/>
        <v>77832</v>
      </c>
      <c r="M695" s="17">
        <f t="shared" si="42"/>
        <v>34272</v>
      </c>
      <c r="N695" s="17" t="str">
        <f t="shared" si="43"/>
        <v>profit</v>
      </c>
    </row>
    <row r="696" spans="1:14" ht="15.6" thickTop="1" thickBot="1" x14ac:dyDescent="0.35">
      <c r="A696" s="15">
        <v>45434</v>
      </c>
      <c r="B696" s="15" t="s">
        <v>121</v>
      </c>
      <c r="C696" s="16" t="s">
        <v>290</v>
      </c>
      <c r="D696" s="16" t="s">
        <v>58</v>
      </c>
      <c r="E696" s="16" t="s">
        <v>123</v>
      </c>
      <c r="F696" s="16" t="s">
        <v>64</v>
      </c>
      <c r="G696" s="16" t="s">
        <v>8</v>
      </c>
      <c r="H696" s="16">
        <v>82</v>
      </c>
      <c r="I696" s="16">
        <v>993</v>
      </c>
      <c r="J696" s="16">
        <v>823</v>
      </c>
      <c r="K696" s="17">
        <f t="shared" si="40"/>
        <v>81426</v>
      </c>
      <c r="L696" s="17">
        <f t="shared" si="41"/>
        <v>67486</v>
      </c>
      <c r="M696" s="17">
        <f t="shared" si="42"/>
        <v>-13940</v>
      </c>
      <c r="N696" s="17" t="str">
        <f t="shared" si="43"/>
        <v>loss</v>
      </c>
    </row>
    <row r="697" spans="1:14" ht="15.6" thickTop="1" thickBot="1" x14ac:dyDescent="0.35">
      <c r="A697" s="15">
        <v>45435</v>
      </c>
      <c r="B697" s="15" t="s">
        <v>121</v>
      </c>
      <c r="C697" s="16" t="s">
        <v>291</v>
      </c>
      <c r="D697" s="16" t="s">
        <v>58</v>
      </c>
      <c r="E697" s="16" t="s">
        <v>123</v>
      </c>
      <c r="F697" s="16" t="s">
        <v>69</v>
      </c>
      <c r="G697" s="16" t="s">
        <v>8</v>
      </c>
      <c r="H697" s="16">
        <v>53</v>
      </c>
      <c r="I697" s="16">
        <v>803</v>
      </c>
      <c r="J697" s="16">
        <v>1335</v>
      </c>
      <c r="K697" s="17">
        <f t="shared" si="40"/>
        <v>42559</v>
      </c>
      <c r="L697" s="17">
        <f t="shared" si="41"/>
        <v>70755</v>
      </c>
      <c r="M697" s="17">
        <f t="shared" si="42"/>
        <v>28196</v>
      </c>
      <c r="N697" s="17" t="str">
        <f t="shared" si="43"/>
        <v>profit</v>
      </c>
    </row>
    <row r="698" spans="1:14" ht="15.6" thickTop="1" thickBot="1" x14ac:dyDescent="0.35">
      <c r="A698" s="15">
        <v>45436</v>
      </c>
      <c r="B698" s="15" t="s">
        <v>121</v>
      </c>
      <c r="C698" s="16" t="s">
        <v>292</v>
      </c>
      <c r="D698" s="16" t="s">
        <v>58</v>
      </c>
      <c r="E698" s="16" t="s">
        <v>123</v>
      </c>
      <c r="F698" s="16" t="s">
        <v>53</v>
      </c>
      <c r="G698" s="16" t="s">
        <v>8</v>
      </c>
      <c r="H698" s="16">
        <v>87</v>
      </c>
      <c r="I698" s="16">
        <v>742</v>
      </c>
      <c r="J698" s="16">
        <v>856</v>
      </c>
      <c r="K698" s="17">
        <f t="shared" si="40"/>
        <v>64554</v>
      </c>
      <c r="L698" s="17">
        <f t="shared" si="41"/>
        <v>74472</v>
      </c>
      <c r="M698" s="17">
        <f t="shared" si="42"/>
        <v>9918</v>
      </c>
      <c r="N698" s="17" t="str">
        <f t="shared" si="43"/>
        <v>profit</v>
      </c>
    </row>
    <row r="699" spans="1:14" ht="15.6" thickTop="1" thickBot="1" x14ac:dyDescent="0.35">
      <c r="A699" s="15">
        <v>45437</v>
      </c>
      <c r="B699" s="15" t="s">
        <v>121</v>
      </c>
      <c r="C699" s="16" t="s">
        <v>293</v>
      </c>
      <c r="D699" s="16" t="s">
        <v>58</v>
      </c>
      <c r="E699" s="16" t="s">
        <v>123</v>
      </c>
      <c r="F699" s="16" t="s">
        <v>69</v>
      </c>
      <c r="G699" s="16" t="s">
        <v>8</v>
      </c>
      <c r="H699" s="16">
        <v>70</v>
      </c>
      <c r="I699" s="16">
        <v>605</v>
      </c>
      <c r="J699" s="16">
        <v>1489</v>
      </c>
      <c r="K699" s="17">
        <f t="shared" si="40"/>
        <v>42350</v>
      </c>
      <c r="L699" s="17">
        <f t="shared" si="41"/>
        <v>104230</v>
      </c>
      <c r="M699" s="17">
        <f t="shared" si="42"/>
        <v>61880</v>
      </c>
      <c r="N699" s="17" t="str">
        <f t="shared" si="43"/>
        <v>profit</v>
      </c>
    </row>
    <row r="700" spans="1:14" ht="15.6" thickTop="1" thickBot="1" x14ac:dyDescent="0.35">
      <c r="A700" s="15">
        <v>45438</v>
      </c>
      <c r="B700" s="15" t="s">
        <v>121</v>
      </c>
      <c r="C700" s="16" t="s">
        <v>294</v>
      </c>
      <c r="D700" s="16" t="s">
        <v>58</v>
      </c>
      <c r="E700" s="16" t="s">
        <v>123</v>
      </c>
      <c r="F700" s="16" t="s">
        <v>74</v>
      </c>
      <c r="G700" s="16" t="s">
        <v>8</v>
      </c>
      <c r="H700" s="16">
        <v>94</v>
      </c>
      <c r="I700" s="16">
        <v>754</v>
      </c>
      <c r="J700" s="16">
        <v>1354</v>
      </c>
      <c r="K700" s="17">
        <f t="shared" si="40"/>
        <v>70876</v>
      </c>
      <c r="L700" s="17">
        <f t="shared" si="41"/>
        <v>127276</v>
      </c>
      <c r="M700" s="17">
        <f t="shared" si="42"/>
        <v>56400</v>
      </c>
      <c r="N700" s="17" t="str">
        <f t="shared" si="43"/>
        <v>profit</v>
      </c>
    </row>
    <row r="701" spans="1:14" ht="15.6" thickTop="1" thickBot="1" x14ac:dyDescent="0.35">
      <c r="A701" s="15">
        <v>45439</v>
      </c>
      <c r="B701" s="15" t="s">
        <v>121</v>
      </c>
      <c r="C701" s="16" t="s">
        <v>295</v>
      </c>
      <c r="D701" s="16" t="s">
        <v>58</v>
      </c>
      <c r="E701" s="16" t="s">
        <v>123</v>
      </c>
      <c r="F701" s="16" t="s">
        <v>53</v>
      </c>
      <c r="G701" s="16" t="s">
        <v>8</v>
      </c>
      <c r="H701" s="16">
        <v>80</v>
      </c>
      <c r="I701" s="16">
        <v>622</v>
      </c>
      <c r="J701" s="16">
        <v>1168</v>
      </c>
      <c r="K701" s="17">
        <f t="shared" si="40"/>
        <v>49760</v>
      </c>
      <c r="L701" s="17">
        <f t="shared" si="41"/>
        <v>93440</v>
      </c>
      <c r="M701" s="17">
        <f t="shared" si="42"/>
        <v>43680</v>
      </c>
      <c r="N701" s="17" t="str">
        <f t="shared" si="43"/>
        <v>profit</v>
      </c>
    </row>
    <row r="702" spans="1:14" ht="15.6" thickTop="1" thickBot="1" x14ac:dyDescent="0.35">
      <c r="A702" s="15">
        <v>45440</v>
      </c>
      <c r="B702" s="15" t="s">
        <v>121</v>
      </c>
      <c r="C702" s="16" t="s">
        <v>296</v>
      </c>
      <c r="D702" s="16" t="s">
        <v>58</v>
      </c>
      <c r="E702" s="16" t="s">
        <v>123</v>
      </c>
      <c r="F702" s="16" t="s">
        <v>77</v>
      </c>
      <c r="G702" s="16" t="s">
        <v>12</v>
      </c>
      <c r="H702" s="16">
        <v>88</v>
      </c>
      <c r="I702" s="16">
        <v>625</v>
      </c>
      <c r="J702" s="16">
        <v>1324</v>
      </c>
      <c r="K702" s="17">
        <f t="shared" si="40"/>
        <v>55000</v>
      </c>
      <c r="L702" s="17">
        <f t="shared" si="41"/>
        <v>116512</v>
      </c>
      <c r="M702" s="17">
        <f t="shared" si="42"/>
        <v>61512</v>
      </c>
      <c r="N702" s="17" t="str">
        <f t="shared" si="43"/>
        <v>profit</v>
      </c>
    </row>
    <row r="703" spans="1:14" ht="15.6" thickTop="1" thickBot="1" x14ac:dyDescent="0.35">
      <c r="A703" s="15">
        <v>45442</v>
      </c>
      <c r="B703" s="15" t="s">
        <v>121</v>
      </c>
      <c r="C703" s="16" t="s">
        <v>297</v>
      </c>
      <c r="D703" s="16" t="s">
        <v>58</v>
      </c>
      <c r="E703" s="16" t="s">
        <v>123</v>
      </c>
      <c r="F703" s="16" t="s">
        <v>60</v>
      </c>
      <c r="G703" s="16" t="s">
        <v>12</v>
      </c>
      <c r="H703" s="16">
        <v>67</v>
      </c>
      <c r="I703" s="16">
        <v>760</v>
      </c>
      <c r="J703" s="16">
        <v>1006</v>
      </c>
      <c r="K703" s="17">
        <f t="shared" si="40"/>
        <v>50920</v>
      </c>
      <c r="L703" s="17">
        <f t="shared" si="41"/>
        <v>67402</v>
      </c>
      <c r="M703" s="17">
        <f t="shared" si="42"/>
        <v>16482</v>
      </c>
      <c r="N703" s="17" t="str">
        <f t="shared" si="43"/>
        <v>profit</v>
      </c>
    </row>
    <row r="704" spans="1:14" ht="15.6" thickTop="1" thickBot="1" x14ac:dyDescent="0.35">
      <c r="A704" s="15">
        <v>45443</v>
      </c>
      <c r="B704" s="15" t="s">
        <v>121</v>
      </c>
      <c r="C704" s="16" t="s">
        <v>298</v>
      </c>
      <c r="D704" s="16" t="s">
        <v>58</v>
      </c>
      <c r="E704" s="16" t="s">
        <v>143</v>
      </c>
      <c r="F704" s="16" t="s">
        <v>64</v>
      </c>
      <c r="G704" s="16" t="s">
        <v>12</v>
      </c>
      <c r="H704" s="16">
        <v>75</v>
      </c>
      <c r="I704" s="16">
        <v>966</v>
      </c>
      <c r="J704" s="16">
        <v>1355</v>
      </c>
      <c r="K704" s="17">
        <f t="shared" si="40"/>
        <v>72450</v>
      </c>
      <c r="L704" s="17">
        <f t="shared" si="41"/>
        <v>101625</v>
      </c>
      <c r="M704" s="17">
        <f t="shared" si="42"/>
        <v>29175</v>
      </c>
      <c r="N704" s="17" t="str">
        <f t="shared" si="43"/>
        <v>profit</v>
      </c>
    </row>
    <row r="705" spans="1:14" ht="15.6" thickTop="1" thickBot="1" x14ac:dyDescent="0.35">
      <c r="A705" s="15">
        <v>45444</v>
      </c>
      <c r="B705" s="15" t="s">
        <v>41</v>
      </c>
      <c r="C705" s="16" t="s">
        <v>299</v>
      </c>
      <c r="D705" s="16" t="s">
        <v>58</v>
      </c>
      <c r="E705" s="16" t="s">
        <v>143</v>
      </c>
      <c r="F705" s="16" t="s">
        <v>64</v>
      </c>
      <c r="G705" s="16" t="s">
        <v>8</v>
      </c>
      <c r="H705" s="16">
        <v>51</v>
      </c>
      <c r="I705" s="16">
        <v>749</v>
      </c>
      <c r="J705" s="16">
        <v>1060</v>
      </c>
      <c r="K705" s="17">
        <f t="shared" si="40"/>
        <v>38199</v>
      </c>
      <c r="L705" s="17">
        <f t="shared" si="41"/>
        <v>54060</v>
      </c>
      <c r="M705" s="17">
        <f t="shared" si="42"/>
        <v>15861</v>
      </c>
      <c r="N705" s="17" t="str">
        <f t="shared" si="43"/>
        <v>profit</v>
      </c>
    </row>
    <row r="706" spans="1:14" ht="15.6" thickTop="1" thickBot="1" x14ac:dyDescent="0.35">
      <c r="A706" s="15">
        <v>45445</v>
      </c>
      <c r="B706" s="15" t="s">
        <v>41</v>
      </c>
      <c r="C706" s="16" t="s">
        <v>300</v>
      </c>
      <c r="D706" s="16" t="s">
        <v>58</v>
      </c>
      <c r="E706" s="16" t="s">
        <v>143</v>
      </c>
      <c r="F706" s="16" t="s">
        <v>89</v>
      </c>
      <c r="G706" s="16" t="s">
        <v>12</v>
      </c>
      <c r="H706" s="16">
        <v>94</v>
      </c>
      <c r="I706" s="16">
        <v>721</v>
      </c>
      <c r="J706" s="16">
        <v>996</v>
      </c>
      <c r="K706" s="17">
        <f t="shared" ref="K706:K769" si="44">H706*I706</f>
        <v>67774</v>
      </c>
      <c r="L706" s="17">
        <f t="shared" ref="L706:L769" si="45">H706*J706</f>
        <v>93624</v>
      </c>
      <c r="M706" s="17">
        <f t="shared" ref="M706:M769" si="46">L706-K706</f>
        <v>25850</v>
      </c>
      <c r="N706" s="17" t="str">
        <f t="shared" ref="N706:N769" si="47">IF(M706&gt;0,"profit","loss")</f>
        <v>profit</v>
      </c>
    </row>
    <row r="707" spans="1:14" ht="15.6" thickTop="1" thickBot="1" x14ac:dyDescent="0.35">
      <c r="A707" s="15">
        <v>45446</v>
      </c>
      <c r="B707" s="15" t="s">
        <v>41</v>
      </c>
      <c r="C707" s="16" t="s">
        <v>301</v>
      </c>
      <c r="D707" s="16" t="s">
        <v>58</v>
      </c>
      <c r="E707" s="16" t="s">
        <v>143</v>
      </c>
      <c r="F707" s="16" t="s">
        <v>89</v>
      </c>
      <c r="G707" s="16" t="s">
        <v>12</v>
      </c>
      <c r="H707" s="16">
        <v>71</v>
      </c>
      <c r="I707" s="16">
        <v>869</v>
      </c>
      <c r="J707" s="16">
        <v>753</v>
      </c>
      <c r="K707" s="17">
        <f t="shared" si="44"/>
        <v>61699</v>
      </c>
      <c r="L707" s="17">
        <f t="shared" si="45"/>
        <v>53463</v>
      </c>
      <c r="M707" s="17">
        <f t="shared" si="46"/>
        <v>-8236</v>
      </c>
      <c r="N707" s="17" t="str">
        <f t="shared" si="47"/>
        <v>loss</v>
      </c>
    </row>
    <row r="708" spans="1:14" ht="15.6" thickTop="1" thickBot="1" x14ac:dyDescent="0.35">
      <c r="A708" s="15">
        <v>45447</v>
      </c>
      <c r="B708" s="15" t="s">
        <v>41</v>
      </c>
      <c r="C708" s="16" t="s">
        <v>302</v>
      </c>
      <c r="D708" s="16" t="s">
        <v>58</v>
      </c>
      <c r="E708" s="16" t="s">
        <v>143</v>
      </c>
      <c r="F708" s="16" t="s">
        <v>85</v>
      </c>
      <c r="G708" s="16" t="s">
        <v>12</v>
      </c>
      <c r="H708" s="16">
        <v>52</v>
      </c>
      <c r="I708" s="16">
        <v>550</v>
      </c>
      <c r="J708" s="16">
        <v>869</v>
      </c>
      <c r="K708" s="17">
        <f t="shared" si="44"/>
        <v>28600</v>
      </c>
      <c r="L708" s="17">
        <f t="shared" si="45"/>
        <v>45188</v>
      </c>
      <c r="M708" s="17">
        <f t="shared" si="46"/>
        <v>16588</v>
      </c>
      <c r="N708" s="17" t="str">
        <f t="shared" si="47"/>
        <v>profit</v>
      </c>
    </row>
    <row r="709" spans="1:14" ht="15.6" thickTop="1" thickBot="1" x14ac:dyDescent="0.35">
      <c r="A709" s="15">
        <v>45448</v>
      </c>
      <c r="B709" s="15" t="s">
        <v>41</v>
      </c>
      <c r="C709" s="16" t="s">
        <v>303</v>
      </c>
      <c r="D709" s="16" t="s">
        <v>58</v>
      </c>
      <c r="E709" s="16" t="s">
        <v>143</v>
      </c>
      <c r="F709" s="16" t="s">
        <v>64</v>
      </c>
      <c r="G709" s="16" t="s">
        <v>12</v>
      </c>
      <c r="H709" s="16">
        <v>77</v>
      </c>
      <c r="I709" s="16">
        <v>513</v>
      </c>
      <c r="J709" s="16">
        <v>871</v>
      </c>
      <c r="K709" s="17">
        <f t="shared" si="44"/>
        <v>39501</v>
      </c>
      <c r="L709" s="17">
        <f t="shared" si="45"/>
        <v>67067</v>
      </c>
      <c r="M709" s="17">
        <f t="shared" si="46"/>
        <v>27566</v>
      </c>
      <c r="N709" s="17" t="str">
        <f t="shared" si="47"/>
        <v>profit</v>
      </c>
    </row>
    <row r="710" spans="1:14" ht="15.6" thickTop="1" thickBot="1" x14ac:dyDescent="0.35">
      <c r="A710" s="15">
        <v>45449</v>
      </c>
      <c r="B710" s="15" t="s">
        <v>41</v>
      </c>
      <c r="C710" s="16" t="s">
        <v>304</v>
      </c>
      <c r="D710" s="16" t="s">
        <v>58</v>
      </c>
      <c r="E710" s="16" t="s">
        <v>143</v>
      </c>
      <c r="F710" s="16" t="s">
        <v>55</v>
      </c>
      <c r="G710" s="16" t="s">
        <v>8</v>
      </c>
      <c r="H710" s="16">
        <v>84</v>
      </c>
      <c r="I710" s="16">
        <v>739</v>
      </c>
      <c r="J710" s="16">
        <v>1161</v>
      </c>
      <c r="K710" s="17">
        <f t="shared" si="44"/>
        <v>62076</v>
      </c>
      <c r="L710" s="17">
        <f t="shared" si="45"/>
        <v>97524</v>
      </c>
      <c r="M710" s="17">
        <f t="shared" si="46"/>
        <v>35448</v>
      </c>
      <c r="N710" s="17" t="str">
        <f t="shared" si="47"/>
        <v>profit</v>
      </c>
    </row>
    <row r="711" spans="1:14" ht="15.6" thickTop="1" thickBot="1" x14ac:dyDescent="0.35">
      <c r="A711" s="15">
        <v>45450</v>
      </c>
      <c r="B711" s="15" t="s">
        <v>41</v>
      </c>
      <c r="C711" s="16" t="s">
        <v>305</v>
      </c>
      <c r="D711" s="16" t="s">
        <v>58</v>
      </c>
      <c r="E711" s="16" t="s">
        <v>143</v>
      </c>
      <c r="F711" s="16" t="s">
        <v>137</v>
      </c>
      <c r="G711" s="16" t="s">
        <v>8</v>
      </c>
      <c r="H711" s="16">
        <v>71</v>
      </c>
      <c r="I711" s="16">
        <v>923</v>
      </c>
      <c r="J711" s="16">
        <v>996</v>
      </c>
      <c r="K711" s="17">
        <f t="shared" si="44"/>
        <v>65533</v>
      </c>
      <c r="L711" s="17">
        <f t="shared" si="45"/>
        <v>70716</v>
      </c>
      <c r="M711" s="17">
        <f t="shared" si="46"/>
        <v>5183</v>
      </c>
      <c r="N711" s="17" t="str">
        <f t="shared" si="47"/>
        <v>profit</v>
      </c>
    </row>
    <row r="712" spans="1:14" ht="15.6" thickTop="1" thickBot="1" x14ac:dyDescent="0.35">
      <c r="A712" s="15">
        <v>45451</v>
      </c>
      <c r="B712" s="15" t="s">
        <v>41</v>
      </c>
      <c r="C712" s="16" t="s">
        <v>306</v>
      </c>
      <c r="D712" s="16" t="s">
        <v>58</v>
      </c>
      <c r="E712" s="16" t="s">
        <v>143</v>
      </c>
      <c r="F712" s="16" t="s">
        <v>69</v>
      </c>
      <c r="G712" s="16" t="s">
        <v>8</v>
      </c>
      <c r="H712" s="16">
        <v>59</v>
      </c>
      <c r="I712" s="16">
        <v>862</v>
      </c>
      <c r="J712" s="16">
        <v>1233</v>
      </c>
      <c r="K712" s="17">
        <f t="shared" si="44"/>
        <v>50858</v>
      </c>
      <c r="L712" s="17">
        <f t="shared" si="45"/>
        <v>72747</v>
      </c>
      <c r="M712" s="17">
        <f t="shared" si="46"/>
        <v>21889</v>
      </c>
      <c r="N712" s="17" t="str">
        <f t="shared" si="47"/>
        <v>profit</v>
      </c>
    </row>
    <row r="713" spans="1:14" ht="15.6" thickTop="1" thickBot="1" x14ac:dyDescent="0.35">
      <c r="A713" s="15">
        <v>45432</v>
      </c>
      <c r="B713" s="15" t="s">
        <v>121</v>
      </c>
      <c r="C713" s="16" t="s">
        <v>122</v>
      </c>
      <c r="D713" s="16" t="s">
        <v>58</v>
      </c>
      <c r="E713" s="16" t="s">
        <v>123</v>
      </c>
      <c r="F713" s="16" t="s">
        <v>60</v>
      </c>
      <c r="G713" s="16" t="s">
        <v>12</v>
      </c>
      <c r="H713" s="16">
        <v>90</v>
      </c>
      <c r="I713" s="16">
        <v>718</v>
      </c>
      <c r="J713" s="16">
        <v>1353</v>
      </c>
      <c r="K713" s="17">
        <f t="shared" si="44"/>
        <v>64620</v>
      </c>
      <c r="L713" s="17">
        <f t="shared" si="45"/>
        <v>121770</v>
      </c>
      <c r="M713" s="17">
        <f t="shared" si="46"/>
        <v>57150</v>
      </c>
      <c r="N713" s="17" t="str">
        <f t="shared" si="47"/>
        <v>profit</v>
      </c>
    </row>
    <row r="714" spans="1:14" ht="15.6" thickTop="1" thickBot="1" x14ac:dyDescent="0.35">
      <c r="A714" s="15">
        <v>45452</v>
      </c>
      <c r="B714" s="15" t="s">
        <v>41</v>
      </c>
      <c r="C714" s="16" t="s">
        <v>307</v>
      </c>
      <c r="D714" s="16" t="s">
        <v>58</v>
      </c>
      <c r="E714" s="16" t="s">
        <v>143</v>
      </c>
      <c r="F714" s="16" t="s">
        <v>176</v>
      </c>
      <c r="G714" s="16" t="s">
        <v>8</v>
      </c>
      <c r="H714" s="16">
        <v>77</v>
      </c>
      <c r="I714" s="16">
        <v>882</v>
      </c>
      <c r="J714" s="16">
        <v>914</v>
      </c>
      <c r="K714" s="17">
        <f t="shared" si="44"/>
        <v>67914</v>
      </c>
      <c r="L714" s="17">
        <f t="shared" si="45"/>
        <v>70378</v>
      </c>
      <c r="M714" s="17">
        <f t="shared" si="46"/>
        <v>2464</v>
      </c>
      <c r="N714" s="17" t="str">
        <f t="shared" si="47"/>
        <v>profit</v>
      </c>
    </row>
    <row r="715" spans="1:14" ht="15.6" thickTop="1" thickBot="1" x14ac:dyDescent="0.35">
      <c r="A715" s="15">
        <v>45453</v>
      </c>
      <c r="B715" s="15" t="s">
        <v>41</v>
      </c>
      <c r="C715" s="16" t="s">
        <v>308</v>
      </c>
      <c r="D715" s="16" t="s">
        <v>58</v>
      </c>
      <c r="E715" s="16" t="s">
        <v>143</v>
      </c>
      <c r="F715" s="16" t="s">
        <v>178</v>
      </c>
      <c r="G715" s="16" t="s">
        <v>8</v>
      </c>
      <c r="H715" s="16">
        <v>90</v>
      </c>
      <c r="I715" s="16">
        <v>862</v>
      </c>
      <c r="J715" s="16">
        <v>902</v>
      </c>
      <c r="K715" s="17">
        <f t="shared" si="44"/>
        <v>77580</v>
      </c>
      <c r="L715" s="17">
        <f t="shared" si="45"/>
        <v>81180</v>
      </c>
      <c r="M715" s="17">
        <f t="shared" si="46"/>
        <v>3600</v>
      </c>
      <c r="N715" s="17" t="str">
        <f t="shared" si="47"/>
        <v>profit</v>
      </c>
    </row>
    <row r="716" spans="1:14" ht="15.6" thickTop="1" thickBot="1" x14ac:dyDescent="0.35">
      <c r="A716" s="15">
        <v>45461</v>
      </c>
      <c r="B716" s="15" t="s">
        <v>41</v>
      </c>
      <c r="C716" s="16" t="s">
        <v>309</v>
      </c>
      <c r="D716" s="16" t="s">
        <v>58</v>
      </c>
      <c r="E716" s="16" t="s">
        <v>123</v>
      </c>
      <c r="F716" s="16" t="s">
        <v>51</v>
      </c>
      <c r="G716" s="16" t="s">
        <v>12</v>
      </c>
      <c r="H716" s="16">
        <v>73</v>
      </c>
      <c r="I716" s="16">
        <v>541</v>
      </c>
      <c r="J716" s="16">
        <v>1114</v>
      </c>
      <c r="K716" s="17">
        <f t="shared" si="44"/>
        <v>39493</v>
      </c>
      <c r="L716" s="17">
        <f t="shared" si="45"/>
        <v>81322</v>
      </c>
      <c r="M716" s="17">
        <f t="shared" si="46"/>
        <v>41829</v>
      </c>
      <c r="N716" s="17" t="str">
        <f t="shared" si="47"/>
        <v>profit</v>
      </c>
    </row>
    <row r="717" spans="1:14" ht="15.6" thickTop="1" thickBot="1" x14ac:dyDescent="0.35">
      <c r="A717" s="15">
        <v>45462</v>
      </c>
      <c r="B717" s="15" t="s">
        <v>41</v>
      </c>
      <c r="C717" s="16" t="s">
        <v>310</v>
      </c>
      <c r="D717" s="16" t="s">
        <v>58</v>
      </c>
      <c r="E717" s="16" t="s">
        <v>123</v>
      </c>
      <c r="F717" s="16" t="s">
        <v>100</v>
      </c>
      <c r="G717" s="16" t="s">
        <v>12</v>
      </c>
      <c r="H717" s="16">
        <v>94</v>
      </c>
      <c r="I717" s="16">
        <v>772</v>
      </c>
      <c r="J717" s="16">
        <v>1390</v>
      </c>
      <c r="K717" s="17">
        <f t="shared" si="44"/>
        <v>72568</v>
      </c>
      <c r="L717" s="17">
        <f t="shared" si="45"/>
        <v>130660</v>
      </c>
      <c r="M717" s="17">
        <f t="shared" si="46"/>
        <v>58092</v>
      </c>
      <c r="N717" s="17" t="str">
        <f t="shared" si="47"/>
        <v>profit</v>
      </c>
    </row>
    <row r="718" spans="1:14" ht="15.6" thickTop="1" thickBot="1" x14ac:dyDescent="0.35">
      <c r="A718" s="15">
        <v>45463</v>
      </c>
      <c r="B718" s="15" t="s">
        <v>41</v>
      </c>
      <c r="C718" s="16" t="s">
        <v>311</v>
      </c>
      <c r="D718" s="16" t="s">
        <v>58</v>
      </c>
      <c r="E718" s="16" t="s">
        <v>123</v>
      </c>
      <c r="F718" s="16" t="s">
        <v>7</v>
      </c>
      <c r="G718" s="16" t="s">
        <v>12</v>
      </c>
      <c r="H718" s="16">
        <v>66</v>
      </c>
      <c r="I718" s="16">
        <v>771</v>
      </c>
      <c r="J718" s="16">
        <v>1419</v>
      </c>
      <c r="K718" s="17">
        <f t="shared" si="44"/>
        <v>50886</v>
      </c>
      <c r="L718" s="17">
        <f t="shared" si="45"/>
        <v>93654</v>
      </c>
      <c r="M718" s="17">
        <f t="shared" si="46"/>
        <v>42768</v>
      </c>
      <c r="N718" s="17" t="str">
        <f t="shared" si="47"/>
        <v>profit</v>
      </c>
    </row>
    <row r="719" spans="1:14" ht="15.6" thickTop="1" thickBot="1" x14ac:dyDescent="0.35">
      <c r="A719" s="15">
        <v>45465</v>
      </c>
      <c r="B719" s="15" t="s">
        <v>41</v>
      </c>
      <c r="C719" s="16" t="s">
        <v>312</v>
      </c>
      <c r="D719" s="16" t="s">
        <v>58</v>
      </c>
      <c r="E719" s="16" t="s">
        <v>123</v>
      </c>
      <c r="F719" s="16" t="s">
        <v>51</v>
      </c>
      <c r="G719" s="16" t="s">
        <v>8</v>
      </c>
      <c r="H719" s="16">
        <v>65</v>
      </c>
      <c r="I719" s="16">
        <v>762</v>
      </c>
      <c r="J719" s="16">
        <v>1394</v>
      </c>
      <c r="K719" s="17">
        <f t="shared" si="44"/>
        <v>49530</v>
      </c>
      <c r="L719" s="17">
        <f t="shared" si="45"/>
        <v>90610</v>
      </c>
      <c r="M719" s="17">
        <f t="shared" si="46"/>
        <v>41080</v>
      </c>
      <c r="N719" s="17" t="str">
        <f t="shared" si="47"/>
        <v>profit</v>
      </c>
    </row>
    <row r="720" spans="1:14" ht="15.6" thickTop="1" thickBot="1" x14ac:dyDescent="0.35">
      <c r="A720" s="15">
        <v>45466</v>
      </c>
      <c r="B720" s="15" t="s">
        <v>41</v>
      </c>
      <c r="C720" s="16" t="s">
        <v>313</v>
      </c>
      <c r="D720" s="16" t="s">
        <v>58</v>
      </c>
      <c r="E720" s="16" t="s">
        <v>143</v>
      </c>
      <c r="F720" s="16" t="s">
        <v>89</v>
      </c>
      <c r="G720" s="16" t="s">
        <v>8</v>
      </c>
      <c r="H720" s="16">
        <v>78</v>
      </c>
      <c r="I720" s="16">
        <v>918</v>
      </c>
      <c r="J720" s="16">
        <v>1469</v>
      </c>
      <c r="K720" s="17">
        <f t="shared" si="44"/>
        <v>71604</v>
      </c>
      <c r="L720" s="17">
        <f t="shared" si="45"/>
        <v>114582</v>
      </c>
      <c r="M720" s="17">
        <f t="shared" si="46"/>
        <v>42978</v>
      </c>
      <c r="N720" s="17" t="str">
        <f t="shared" si="47"/>
        <v>profit</v>
      </c>
    </row>
    <row r="721" spans="1:14" ht="15.6" thickTop="1" thickBot="1" x14ac:dyDescent="0.35">
      <c r="A721" s="15">
        <v>45467</v>
      </c>
      <c r="B721" s="15" t="s">
        <v>41</v>
      </c>
      <c r="C721" s="16" t="s">
        <v>314</v>
      </c>
      <c r="D721" s="16" t="s">
        <v>58</v>
      </c>
      <c r="E721" s="16" t="s">
        <v>143</v>
      </c>
      <c r="F721" s="16" t="s">
        <v>100</v>
      </c>
      <c r="G721" s="16" t="s">
        <v>12</v>
      </c>
      <c r="H721" s="16">
        <v>76</v>
      </c>
      <c r="I721" s="16">
        <v>624</v>
      </c>
      <c r="J721" s="16">
        <v>899</v>
      </c>
      <c r="K721" s="17">
        <f t="shared" si="44"/>
        <v>47424</v>
      </c>
      <c r="L721" s="17">
        <f t="shared" si="45"/>
        <v>68324</v>
      </c>
      <c r="M721" s="17">
        <f t="shared" si="46"/>
        <v>20900</v>
      </c>
      <c r="N721" s="17" t="str">
        <f t="shared" si="47"/>
        <v>profit</v>
      </c>
    </row>
    <row r="722" spans="1:14" ht="15.6" thickTop="1" thickBot="1" x14ac:dyDescent="0.35">
      <c r="A722" s="15">
        <v>45441</v>
      </c>
      <c r="B722" s="15" t="s">
        <v>121</v>
      </c>
      <c r="C722" s="16" t="s">
        <v>132</v>
      </c>
      <c r="D722" s="16" t="s">
        <v>58</v>
      </c>
      <c r="E722" s="16" t="s">
        <v>123</v>
      </c>
      <c r="F722" s="16" t="s">
        <v>79</v>
      </c>
      <c r="G722" s="16" t="s">
        <v>12</v>
      </c>
      <c r="H722" s="16">
        <v>59</v>
      </c>
      <c r="I722" s="16">
        <v>716</v>
      </c>
      <c r="J722" s="16">
        <v>1257</v>
      </c>
      <c r="K722" s="17">
        <f t="shared" si="44"/>
        <v>42244</v>
      </c>
      <c r="L722" s="17">
        <f t="shared" si="45"/>
        <v>74163</v>
      </c>
      <c r="M722" s="17">
        <f t="shared" si="46"/>
        <v>31919</v>
      </c>
      <c r="N722" s="17" t="str">
        <f t="shared" si="47"/>
        <v>profit</v>
      </c>
    </row>
    <row r="723" spans="1:14" ht="15.6" thickTop="1" thickBot="1" x14ac:dyDescent="0.35">
      <c r="A723" s="15">
        <v>45468</v>
      </c>
      <c r="B723" s="15" t="s">
        <v>41</v>
      </c>
      <c r="C723" s="16" t="s">
        <v>315</v>
      </c>
      <c r="D723" s="16" t="s">
        <v>58</v>
      </c>
      <c r="E723" s="16" t="s">
        <v>143</v>
      </c>
      <c r="F723" s="16" t="s">
        <v>102</v>
      </c>
      <c r="G723" s="16" t="s">
        <v>12</v>
      </c>
      <c r="H723" s="16">
        <v>99</v>
      </c>
      <c r="I723" s="16">
        <v>598</v>
      </c>
      <c r="J723" s="16">
        <v>1404</v>
      </c>
      <c r="K723" s="17">
        <f t="shared" si="44"/>
        <v>59202</v>
      </c>
      <c r="L723" s="17">
        <f t="shared" si="45"/>
        <v>138996</v>
      </c>
      <c r="M723" s="17">
        <f t="shared" si="46"/>
        <v>79794</v>
      </c>
      <c r="N723" s="17" t="str">
        <f t="shared" si="47"/>
        <v>profit</v>
      </c>
    </row>
    <row r="724" spans="1:14" ht="15.6" thickTop="1" thickBot="1" x14ac:dyDescent="0.35">
      <c r="A724" s="15">
        <v>45469</v>
      </c>
      <c r="B724" s="15" t="s">
        <v>41</v>
      </c>
      <c r="C724" s="16" t="s">
        <v>316</v>
      </c>
      <c r="D724" s="16" t="s">
        <v>58</v>
      </c>
      <c r="E724" s="16" t="s">
        <v>143</v>
      </c>
      <c r="F724" s="16" t="s">
        <v>60</v>
      </c>
      <c r="G724" s="16" t="s">
        <v>12</v>
      </c>
      <c r="H724" s="16">
        <v>78</v>
      </c>
      <c r="I724" s="16">
        <v>761</v>
      </c>
      <c r="J724" s="16">
        <v>1174</v>
      </c>
      <c r="K724" s="17">
        <f t="shared" si="44"/>
        <v>59358</v>
      </c>
      <c r="L724" s="17">
        <f t="shared" si="45"/>
        <v>91572</v>
      </c>
      <c r="M724" s="17">
        <f t="shared" si="46"/>
        <v>32214</v>
      </c>
      <c r="N724" s="17" t="str">
        <f t="shared" si="47"/>
        <v>profit</v>
      </c>
    </row>
    <row r="725" spans="1:14" ht="15.6" thickTop="1" thickBot="1" x14ac:dyDescent="0.35">
      <c r="A725" s="15">
        <v>45470</v>
      </c>
      <c r="B725" s="15" t="s">
        <v>41</v>
      </c>
      <c r="C725" s="16" t="s">
        <v>317</v>
      </c>
      <c r="D725" s="16" t="s">
        <v>58</v>
      </c>
      <c r="E725" s="16" t="s">
        <v>143</v>
      </c>
      <c r="F725" s="16" t="s">
        <v>69</v>
      </c>
      <c r="G725" s="16" t="s">
        <v>12</v>
      </c>
      <c r="H725" s="16">
        <v>96</v>
      </c>
      <c r="I725" s="16">
        <v>512</v>
      </c>
      <c r="J725" s="16">
        <v>970</v>
      </c>
      <c r="K725" s="17">
        <f t="shared" si="44"/>
        <v>49152</v>
      </c>
      <c r="L725" s="17">
        <f t="shared" si="45"/>
        <v>93120</v>
      </c>
      <c r="M725" s="17">
        <f t="shared" si="46"/>
        <v>43968</v>
      </c>
      <c r="N725" s="17" t="str">
        <f t="shared" si="47"/>
        <v>profit</v>
      </c>
    </row>
    <row r="726" spans="1:14" ht="15.6" thickTop="1" thickBot="1" x14ac:dyDescent="0.35">
      <c r="A726" s="15">
        <v>45471</v>
      </c>
      <c r="B726" s="15" t="s">
        <v>41</v>
      </c>
      <c r="C726" s="16" t="s">
        <v>318</v>
      </c>
      <c r="D726" s="16" t="s">
        <v>58</v>
      </c>
      <c r="E726" s="16" t="s">
        <v>143</v>
      </c>
      <c r="F726" s="16" t="s">
        <v>85</v>
      </c>
      <c r="G726" s="16" t="s">
        <v>12</v>
      </c>
      <c r="H726" s="16">
        <v>85</v>
      </c>
      <c r="I726" s="16">
        <v>765</v>
      </c>
      <c r="J726" s="16">
        <v>1024</v>
      </c>
      <c r="K726" s="17">
        <f t="shared" si="44"/>
        <v>65025</v>
      </c>
      <c r="L726" s="17">
        <f t="shared" si="45"/>
        <v>87040</v>
      </c>
      <c r="M726" s="17">
        <f t="shared" si="46"/>
        <v>22015</v>
      </c>
      <c r="N726" s="17" t="str">
        <f t="shared" si="47"/>
        <v>profit</v>
      </c>
    </row>
    <row r="727" spans="1:14" ht="15.6" thickTop="1" thickBot="1" x14ac:dyDescent="0.35">
      <c r="A727" s="15">
        <v>45495</v>
      </c>
      <c r="B727" s="15" t="s">
        <v>65</v>
      </c>
      <c r="C727" s="16" t="s">
        <v>319</v>
      </c>
      <c r="D727" s="16" t="s">
        <v>58</v>
      </c>
      <c r="E727" s="16" t="s">
        <v>123</v>
      </c>
      <c r="F727" s="16" t="s">
        <v>47</v>
      </c>
      <c r="G727" s="16" t="s">
        <v>8</v>
      </c>
      <c r="H727" s="16">
        <v>59</v>
      </c>
      <c r="I727" s="16">
        <v>663</v>
      </c>
      <c r="J727" s="16">
        <v>872</v>
      </c>
      <c r="K727" s="17">
        <f t="shared" si="44"/>
        <v>39117</v>
      </c>
      <c r="L727" s="17">
        <f t="shared" si="45"/>
        <v>51448</v>
      </c>
      <c r="M727" s="17">
        <f t="shared" si="46"/>
        <v>12331</v>
      </c>
      <c r="N727" s="17" t="str">
        <f t="shared" si="47"/>
        <v>profit</v>
      </c>
    </row>
    <row r="728" spans="1:14" ht="15.6" thickTop="1" thickBot="1" x14ac:dyDescent="0.35">
      <c r="A728" s="15">
        <v>45496</v>
      </c>
      <c r="B728" s="15" t="s">
        <v>65</v>
      </c>
      <c r="C728" s="16" t="s">
        <v>320</v>
      </c>
      <c r="D728" s="16" t="s">
        <v>58</v>
      </c>
      <c r="E728" s="16" t="s">
        <v>123</v>
      </c>
      <c r="F728" s="16" t="s">
        <v>49</v>
      </c>
      <c r="G728" s="16" t="s">
        <v>8</v>
      </c>
      <c r="H728" s="16">
        <v>75</v>
      </c>
      <c r="I728" s="16">
        <v>871</v>
      </c>
      <c r="J728" s="16">
        <v>1274</v>
      </c>
      <c r="K728" s="17">
        <f t="shared" si="44"/>
        <v>65325</v>
      </c>
      <c r="L728" s="17">
        <f t="shared" si="45"/>
        <v>95550</v>
      </c>
      <c r="M728" s="17">
        <f t="shared" si="46"/>
        <v>30225</v>
      </c>
      <c r="N728" s="17" t="str">
        <f t="shared" si="47"/>
        <v>profit</v>
      </c>
    </row>
    <row r="729" spans="1:14" ht="15.6" thickTop="1" thickBot="1" x14ac:dyDescent="0.35">
      <c r="A729" s="15">
        <v>45497</v>
      </c>
      <c r="B729" s="15" t="s">
        <v>65</v>
      </c>
      <c r="C729" s="16" t="s">
        <v>321</v>
      </c>
      <c r="D729" s="16" t="s">
        <v>58</v>
      </c>
      <c r="E729" s="16" t="s">
        <v>123</v>
      </c>
      <c r="F729" s="16" t="s">
        <v>51</v>
      </c>
      <c r="G729" s="16" t="s">
        <v>8</v>
      </c>
      <c r="H729" s="16">
        <v>87</v>
      </c>
      <c r="I729" s="16">
        <v>869</v>
      </c>
      <c r="J729" s="16">
        <v>1247</v>
      </c>
      <c r="K729" s="17">
        <f t="shared" si="44"/>
        <v>75603</v>
      </c>
      <c r="L729" s="17">
        <f t="shared" si="45"/>
        <v>108489</v>
      </c>
      <c r="M729" s="17">
        <f t="shared" si="46"/>
        <v>32886</v>
      </c>
      <c r="N729" s="17" t="str">
        <f t="shared" si="47"/>
        <v>profit</v>
      </c>
    </row>
    <row r="730" spans="1:14" ht="15.6" thickTop="1" thickBot="1" x14ac:dyDescent="0.35">
      <c r="A730" s="15">
        <v>45498</v>
      </c>
      <c r="B730" s="15" t="s">
        <v>65</v>
      </c>
      <c r="C730" s="16" t="s">
        <v>322</v>
      </c>
      <c r="D730" s="16" t="s">
        <v>58</v>
      </c>
      <c r="E730" s="16" t="s">
        <v>123</v>
      </c>
      <c r="F730" s="16" t="s">
        <v>51</v>
      </c>
      <c r="G730" s="16" t="s">
        <v>8</v>
      </c>
      <c r="H730" s="16">
        <v>100</v>
      </c>
      <c r="I730" s="16">
        <v>605</v>
      </c>
      <c r="J730" s="16">
        <v>1249</v>
      </c>
      <c r="K730" s="17">
        <f t="shared" si="44"/>
        <v>60500</v>
      </c>
      <c r="L730" s="17">
        <f t="shared" si="45"/>
        <v>124900</v>
      </c>
      <c r="M730" s="17">
        <f t="shared" si="46"/>
        <v>64400</v>
      </c>
      <c r="N730" s="17" t="str">
        <f t="shared" si="47"/>
        <v>profit</v>
      </c>
    </row>
    <row r="731" spans="1:14" ht="15.6" thickTop="1" thickBot="1" x14ac:dyDescent="0.35">
      <c r="A731" s="15">
        <v>45499</v>
      </c>
      <c r="B731" s="15" t="s">
        <v>65</v>
      </c>
      <c r="C731" s="16" t="s">
        <v>323</v>
      </c>
      <c r="D731" s="16" t="s">
        <v>58</v>
      </c>
      <c r="E731" s="16" t="s">
        <v>123</v>
      </c>
      <c r="F731" s="16" t="s">
        <v>53</v>
      </c>
      <c r="G731" s="16" t="s">
        <v>8</v>
      </c>
      <c r="H731" s="16">
        <v>51</v>
      </c>
      <c r="I731" s="16">
        <v>798</v>
      </c>
      <c r="J731" s="16">
        <v>910</v>
      </c>
      <c r="K731" s="17">
        <f t="shared" si="44"/>
        <v>40698</v>
      </c>
      <c r="L731" s="17">
        <f t="shared" si="45"/>
        <v>46410</v>
      </c>
      <c r="M731" s="17">
        <f t="shared" si="46"/>
        <v>5712</v>
      </c>
      <c r="N731" s="17" t="str">
        <f t="shared" si="47"/>
        <v>profit</v>
      </c>
    </row>
    <row r="732" spans="1:14" ht="15.6" thickTop="1" thickBot="1" x14ac:dyDescent="0.35">
      <c r="A732" s="15">
        <v>45500</v>
      </c>
      <c r="B732" s="15" t="s">
        <v>65</v>
      </c>
      <c r="C732" s="16" t="s">
        <v>324</v>
      </c>
      <c r="D732" s="16" t="s">
        <v>58</v>
      </c>
      <c r="E732" s="16" t="s">
        <v>123</v>
      </c>
      <c r="F732" s="16" t="s">
        <v>55</v>
      </c>
      <c r="G732" s="16" t="s">
        <v>8</v>
      </c>
      <c r="H732" s="16">
        <v>52</v>
      </c>
      <c r="I732" s="16">
        <v>984</v>
      </c>
      <c r="J732" s="16">
        <v>992</v>
      </c>
      <c r="K732" s="17">
        <f t="shared" si="44"/>
        <v>51168</v>
      </c>
      <c r="L732" s="17">
        <f t="shared" si="45"/>
        <v>51584</v>
      </c>
      <c r="M732" s="17">
        <f t="shared" si="46"/>
        <v>416</v>
      </c>
      <c r="N732" s="17" t="str">
        <f t="shared" si="47"/>
        <v>profit</v>
      </c>
    </row>
    <row r="733" spans="1:14" ht="15.6" thickTop="1" thickBot="1" x14ac:dyDescent="0.35">
      <c r="A733" s="15">
        <v>45501</v>
      </c>
      <c r="B733" s="15" t="s">
        <v>65</v>
      </c>
      <c r="C733" s="16" t="s">
        <v>325</v>
      </c>
      <c r="D733" s="16" t="s">
        <v>58</v>
      </c>
      <c r="E733" s="16" t="s">
        <v>123</v>
      </c>
      <c r="F733" s="16" t="s">
        <v>51</v>
      </c>
      <c r="G733" s="16" t="s">
        <v>8</v>
      </c>
      <c r="H733" s="16">
        <v>97</v>
      </c>
      <c r="I733" s="16">
        <v>565</v>
      </c>
      <c r="J733" s="16">
        <v>995</v>
      </c>
      <c r="K733" s="17">
        <f t="shared" si="44"/>
        <v>54805</v>
      </c>
      <c r="L733" s="17">
        <f t="shared" si="45"/>
        <v>96515</v>
      </c>
      <c r="M733" s="17">
        <f t="shared" si="46"/>
        <v>41710</v>
      </c>
      <c r="N733" s="17" t="str">
        <f t="shared" si="47"/>
        <v>profit</v>
      </c>
    </row>
    <row r="734" spans="1:14" ht="15.6" thickTop="1" thickBot="1" x14ac:dyDescent="0.35">
      <c r="A734" s="15">
        <v>45502</v>
      </c>
      <c r="B734" s="15" t="s">
        <v>65</v>
      </c>
      <c r="C734" s="16" t="s">
        <v>326</v>
      </c>
      <c r="D734" s="16" t="s">
        <v>58</v>
      </c>
      <c r="E734" s="16" t="s">
        <v>123</v>
      </c>
      <c r="F734" s="16" t="s">
        <v>100</v>
      </c>
      <c r="G734" s="16" t="s">
        <v>8</v>
      </c>
      <c r="H734" s="16">
        <v>58</v>
      </c>
      <c r="I734" s="16">
        <v>799</v>
      </c>
      <c r="J734" s="16">
        <v>1273</v>
      </c>
      <c r="K734" s="17">
        <f t="shared" si="44"/>
        <v>46342</v>
      </c>
      <c r="L734" s="17">
        <f t="shared" si="45"/>
        <v>73834</v>
      </c>
      <c r="M734" s="17">
        <f t="shared" si="46"/>
        <v>27492</v>
      </c>
      <c r="N734" s="17" t="str">
        <f t="shared" si="47"/>
        <v>profit</v>
      </c>
    </row>
    <row r="735" spans="1:14" ht="15.6" thickTop="1" thickBot="1" x14ac:dyDescent="0.35">
      <c r="A735" s="15">
        <v>45503</v>
      </c>
      <c r="B735" s="15" t="s">
        <v>65</v>
      </c>
      <c r="C735" s="16" t="s">
        <v>327</v>
      </c>
      <c r="D735" s="16" t="s">
        <v>58</v>
      </c>
      <c r="E735" s="16" t="s">
        <v>123</v>
      </c>
      <c r="F735" s="16" t="s">
        <v>7</v>
      </c>
      <c r="G735" s="16" t="s">
        <v>12</v>
      </c>
      <c r="H735" s="16">
        <v>69</v>
      </c>
      <c r="I735" s="16">
        <v>524</v>
      </c>
      <c r="J735" s="16">
        <v>893</v>
      </c>
      <c r="K735" s="17">
        <f t="shared" si="44"/>
        <v>36156</v>
      </c>
      <c r="L735" s="17">
        <f t="shared" si="45"/>
        <v>61617</v>
      </c>
      <c r="M735" s="17">
        <f t="shared" si="46"/>
        <v>25461</v>
      </c>
      <c r="N735" s="17" t="str">
        <f t="shared" si="47"/>
        <v>profit</v>
      </c>
    </row>
    <row r="736" spans="1:14" ht="15.6" thickTop="1" thickBot="1" x14ac:dyDescent="0.35">
      <c r="A736" s="15">
        <v>45504</v>
      </c>
      <c r="B736" s="15" t="s">
        <v>65</v>
      </c>
      <c r="C736" s="16" t="s">
        <v>328</v>
      </c>
      <c r="D736" s="16" t="s">
        <v>58</v>
      </c>
      <c r="E736" s="16" t="s">
        <v>123</v>
      </c>
      <c r="F736" s="16" t="s">
        <v>69</v>
      </c>
      <c r="G736" s="16" t="s">
        <v>12</v>
      </c>
      <c r="H736" s="16">
        <v>81</v>
      </c>
      <c r="I736" s="16">
        <v>903</v>
      </c>
      <c r="J736" s="16">
        <v>1306</v>
      </c>
      <c r="K736" s="17">
        <f t="shared" si="44"/>
        <v>73143</v>
      </c>
      <c r="L736" s="17">
        <f t="shared" si="45"/>
        <v>105786</v>
      </c>
      <c r="M736" s="17">
        <f t="shared" si="46"/>
        <v>32643</v>
      </c>
      <c r="N736" s="17" t="str">
        <f t="shared" si="47"/>
        <v>profit</v>
      </c>
    </row>
    <row r="737" spans="1:14" ht="15.6" thickTop="1" thickBot="1" x14ac:dyDescent="0.35">
      <c r="A737" s="15">
        <v>45505</v>
      </c>
      <c r="B737" s="15" t="s">
        <v>82</v>
      </c>
      <c r="C737" s="16" t="s">
        <v>329</v>
      </c>
      <c r="D737" s="16" t="s">
        <v>58</v>
      </c>
      <c r="E737" s="16" t="s">
        <v>123</v>
      </c>
      <c r="F737" s="16" t="s">
        <v>51</v>
      </c>
      <c r="G737" s="16" t="s">
        <v>12</v>
      </c>
      <c r="H737" s="16">
        <v>89</v>
      </c>
      <c r="I737" s="16">
        <v>584</v>
      </c>
      <c r="J737" s="16">
        <v>777</v>
      </c>
      <c r="K737" s="17">
        <f t="shared" si="44"/>
        <v>51976</v>
      </c>
      <c r="L737" s="17">
        <f t="shared" si="45"/>
        <v>69153</v>
      </c>
      <c r="M737" s="17">
        <f t="shared" si="46"/>
        <v>17177</v>
      </c>
      <c r="N737" s="17" t="str">
        <f t="shared" si="47"/>
        <v>profit</v>
      </c>
    </row>
    <row r="738" spans="1:14" ht="15.6" thickTop="1" thickBot="1" x14ac:dyDescent="0.35">
      <c r="A738" s="15">
        <v>45506</v>
      </c>
      <c r="B738" s="15" t="s">
        <v>82</v>
      </c>
      <c r="C738" s="16" t="s">
        <v>330</v>
      </c>
      <c r="D738" s="16" t="s">
        <v>58</v>
      </c>
      <c r="E738" s="16" t="s">
        <v>123</v>
      </c>
      <c r="F738" s="16" t="s">
        <v>89</v>
      </c>
      <c r="G738" s="16" t="s">
        <v>12</v>
      </c>
      <c r="H738" s="16">
        <v>75</v>
      </c>
      <c r="I738" s="16">
        <v>906</v>
      </c>
      <c r="J738" s="16">
        <v>954</v>
      </c>
      <c r="K738" s="17">
        <f t="shared" si="44"/>
        <v>67950</v>
      </c>
      <c r="L738" s="17">
        <f t="shared" si="45"/>
        <v>71550</v>
      </c>
      <c r="M738" s="17">
        <f t="shared" si="46"/>
        <v>3600</v>
      </c>
      <c r="N738" s="17" t="str">
        <f t="shared" si="47"/>
        <v>profit</v>
      </c>
    </row>
    <row r="739" spans="1:14" ht="15.6" thickTop="1" thickBot="1" x14ac:dyDescent="0.35">
      <c r="A739" s="15">
        <v>45458</v>
      </c>
      <c r="B739" s="15" t="s">
        <v>41</v>
      </c>
      <c r="C739" s="16" t="s">
        <v>138</v>
      </c>
      <c r="D739" s="16" t="s">
        <v>43</v>
      </c>
      <c r="E739" s="16" t="s">
        <v>44</v>
      </c>
      <c r="F739" s="16" t="s">
        <v>51</v>
      </c>
      <c r="G739" s="16" t="s">
        <v>8</v>
      </c>
      <c r="H739" s="16">
        <v>17</v>
      </c>
      <c r="I739" s="16">
        <v>901</v>
      </c>
      <c r="J739" s="16">
        <v>1283</v>
      </c>
      <c r="K739" s="17">
        <f t="shared" si="44"/>
        <v>15317</v>
      </c>
      <c r="L739" s="17">
        <f t="shared" si="45"/>
        <v>21811</v>
      </c>
      <c r="M739" s="17">
        <f t="shared" si="46"/>
        <v>6494</v>
      </c>
      <c r="N739" s="17" t="str">
        <f t="shared" si="47"/>
        <v>profit</v>
      </c>
    </row>
    <row r="740" spans="1:14" ht="15.6" thickTop="1" thickBot="1" x14ac:dyDescent="0.35">
      <c r="A740" s="15">
        <v>45508</v>
      </c>
      <c r="B740" s="15" t="s">
        <v>82</v>
      </c>
      <c r="C740" s="16" t="s">
        <v>331</v>
      </c>
      <c r="D740" s="16" t="s">
        <v>58</v>
      </c>
      <c r="E740" s="16" t="s">
        <v>143</v>
      </c>
      <c r="F740" s="16" t="s">
        <v>102</v>
      </c>
      <c r="G740" s="16" t="s">
        <v>8</v>
      </c>
      <c r="H740" s="16">
        <v>98</v>
      </c>
      <c r="I740" s="16">
        <v>925</v>
      </c>
      <c r="J740" s="16">
        <v>904</v>
      </c>
      <c r="K740" s="17">
        <f t="shared" si="44"/>
        <v>90650</v>
      </c>
      <c r="L740" s="17">
        <f t="shared" si="45"/>
        <v>88592</v>
      </c>
      <c r="M740" s="17">
        <f t="shared" si="46"/>
        <v>-2058</v>
      </c>
      <c r="N740" s="17" t="str">
        <f t="shared" si="47"/>
        <v>loss</v>
      </c>
    </row>
    <row r="741" spans="1:14" ht="15.6" thickTop="1" thickBot="1" x14ac:dyDescent="0.35">
      <c r="A741" s="15">
        <v>45509</v>
      </c>
      <c r="B741" s="15" t="s">
        <v>82</v>
      </c>
      <c r="C741" s="16" t="s">
        <v>332</v>
      </c>
      <c r="D741" s="16" t="s">
        <v>58</v>
      </c>
      <c r="E741" s="16" t="s">
        <v>143</v>
      </c>
      <c r="F741" s="16" t="s">
        <v>60</v>
      </c>
      <c r="G741" s="16" t="s">
        <v>8</v>
      </c>
      <c r="H741" s="16">
        <v>73</v>
      </c>
      <c r="I741" s="16">
        <v>508</v>
      </c>
      <c r="J741" s="16">
        <v>1324</v>
      </c>
      <c r="K741" s="17">
        <f t="shared" si="44"/>
        <v>37084</v>
      </c>
      <c r="L741" s="17">
        <f t="shared" si="45"/>
        <v>96652</v>
      </c>
      <c r="M741" s="17">
        <f t="shared" si="46"/>
        <v>59568</v>
      </c>
      <c r="N741" s="17" t="str">
        <f t="shared" si="47"/>
        <v>profit</v>
      </c>
    </row>
    <row r="742" spans="1:14" ht="15.6" thickTop="1" thickBot="1" x14ac:dyDescent="0.35">
      <c r="A742" s="15">
        <v>45528</v>
      </c>
      <c r="B742" s="15" t="s">
        <v>82</v>
      </c>
      <c r="C742" s="16" t="s">
        <v>333</v>
      </c>
      <c r="D742" s="16" t="s">
        <v>58</v>
      </c>
      <c r="E742" s="16" t="s">
        <v>123</v>
      </c>
      <c r="F742" s="16" t="s">
        <v>64</v>
      </c>
      <c r="G742" s="16" t="s">
        <v>8</v>
      </c>
      <c r="H742" s="16">
        <v>87</v>
      </c>
      <c r="I742" s="16">
        <v>876</v>
      </c>
      <c r="J742" s="16">
        <v>880</v>
      </c>
      <c r="K742" s="17">
        <f t="shared" si="44"/>
        <v>76212</v>
      </c>
      <c r="L742" s="17">
        <f t="shared" si="45"/>
        <v>76560</v>
      </c>
      <c r="M742" s="17">
        <f t="shared" si="46"/>
        <v>348</v>
      </c>
      <c r="N742" s="17" t="str">
        <f t="shared" si="47"/>
        <v>profit</v>
      </c>
    </row>
    <row r="743" spans="1:14" ht="15.6" thickTop="1" thickBot="1" x14ac:dyDescent="0.35">
      <c r="A743" s="15">
        <v>45529</v>
      </c>
      <c r="B743" s="15" t="s">
        <v>82</v>
      </c>
      <c r="C743" s="16" t="s">
        <v>334</v>
      </c>
      <c r="D743" s="16" t="s">
        <v>58</v>
      </c>
      <c r="E743" s="16" t="s">
        <v>123</v>
      </c>
      <c r="F743" s="16" t="s">
        <v>55</v>
      </c>
      <c r="G743" s="16" t="s">
        <v>8</v>
      </c>
      <c r="H743" s="16">
        <v>69</v>
      </c>
      <c r="I743" s="16">
        <v>993</v>
      </c>
      <c r="J743" s="16">
        <v>862</v>
      </c>
      <c r="K743" s="17">
        <f t="shared" si="44"/>
        <v>68517</v>
      </c>
      <c r="L743" s="17">
        <f t="shared" si="45"/>
        <v>59478</v>
      </c>
      <c r="M743" s="17">
        <f t="shared" si="46"/>
        <v>-9039</v>
      </c>
      <c r="N743" s="17" t="str">
        <f t="shared" si="47"/>
        <v>loss</v>
      </c>
    </row>
    <row r="744" spans="1:14" ht="15.6" thickTop="1" thickBot="1" x14ac:dyDescent="0.35">
      <c r="A744" s="15">
        <v>45530</v>
      </c>
      <c r="B744" s="15" t="s">
        <v>82</v>
      </c>
      <c r="C744" s="16" t="s">
        <v>335</v>
      </c>
      <c r="D744" s="16" t="s">
        <v>58</v>
      </c>
      <c r="E744" s="16" t="s">
        <v>123</v>
      </c>
      <c r="F744" s="16" t="s">
        <v>137</v>
      </c>
      <c r="G744" s="16" t="s">
        <v>8</v>
      </c>
      <c r="H744" s="16">
        <v>62</v>
      </c>
      <c r="I744" s="16">
        <v>781</v>
      </c>
      <c r="J744" s="16">
        <v>946</v>
      </c>
      <c r="K744" s="17">
        <f t="shared" si="44"/>
        <v>48422</v>
      </c>
      <c r="L744" s="17">
        <f t="shared" si="45"/>
        <v>58652</v>
      </c>
      <c r="M744" s="17">
        <f t="shared" si="46"/>
        <v>10230</v>
      </c>
      <c r="N744" s="17" t="str">
        <f t="shared" si="47"/>
        <v>profit</v>
      </c>
    </row>
    <row r="745" spans="1:14" ht="15.6" thickTop="1" thickBot="1" x14ac:dyDescent="0.35">
      <c r="A745" s="15">
        <v>45464</v>
      </c>
      <c r="B745" s="15" t="s">
        <v>41</v>
      </c>
      <c r="C745" s="16" t="s">
        <v>139</v>
      </c>
      <c r="D745" s="16" t="s">
        <v>58</v>
      </c>
      <c r="E745" s="16" t="s">
        <v>123</v>
      </c>
      <c r="F745" s="16" t="s">
        <v>69</v>
      </c>
      <c r="G745" s="16" t="s">
        <v>8</v>
      </c>
      <c r="H745" s="16">
        <v>83</v>
      </c>
      <c r="I745" s="16">
        <v>889</v>
      </c>
      <c r="J745" s="16">
        <v>1075</v>
      </c>
      <c r="K745" s="17">
        <f t="shared" si="44"/>
        <v>73787</v>
      </c>
      <c r="L745" s="17">
        <f t="shared" si="45"/>
        <v>89225</v>
      </c>
      <c r="M745" s="17">
        <f t="shared" si="46"/>
        <v>15438</v>
      </c>
      <c r="N745" s="17" t="str">
        <f t="shared" si="47"/>
        <v>profit</v>
      </c>
    </row>
    <row r="746" spans="1:14" ht="15.6" thickTop="1" thickBot="1" x14ac:dyDescent="0.35">
      <c r="A746" s="15">
        <v>45531</v>
      </c>
      <c r="B746" s="15" t="s">
        <v>82</v>
      </c>
      <c r="C746" s="16" t="s">
        <v>336</v>
      </c>
      <c r="D746" s="16" t="s">
        <v>58</v>
      </c>
      <c r="E746" s="16" t="s">
        <v>123</v>
      </c>
      <c r="F746" s="16" t="s">
        <v>69</v>
      </c>
      <c r="G746" s="16" t="s">
        <v>8</v>
      </c>
      <c r="H746" s="16">
        <v>63</v>
      </c>
      <c r="I746" s="16">
        <v>718</v>
      </c>
      <c r="J746" s="16">
        <v>1047</v>
      </c>
      <c r="K746" s="17">
        <f t="shared" si="44"/>
        <v>45234</v>
      </c>
      <c r="L746" s="17">
        <f t="shared" si="45"/>
        <v>65961</v>
      </c>
      <c r="M746" s="17">
        <f t="shared" si="46"/>
        <v>20727</v>
      </c>
      <c r="N746" s="17" t="str">
        <f t="shared" si="47"/>
        <v>profit</v>
      </c>
    </row>
    <row r="747" spans="1:14" ht="15.6" thickTop="1" thickBot="1" x14ac:dyDescent="0.35">
      <c r="A747" s="15">
        <v>45532</v>
      </c>
      <c r="B747" s="15" t="s">
        <v>82</v>
      </c>
      <c r="C747" s="16" t="s">
        <v>337</v>
      </c>
      <c r="D747" s="16" t="s">
        <v>58</v>
      </c>
      <c r="E747" s="16" t="s">
        <v>123</v>
      </c>
      <c r="F747" s="16" t="s">
        <v>176</v>
      </c>
      <c r="G747" s="16" t="s">
        <v>8</v>
      </c>
      <c r="H747" s="16">
        <v>72</v>
      </c>
      <c r="I747" s="16">
        <v>673</v>
      </c>
      <c r="J747" s="16">
        <v>1027</v>
      </c>
      <c r="K747" s="17">
        <f t="shared" si="44"/>
        <v>48456</v>
      </c>
      <c r="L747" s="17">
        <f t="shared" si="45"/>
        <v>73944</v>
      </c>
      <c r="M747" s="17">
        <f t="shared" si="46"/>
        <v>25488</v>
      </c>
      <c r="N747" s="17" t="str">
        <f t="shared" si="47"/>
        <v>profit</v>
      </c>
    </row>
    <row r="748" spans="1:14" ht="15.6" thickTop="1" thickBot="1" x14ac:dyDescent="0.35">
      <c r="A748" s="15">
        <v>45533</v>
      </c>
      <c r="B748" s="15" t="s">
        <v>82</v>
      </c>
      <c r="C748" s="16" t="s">
        <v>338</v>
      </c>
      <c r="D748" s="16" t="s">
        <v>58</v>
      </c>
      <c r="E748" s="16" t="s">
        <v>123</v>
      </c>
      <c r="F748" s="16" t="s">
        <v>178</v>
      </c>
      <c r="G748" s="16" t="s">
        <v>8</v>
      </c>
      <c r="H748" s="16">
        <v>76</v>
      </c>
      <c r="I748" s="16">
        <v>567</v>
      </c>
      <c r="J748" s="16">
        <v>897</v>
      </c>
      <c r="K748" s="17">
        <f t="shared" si="44"/>
        <v>43092</v>
      </c>
      <c r="L748" s="17">
        <f t="shared" si="45"/>
        <v>68172</v>
      </c>
      <c r="M748" s="17">
        <f t="shared" si="46"/>
        <v>25080</v>
      </c>
      <c r="N748" s="17" t="str">
        <f t="shared" si="47"/>
        <v>profit</v>
      </c>
    </row>
    <row r="749" spans="1:14" ht="15.6" thickTop="1" thickBot="1" x14ac:dyDescent="0.35">
      <c r="A749" s="15">
        <v>45534</v>
      </c>
      <c r="B749" s="15" t="s">
        <v>82</v>
      </c>
      <c r="C749" s="16" t="s">
        <v>339</v>
      </c>
      <c r="D749" s="16" t="s">
        <v>58</v>
      </c>
      <c r="E749" s="16" t="s">
        <v>123</v>
      </c>
      <c r="F749" s="16" t="s">
        <v>45</v>
      </c>
      <c r="G749" s="16" t="s">
        <v>12</v>
      </c>
      <c r="H749" s="16">
        <v>70</v>
      </c>
      <c r="I749" s="16">
        <v>751</v>
      </c>
      <c r="J749" s="16">
        <v>1026</v>
      </c>
      <c r="K749" s="17">
        <f t="shared" si="44"/>
        <v>52570</v>
      </c>
      <c r="L749" s="17">
        <f t="shared" si="45"/>
        <v>71820</v>
      </c>
      <c r="M749" s="17">
        <f t="shared" si="46"/>
        <v>19250</v>
      </c>
      <c r="N749" s="17" t="str">
        <f t="shared" si="47"/>
        <v>profit</v>
      </c>
    </row>
    <row r="750" spans="1:14" ht="15.6" thickTop="1" thickBot="1" x14ac:dyDescent="0.35">
      <c r="A750" s="15">
        <v>45536</v>
      </c>
      <c r="B750" s="15" t="s">
        <v>94</v>
      </c>
      <c r="C750" s="16" t="s">
        <v>340</v>
      </c>
      <c r="D750" s="16" t="s">
        <v>58</v>
      </c>
      <c r="E750" s="16" t="s">
        <v>123</v>
      </c>
      <c r="F750" s="16" t="s">
        <v>49</v>
      </c>
      <c r="G750" s="16" t="s">
        <v>12</v>
      </c>
      <c r="H750" s="16">
        <v>56</v>
      </c>
      <c r="I750" s="16">
        <v>559</v>
      </c>
      <c r="J750" s="16">
        <v>1151</v>
      </c>
      <c r="K750" s="17">
        <f t="shared" si="44"/>
        <v>31304</v>
      </c>
      <c r="L750" s="17">
        <f t="shared" si="45"/>
        <v>64456</v>
      </c>
      <c r="M750" s="17">
        <f t="shared" si="46"/>
        <v>33152</v>
      </c>
      <c r="N750" s="17" t="str">
        <f t="shared" si="47"/>
        <v>profit</v>
      </c>
    </row>
    <row r="751" spans="1:14" ht="15.6" thickTop="1" thickBot="1" x14ac:dyDescent="0.35">
      <c r="A751" s="15">
        <v>45537</v>
      </c>
      <c r="B751" s="15" t="s">
        <v>94</v>
      </c>
      <c r="C751" s="16" t="s">
        <v>341</v>
      </c>
      <c r="D751" s="16" t="s">
        <v>58</v>
      </c>
      <c r="E751" s="16" t="s">
        <v>143</v>
      </c>
      <c r="F751" s="16" t="s">
        <v>51</v>
      </c>
      <c r="G751" s="16" t="s">
        <v>12</v>
      </c>
      <c r="H751" s="16">
        <v>72</v>
      </c>
      <c r="I751" s="16">
        <v>719</v>
      </c>
      <c r="J751" s="16">
        <v>911</v>
      </c>
      <c r="K751" s="17">
        <f t="shared" si="44"/>
        <v>51768</v>
      </c>
      <c r="L751" s="17">
        <f t="shared" si="45"/>
        <v>65592</v>
      </c>
      <c r="M751" s="17">
        <f t="shared" si="46"/>
        <v>13824</v>
      </c>
      <c r="N751" s="17" t="str">
        <f t="shared" si="47"/>
        <v>profit</v>
      </c>
    </row>
    <row r="752" spans="1:14" ht="15.6" thickTop="1" thickBot="1" x14ac:dyDescent="0.35">
      <c r="A752" s="15">
        <v>45538</v>
      </c>
      <c r="B752" s="15" t="s">
        <v>94</v>
      </c>
      <c r="C752" s="16" t="s">
        <v>342</v>
      </c>
      <c r="D752" s="16" t="s">
        <v>58</v>
      </c>
      <c r="E752" s="16" t="s">
        <v>143</v>
      </c>
      <c r="F752" s="16" t="s">
        <v>51</v>
      </c>
      <c r="G752" s="16" t="s">
        <v>12</v>
      </c>
      <c r="H752" s="16">
        <v>89</v>
      </c>
      <c r="I752" s="16">
        <v>703</v>
      </c>
      <c r="J752" s="16">
        <v>795</v>
      </c>
      <c r="K752" s="17">
        <f t="shared" si="44"/>
        <v>62567</v>
      </c>
      <c r="L752" s="17">
        <f t="shared" si="45"/>
        <v>70755</v>
      </c>
      <c r="M752" s="17">
        <f t="shared" si="46"/>
        <v>8188</v>
      </c>
      <c r="N752" s="17" t="str">
        <f t="shared" si="47"/>
        <v>profit</v>
      </c>
    </row>
    <row r="753" spans="1:14" ht="15.6" thickTop="1" thickBot="1" x14ac:dyDescent="0.35">
      <c r="A753" s="15">
        <v>45539</v>
      </c>
      <c r="B753" s="15" t="s">
        <v>94</v>
      </c>
      <c r="C753" s="16" t="s">
        <v>343</v>
      </c>
      <c r="D753" s="16" t="s">
        <v>58</v>
      </c>
      <c r="E753" s="16" t="s">
        <v>143</v>
      </c>
      <c r="F753" s="16" t="s">
        <v>53</v>
      </c>
      <c r="G753" s="16" t="s">
        <v>8</v>
      </c>
      <c r="H753" s="16">
        <v>77</v>
      </c>
      <c r="I753" s="16">
        <v>780</v>
      </c>
      <c r="J753" s="16">
        <v>967</v>
      </c>
      <c r="K753" s="17">
        <f t="shared" si="44"/>
        <v>60060</v>
      </c>
      <c r="L753" s="17">
        <f t="shared" si="45"/>
        <v>74459</v>
      </c>
      <c r="M753" s="17">
        <f t="shared" si="46"/>
        <v>14399</v>
      </c>
      <c r="N753" s="17" t="str">
        <f t="shared" si="47"/>
        <v>profit</v>
      </c>
    </row>
    <row r="754" spans="1:14" ht="15.6" thickTop="1" thickBot="1" x14ac:dyDescent="0.35">
      <c r="A754" s="15">
        <v>45541</v>
      </c>
      <c r="B754" s="15" t="s">
        <v>94</v>
      </c>
      <c r="C754" s="16" t="s">
        <v>344</v>
      </c>
      <c r="D754" s="16" t="s">
        <v>58</v>
      </c>
      <c r="E754" s="16" t="s">
        <v>143</v>
      </c>
      <c r="F754" s="16" t="s">
        <v>51</v>
      </c>
      <c r="G754" s="16" t="s">
        <v>8</v>
      </c>
      <c r="H754" s="16">
        <v>54</v>
      </c>
      <c r="I754" s="16">
        <v>762</v>
      </c>
      <c r="J754" s="16">
        <v>1186</v>
      </c>
      <c r="K754" s="17">
        <f t="shared" si="44"/>
        <v>41148</v>
      </c>
      <c r="L754" s="17">
        <f t="shared" si="45"/>
        <v>64044</v>
      </c>
      <c r="M754" s="17">
        <f t="shared" si="46"/>
        <v>22896</v>
      </c>
      <c r="N754" s="17" t="str">
        <f t="shared" si="47"/>
        <v>profit</v>
      </c>
    </row>
    <row r="755" spans="1:14" ht="15.6" thickTop="1" thickBot="1" x14ac:dyDescent="0.35">
      <c r="A755" s="15">
        <v>45542</v>
      </c>
      <c r="B755" s="15" t="s">
        <v>94</v>
      </c>
      <c r="C755" s="16" t="s">
        <v>345</v>
      </c>
      <c r="D755" s="16" t="s">
        <v>58</v>
      </c>
      <c r="E755" s="16" t="s">
        <v>143</v>
      </c>
      <c r="F755" s="16" t="s">
        <v>100</v>
      </c>
      <c r="G755" s="16" t="s">
        <v>12</v>
      </c>
      <c r="H755" s="16">
        <v>91</v>
      </c>
      <c r="I755" s="16">
        <v>647</v>
      </c>
      <c r="J755" s="16">
        <v>1073</v>
      </c>
      <c r="K755" s="17">
        <f t="shared" si="44"/>
        <v>58877</v>
      </c>
      <c r="L755" s="17">
        <f t="shared" si="45"/>
        <v>97643</v>
      </c>
      <c r="M755" s="17">
        <f t="shared" si="46"/>
        <v>38766</v>
      </c>
      <c r="N755" s="17" t="str">
        <f t="shared" si="47"/>
        <v>profit</v>
      </c>
    </row>
    <row r="756" spans="1:14" ht="15.6" thickTop="1" thickBot="1" x14ac:dyDescent="0.35">
      <c r="A756" s="15">
        <v>45475</v>
      </c>
      <c r="B756" s="15" t="s">
        <v>65</v>
      </c>
      <c r="C756" s="16" t="s">
        <v>140</v>
      </c>
      <c r="D756" s="16" t="s">
        <v>43</v>
      </c>
      <c r="E756" s="16" t="s">
        <v>62</v>
      </c>
      <c r="F756" s="16" t="s">
        <v>69</v>
      </c>
      <c r="G756" s="16" t="s">
        <v>8</v>
      </c>
      <c r="H756" s="16">
        <v>14</v>
      </c>
      <c r="I756" s="16">
        <v>684</v>
      </c>
      <c r="J756" s="16">
        <v>1483</v>
      </c>
      <c r="K756" s="17">
        <f t="shared" si="44"/>
        <v>9576</v>
      </c>
      <c r="L756" s="17">
        <f t="shared" si="45"/>
        <v>20762</v>
      </c>
      <c r="M756" s="17">
        <f t="shared" si="46"/>
        <v>11186</v>
      </c>
      <c r="N756" s="17" t="str">
        <f t="shared" si="47"/>
        <v>profit</v>
      </c>
    </row>
    <row r="757" spans="1:14" ht="15.6" thickTop="1" thickBot="1" x14ac:dyDescent="0.35">
      <c r="A757" s="15">
        <v>45555</v>
      </c>
      <c r="B757" s="15" t="s">
        <v>94</v>
      </c>
      <c r="C757" s="16" t="s">
        <v>346</v>
      </c>
      <c r="D757" s="16" t="s">
        <v>58</v>
      </c>
      <c r="E757" s="16" t="s">
        <v>143</v>
      </c>
      <c r="F757" s="16" t="s">
        <v>69</v>
      </c>
      <c r="G757" s="16" t="s">
        <v>12</v>
      </c>
      <c r="H757" s="16">
        <v>63</v>
      </c>
      <c r="I757" s="16">
        <v>720</v>
      </c>
      <c r="J757" s="16">
        <v>1458</v>
      </c>
      <c r="K757" s="17">
        <f t="shared" si="44"/>
        <v>45360</v>
      </c>
      <c r="L757" s="17">
        <f t="shared" si="45"/>
        <v>91854</v>
      </c>
      <c r="M757" s="17">
        <f t="shared" si="46"/>
        <v>46494</v>
      </c>
      <c r="N757" s="17" t="str">
        <f t="shared" si="47"/>
        <v>profit</v>
      </c>
    </row>
    <row r="758" spans="1:14" ht="15.6" thickTop="1" thickBot="1" x14ac:dyDescent="0.35">
      <c r="A758" s="15">
        <v>45556</v>
      </c>
      <c r="B758" s="15" t="s">
        <v>94</v>
      </c>
      <c r="C758" s="16" t="s">
        <v>347</v>
      </c>
      <c r="D758" s="16" t="s">
        <v>58</v>
      </c>
      <c r="E758" s="16" t="s">
        <v>143</v>
      </c>
      <c r="F758" s="16" t="s">
        <v>53</v>
      </c>
      <c r="G758" s="16" t="s">
        <v>12</v>
      </c>
      <c r="H758" s="16">
        <v>66</v>
      </c>
      <c r="I758" s="16">
        <v>958</v>
      </c>
      <c r="J758" s="16">
        <v>1017</v>
      </c>
      <c r="K758" s="17">
        <f t="shared" si="44"/>
        <v>63228</v>
      </c>
      <c r="L758" s="17">
        <f t="shared" si="45"/>
        <v>67122</v>
      </c>
      <c r="M758" s="17">
        <f t="shared" si="46"/>
        <v>3894</v>
      </c>
      <c r="N758" s="17" t="str">
        <f t="shared" si="47"/>
        <v>profit</v>
      </c>
    </row>
    <row r="759" spans="1:14" ht="15.6" thickTop="1" thickBot="1" x14ac:dyDescent="0.35">
      <c r="A759" s="15">
        <v>45557</v>
      </c>
      <c r="B759" s="15" t="s">
        <v>94</v>
      </c>
      <c r="C759" s="16" t="s">
        <v>348</v>
      </c>
      <c r="D759" s="16" t="s">
        <v>58</v>
      </c>
      <c r="E759" s="16" t="s">
        <v>143</v>
      </c>
      <c r="F759" s="16" t="s">
        <v>69</v>
      </c>
      <c r="G759" s="16" t="s">
        <v>12</v>
      </c>
      <c r="H759" s="16">
        <v>54</v>
      </c>
      <c r="I759" s="16">
        <v>663</v>
      </c>
      <c r="J759" s="16">
        <v>943</v>
      </c>
      <c r="K759" s="17">
        <f t="shared" si="44"/>
        <v>35802</v>
      </c>
      <c r="L759" s="17">
        <f t="shared" si="45"/>
        <v>50922</v>
      </c>
      <c r="M759" s="17">
        <f t="shared" si="46"/>
        <v>15120</v>
      </c>
      <c r="N759" s="17" t="str">
        <f t="shared" si="47"/>
        <v>profit</v>
      </c>
    </row>
    <row r="760" spans="1:14" ht="15.6" thickTop="1" thickBot="1" x14ac:dyDescent="0.35">
      <c r="A760" s="15">
        <v>45558</v>
      </c>
      <c r="B760" s="15" t="s">
        <v>94</v>
      </c>
      <c r="C760" s="16" t="s">
        <v>349</v>
      </c>
      <c r="D760" s="16" t="s">
        <v>58</v>
      </c>
      <c r="E760" s="16" t="s">
        <v>143</v>
      </c>
      <c r="F760" s="16" t="s">
        <v>74</v>
      </c>
      <c r="G760" s="16" t="s">
        <v>8</v>
      </c>
      <c r="H760" s="16">
        <v>73</v>
      </c>
      <c r="I760" s="16">
        <v>540</v>
      </c>
      <c r="J760" s="16">
        <v>1397</v>
      </c>
      <c r="K760" s="17">
        <f t="shared" si="44"/>
        <v>39420</v>
      </c>
      <c r="L760" s="17">
        <f t="shared" si="45"/>
        <v>101981</v>
      </c>
      <c r="M760" s="17">
        <f t="shared" si="46"/>
        <v>62561</v>
      </c>
      <c r="N760" s="17" t="str">
        <f t="shared" si="47"/>
        <v>profit</v>
      </c>
    </row>
    <row r="761" spans="1:14" ht="15.6" thickTop="1" thickBot="1" x14ac:dyDescent="0.35">
      <c r="A761" s="15">
        <v>45559</v>
      </c>
      <c r="B761" s="15" t="s">
        <v>94</v>
      </c>
      <c r="C761" s="16" t="s">
        <v>350</v>
      </c>
      <c r="D761" s="16" t="s">
        <v>58</v>
      </c>
      <c r="E761" s="16" t="s">
        <v>143</v>
      </c>
      <c r="F761" s="16" t="s">
        <v>53</v>
      </c>
      <c r="G761" s="16" t="s">
        <v>12</v>
      </c>
      <c r="H761" s="16">
        <v>76</v>
      </c>
      <c r="I761" s="16">
        <v>744</v>
      </c>
      <c r="J761" s="16">
        <v>1145</v>
      </c>
      <c r="K761" s="17">
        <f t="shared" si="44"/>
        <v>56544</v>
      </c>
      <c r="L761" s="17">
        <f t="shared" si="45"/>
        <v>87020</v>
      </c>
      <c r="M761" s="17">
        <f t="shared" si="46"/>
        <v>30476</v>
      </c>
      <c r="N761" s="17" t="str">
        <f t="shared" si="47"/>
        <v>profit</v>
      </c>
    </row>
    <row r="762" spans="1:14" ht="15.6" thickTop="1" thickBot="1" x14ac:dyDescent="0.35">
      <c r="A762" s="15">
        <v>45560</v>
      </c>
      <c r="B762" s="15" t="s">
        <v>94</v>
      </c>
      <c r="C762" s="16" t="s">
        <v>351</v>
      </c>
      <c r="D762" s="16" t="s">
        <v>58</v>
      </c>
      <c r="E762" s="16" t="s">
        <v>143</v>
      </c>
      <c r="F762" s="16" t="s">
        <v>77</v>
      </c>
      <c r="G762" s="16" t="s">
        <v>12</v>
      </c>
      <c r="H762" s="16">
        <v>94</v>
      </c>
      <c r="I762" s="16">
        <v>874</v>
      </c>
      <c r="J762" s="16">
        <v>895</v>
      </c>
      <c r="K762" s="17">
        <f t="shared" si="44"/>
        <v>82156</v>
      </c>
      <c r="L762" s="17">
        <f t="shared" si="45"/>
        <v>84130</v>
      </c>
      <c r="M762" s="17">
        <f t="shared" si="46"/>
        <v>1974</v>
      </c>
      <c r="N762" s="17" t="str">
        <f t="shared" si="47"/>
        <v>profit</v>
      </c>
    </row>
    <row r="763" spans="1:14" ht="15.6" thickTop="1" thickBot="1" x14ac:dyDescent="0.35">
      <c r="A763" s="15">
        <v>45561</v>
      </c>
      <c r="B763" s="15" t="s">
        <v>94</v>
      </c>
      <c r="C763" s="16" t="s">
        <v>352</v>
      </c>
      <c r="D763" s="16" t="s">
        <v>58</v>
      </c>
      <c r="E763" s="16" t="s">
        <v>143</v>
      </c>
      <c r="F763" s="16" t="s">
        <v>79</v>
      </c>
      <c r="G763" s="16" t="s">
        <v>12</v>
      </c>
      <c r="H763" s="16">
        <v>97</v>
      </c>
      <c r="I763" s="16">
        <v>752</v>
      </c>
      <c r="J763" s="16">
        <v>1286</v>
      </c>
      <c r="K763" s="17">
        <f t="shared" si="44"/>
        <v>72944</v>
      </c>
      <c r="L763" s="17">
        <f t="shared" si="45"/>
        <v>124742</v>
      </c>
      <c r="M763" s="17">
        <f t="shared" si="46"/>
        <v>51798</v>
      </c>
      <c r="N763" s="17" t="str">
        <f t="shared" si="47"/>
        <v>profit</v>
      </c>
    </row>
    <row r="764" spans="1:14" ht="15.6" thickTop="1" thickBot="1" x14ac:dyDescent="0.35">
      <c r="A764" s="15">
        <v>45569</v>
      </c>
      <c r="B764" s="15" t="s">
        <v>109</v>
      </c>
      <c r="C764" s="16" t="s">
        <v>353</v>
      </c>
      <c r="D764" s="16" t="s">
        <v>58</v>
      </c>
      <c r="E764" s="16" t="s">
        <v>123</v>
      </c>
      <c r="F764" s="16" t="s">
        <v>55</v>
      </c>
      <c r="G764" s="16" t="s">
        <v>8</v>
      </c>
      <c r="H764" s="16">
        <v>77</v>
      </c>
      <c r="I764" s="16">
        <v>951</v>
      </c>
      <c r="J764" s="16">
        <v>1432</v>
      </c>
      <c r="K764" s="17">
        <f t="shared" si="44"/>
        <v>73227</v>
      </c>
      <c r="L764" s="17">
        <f t="shared" si="45"/>
        <v>110264</v>
      </c>
      <c r="M764" s="17">
        <f t="shared" si="46"/>
        <v>37037</v>
      </c>
      <c r="N764" s="17" t="str">
        <f t="shared" si="47"/>
        <v>profit</v>
      </c>
    </row>
    <row r="765" spans="1:14" ht="15.6" thickTop="1" thickBot="1" x14ac:dyDescent="0.35">
      <c r="A765" s="15">
        <v>45570</v>
      </c>
      <c r="B765" s="15" t="s">
        <v>109</v>
      </c>
      <c r="C765" s="16" t="s">
        <v>354</v>
      </c>
      <c r="D765" s="16" t="s">
        <v>58</v>
      </c>
      <c r="E765" s="16" t="s">
        <v>123</v>
      </c>
      <c r="F765" s="16" t="s">
        <v>137</v>
      </c>
      <c r="G765" s="16" t="s">
        <v>8</v>
      </c>
      <c r="H765" s="16">
        <v>52</v>
      </c>
      <c r="I765" s="16">
        <v>633</v>
      </c>
      <c r="J765" s="16">
        <v>1226</v>
      </c>
      <c r="K765" s="17">
        <f t="shared" si="44"/>
        <v>32916</v>
      </c>
      <c r="L765" s="17">
        <f t="shared" si="45"/>
        <v>63752</v>
      </c>
      <c r="M765" s="17">
        <f t="shared" si="46"/>
        <v>30836</v>
      </c>
      <c r="N765" s="17" t="str">
        <f t="shared" si="47"/>
        <v>profit</v>
      </c>
    </row>
    <row r="766" spans="1:14" ht="15.6" thickTop="1" thickBot="1" x14ac:dyDescent="0.35">
      <c r="A766" s="15">
        <v>45572</v>
      </c>
      <c r="B766" s="15" t="s">
        <v>109</v>
      </c>
      <c r="C766" s="16" t="s">
        <v>355</v>
      </c>
      <c r="D766" s="16" t="s">
        <v>58</v>
      </c>
      <c r="E766" s="16" t="s">
        <v>123</v>
      </c>
      <c r="F766" s="16" t="s">
        <v>176</v>
      </c>
      <c r="G766" s="16" t="s">
        <v>8</v>
      </c>
      <c r="H766" s="16">
        <v>80</v>
      </c>
      <c r="I766" s="16">
        <v>982</v>
      </c>
      <c r="J766" s="16">
        <v>1224</v>
      </c>
      <c r="K766" s="17">
        <f t="shared" si="44"/>
        <v>78560</v>
      </c>
      <c r="L766" s="17">
        <f t="shared" si="45"/>
        <v>97920</v>
      </c>
      <c r="M766" s="17">
        <f t="shared" si="46"/>
        <v>19360</v>
      </c>
      <c r="N766" s="17" t="str">
        <f t="shared" si="47"/>
        <v>profit</v>
      </c>
    </row>
    <row r="767" spans="1:14" ht="15.6" thickTop="1" thickBot="1" x14ac:dyDescent="0.35">
      <c r="A767" s="15">
        <v>45573</v>
      </c>
      <c r="B767" s="15" t="s">
        <v>109</v>
      </c>
      <c r="C767" s="16" t="s">
        <v>356</v>
      </c>
      <c r="D767" s="16" t="s">
        <v>58</v>
      </c>
      <c r="E767" s="16" t="s">
        <v>123</v>
      </c>
      <c r="F767" s="16" t="s">
        <v>178</v>
      </c>
      <c r="G767" s="16" t="s">
        <v>8</v>
      </c>
      <c r="H767" s="16">
        <v>81</v>
      </c>
      <c r="I767" s="16">
        <v>917</v>
      </c>
      <c r="J767" s="16">
        <v>1344</v>
      </c>
      <c r="K767" s="17">
        <f t="shared" si="44"/>
        <v>74277</v>
      </c>
      <c r="L767" s="17">
        <f t="shared" si="45"/>
        <v>108864</v>
      </c>
      <c r="M767" s="17">
        <f t="shared" si="46"/>
        <v>34587</v>
      </c>
      <c r="N767" s="17" t="str">
        <f t="shared" si="47"/>
        <v>profit</v>
      </c>
    </row>
    <row r="768" spans="1:14" ht="15.6" thickTop="1" thickBot="1" x14ac:dyDescent="0.35">
      <c r="A768" s="15">
        <v>45574</v>
      </c>
      <c r="B768" s="15" t="s">
        <v>109</v>
      </c>
      <c r="C768" s="16" t="s">
        <v>357</v>
      </c>
      <c r="D768" s="16" t="s">
        <v>58</v>
      </c>
      <c r="E768" s="16" t="s">
        <v>143</v>
      </c>
      <c r="F768" s="16" t="s">
        <v>45</v>
      </c>
      <c r="G768" s="16" t="s">
        <v>8</v>
      </c>
      <c r="H768" s="16">
        <v>63</v>
      </c>
      <c r="I768" s="16">
        <v>747</v>
      </c>
      <c r="J768" s="16">
        <v>778</v>
      </c>
      <c r="K768" s="17">
        <f t="shared" si="44"/>
        <v>47061</v>
      </c>
      <c r="L768" s="17">
        <f t="shared" si="45"/>
        <v>49014</v>
      </c>
      <c r="M768" s="17">
        <f t="shared" si="46"/>
        <v>1953</v>
      </c>
      <c r="N768" s="17" t="str">
        <f t="shared" si="47"/>
        <v>profit</v>
      </c>
    </row>
    <row r="769" spans="1:14" ht="15.6" thickTop="1" thickBot="1" x14ac:dyDescent="0.35">
      <c r="A769" s="15">
        <v>45488</v>
      </c>
      <c r="B769" s="15" t="s">
        <v>65</v>
      </c>
      <c r="C769" s="16" t="s">
        <v>141</v>
      </c>
      <c r="D769" s="16" t="s">
        <v>71</v>
      </c>
      <c r="E769" s="16" t="s">
        <v>10</v>
      </c>
      <c r="F769" s="16" t="s">
        <v>64</v>
      </c>
      <c r="G769" s="16" t="s">
        <v>8</v>
      </c>
      <c r="H769" s="16">
        <v>23</v>
      </c>
      <c r="I769" s="16">
        <v>559</v>
      </c>
      <c r="J769" s="16">
        <v>1456</v>
      </c>
      <c r="K769" s="17">
        <f t="shared" si="44"/>
        <v>12857</v>
      </c>
      <c r="L769" s="17">
        <f t="shared" si="45"/>
        <v>33488</v>
      </c>
      <c r="M769" s="17">
        <f t="shared" si="46"/>
        <v>20631</v>
      </c>
      <c r="N769" s="17" t="str">
        <f t="shared" si="47"/>
        <v>profit</v>
      </c>
    </row>
    <row r="770" spans="1:14" ht="15.6" thickTop="1" thickBot="1" x14ac:dyDescent="0.35">
      <c r="A770" s="15">
        <v>45575</v>
      </c>
      <c r="B770" s="15" t="s">
        <v>109</v>
      </c>
      <c r="C770" s="16" t="s">
        <v>358</v>
      </c>
      <c r="D770" s="16" t="s">
        <v>58</v>
      </c>
      <c r="E770" s="16" t="s">
        <v>143</v>
      </c>
      <c r="F770" s="16" t="s">
        <v>47</v>
      </c>
      <c r="G770" s="16" t="s">
        <v>8</v>
      </c>
      <c r="H770" s="16">
        <v>88</v>
      </c>
      <c r="I770" s="16">
        <v>978</v>
      </c>
      <c r="J770" s="16">
        <v>1231</v>
      </c>
      <c r="K770" s="17">
        <f t="shared" ref="K770:K833" si="48">H770*I770</f>
        <v>86064</v>
      </c>
      <c r="L770" s="17">
        <f t="shared" ref="L770:L833" si="49">H770*J770</f>
        <v>108328</v>
      </c>
      <c r="M770" s="17">
        <f t="shared" ref="M770:M833" si="50">L770-K770</f>
        <v>22264</v>
      </c>
      <c r="N770" s="17" t="str">
        <f t="shared" ref="N770:N833" si="51">IF(M770&gt;0,"profit","loss")</f>
        <v>profit</v>
      </c>
    </row>
    <row r="771" spans="1:14" ht="15.6" thickTop="1" thickBot="1" x14ac:dyDescent="0.35">
      <c r="A771" s="15">
        <v>45576</v>
      </c>
      <c r="B771" s="15" t="s">
        <v>109</v>
      </c>
      <c r="C771" s="16" t="s">
        <v>359</v>
      </c>
      <c r="D771" s="16" t="s">
        <v>58</v>
      </c>
      <c r="E771" s="16" t="s">
        <v>143</v>
      </c>
      <c r="F771" s="16" t="s">
        <v>49</v>
      </c>
      <c r="G771" s="16" t="s">
        <v>8</v>
      </c>
      <c r="H771" s="16">
        <v>82</v>
      </c>
      <c r="I771" s="16">
        <v>652</v>
      </c>
      <c r="J771" s="16">
        <v>994</v>
      </c>
      <c r="K771" s="17">
        <f t="shared" si="48"/>
        <v>53464</v>
      </c>
      <c r="L771" s="17">
        <f t="shared" si="49"/>
        <v>81508</v>
      </c>
      <c r="M771" s="17">
        <f t="shared" si="50"/>
        <v>28044</v>
      </c>
      <c r="N771" s="17" t="str">
        <f t="shared" si="51"/>
        <v>profit</v>
      </c>
    </row>
    <row r="772" spans="1:14" ht="15.6" thickTop="1" thickBot="1" x14ac:dyDescent="0.35">
      <c r="A772" s="15">
        <v>45577</v>
      </c>
      <c r="B772" s="15" t="s">
        <v>109</v>
      </c>
      <c r="C772" s="16" t="s">
        <v>360</v>
      </c>
      <c r="D772" s="16" t="s">
        <v>58</v>
      </c>
      <c r="E772" s="16" t="s">
        <v>143</v>
      </c>
      <c r="F772" s="16" t="s">
        <v>51</v>
      </c>
      <c r="G772" s="16" t="s">
        <v>8</v>
      </c>
      <c r="H772" s="16">
        <v>80</v>
      </c>
      <c r="I772" s="16">
        <v>841</v>
      </c>
      <c r="J772" s="16">
        <v>1490</v>
      </c>
      <c r="K772" s="17">
        <f t="shared" si="48"/>
        <v>67280</v>
      </c>
      <c r="L772" s="17">
        <f t="shared" si="49"/>
        <v>119200</v>
      </c>
      <c r="M772" s="17">
        <f t="shared" si="50"/>
        <v>51920</v>
      </c>
      <c r="N772" s="17" t="str">
        <f t="shared" si="51"/>
        <v>profit</v>
      </c>
    </row>
    <row r="773" spans="1:14" ht="15.6" thickTop="1" thickBot="1" x14ac:dyDescent="0.35">
      <c r="A773" s="15">
        <v>45579</v>
      </c>
      <c r="B773" s="15" t="s">
        <v>109</v>
      </c>
      <c r="C773" s="16" t="s">
        <v>361</v>
      </c>
      <c r="D773" s="16" t="s">
        <v>58</v>
      </c>
      <c r="E773" s="16" t="s">
        <v>143</v>
      </c>
      <c r="F773" s="16" t="s">
        <v>53</v>
      </c>
      <c r="G773" s="16" t="s">
        <v>12</v>
      </c>
      <c r="H773" s="16">
        <v>70</v>
      </c>
      <c r="I773" s="16">
        <v>798</v>
      </c>
      <c r="J773" s="16">
        <v>1318</v>
      </c>
      <c r="K773" s="17">
        <f t="shared" si="48"/>
        <v>55860</v>
      </c>
      <c r="L773" s="17">
        <f t="shared" si="49"/>
        <v>92260</v>
      </c>
      <c r="M773" s="17">
        <f t="shared" si="50"/>
        <v>36400</v>
      </c>
      <c r="N773" s="17" t="str">
        <f t="shared" si="51"/>
        <v>profit</v>
      </c>
    </row>
    <row r="774" spans="1:14" ht="15.6" thickTop="1" thickBot="1" x14ac:dyDescent="0.35">
      <c r="A774" s="15">
        <v>45592</v>
      </c>
      <c r="B774" s="15" t="s">
        <v>109</v>
      </c>
      <c r="C774" s="16" t="s">
        <v>362</v>
      </c>
      <c r="D774" s="16" t="s">
        <v>58</v>
      </c>
      <c r="E774" s="16" t="s">
        <v>59</v>
      </c>
      <c r="F774" s="16" t="s">
        <v>137</v>
      </c>
      <c r="G774" s="16" t="s">
        <v>12</v>
      </c>
      <c r="H774" s="16">
        <v>69</v>
      </c>
      <c r="I774" s="16">
        <v>921</v>
      </c>
      <c r="J774" s="16">
        <v>1177</v>
      </c>
      <c r="K774" s="17">
        <f t="shared" si="48"/>
        <v>63549</v>
      </c>
      <c r="L774" s="17">
        <f t="shared" si="49"/>
        <v>81213</v>
      </c>
      <c r="M774" s="17">
        <f t="shared" si="50"/>
        <v>17664</v>
      </c>
      <c r="N774" s="17" t="str">
        <f t="shared" si="51"/>
        <v>profit</v>
      </c>
    </row>
    <row r="775" spans="1:14" ht="15.6" thickTop="1" thickBot="1" x14ac:dyDescent="0.35">
      <c r="A775" s="15">
        <v>45593</v>
      </c>
      <c r="B775" s="15" t="s">
        <v>109</v>
      </c>
      <c r="C775" s="16" t="s">
        <v>363</v>
      </c>
      <c r="D775" s="16" t="s">
        <v>58</v>
      </c>
      <c r="E775" s="16" t="s">
        <v>59</v>
      </c>
      <c r="F775" s="16" t="s">
        <v>69</v>
      </c>
      <c r="G775" s="16" t="s">
        <v>12</v>
      </c>
      <c r="H775" s="16">
        <v>60</v>
      </c>
      <c r="I775" s="16">
        <v>729</v>
      </c>
      <c r="J775" s="16">
        <v>759</v>
      </c>
      <c r="K775" s="17">
        <f t="shared" si="48"/>
        <v>43740</v>
      </c>
      <c r="L775" s="17">
        <f t="shared" si="49"/>
        <v>45540</v>
      </c>
      <c r="M775" s="17">
        <f t="shared" si="50"/>
        <v>1800</v>
      </c>
      <c r="N775" s="17" t="str">
        <f t="shared" si="51"/>
        <v>profit</v>
      </c>
    </row>
    <row r="776" spans="1:14" ht="15.6" thickTop="1" thickBot="1" x14ac:dyDescent="0.35">
      <c r="A776" s="15">
        <v>45594</v>
      </c>
      <c r="B776" s="15" t="s">
        <v>109</v>
      </c>
      <c r="C776" s="16" t="s">
        <v>364</v>
      </c>
      <c r="D776" s="16" t="s">
        <v>58</v>
      </c>
      <c r="E776" s="16" t="s">
        <v>59</v>
      </c>
      <c r="F776" s="16" t="s">
        <v>176</v>
      </c>
      <c r="G776" s="16" t="s">
        <v>8</v>
      </c>
      <c r="H776" s="16">
        <v>99</v>
      </c>
      <c r="I776" s="16">
        <v>880</v>
      </c>
      <c r="J776" s="16">
        <v>1318</v>
      </c>
      <c r="K776" s="17">
        <f t="shared" si="48"/>
        <v>87120</v>
      </c>
      <c r="L776" s="17">
        <f t="shared" si="49"/>
        <v>130482</v>
      </c>
      <c r="M776" s="17">
        <f t="shared" si="50"/>
        <v>43362</v>
      </c>
      <c r="N776" s="17" t="str">
        <f t="shared" si="51"/>
        <v>profit</v>
      </c>
    </row>
    <row r="777" spans="1:14" ht="15.6" thickTop="1" thickBot="1" x14ac:dyDescent="0.35">
      <c r="A777" s="15">
        <v>45595</v>
      </c>
      <c r="B777" s="15" t="s">
        <v>109</v>
      </c>
      <c r="C777" s="16" t="s">
        <v>365</v>
      </c>
      <c r="D777" s="16" t="s">
        <v>58</v>
      </c>
      <c r="E777" s="16" t="s">
        <v>59</v>
      </c>
      <c r="F777" s="16" t="s">
        <v>178</v>
      </c>
      <c r="G777" s="16" t="s">
        <v>12</v>
      </c>
      <c r="H777" s="16">
        <v>88</v>
      </c>
      <c r="I777" s="16">
        <v>552</v>
      </c>
      <c r="J777" s="16">
        <v>1422</v>
      </c>
      <c r="K777" s="17">
        <f t="shared" si="48"/>
        <v>48576</v>
      </c>
      <c r="L777" s="17">
        <f t="shared" si="49"/>
        <v>125136</v>
      </c>
      <c r="M777" s="17">
        <f t="shared" si="50"/>
        <v>76560</v>
      </c>
      <c r="N777" s="17" t="str">
        <f t="shared" si="51"/>
        <v>profit</v>
      </c>
    </row>
    <row r="778" spans="1:14" ht="15.6" thickTop="1" thickBot="1" x14ac:dyDescent="0.35">
      <c r="A778" s="15">
        <v>45603</v>
      </c>
      <c r="B778" s="15" t="s">
        <v>184</v>
      </c>
      <c r="C778" s="16" t="s">
        <v>366</v>
      </c>
      <c r="D778" s="16" t="s">
        <v>58</v>
      </c>
      <c r="E778" s="16" t="s">
        <v>186</v>
      </c>
      <c r="F778" s="16" t="s">
        <v>51</v>
      </c>
      <c r="G778" s="16" t="s">
        <v>8</v>
      </c>
      <c r="H778" s="16">
        <v>60</v>
      </c>
      <c r="I778" s="16">
        <v>827</v>
      </c>
      <c r="J778" s="16">
        <v>762</v>
      </c>
      <c r="K778" s="17">
        <f t="shared" si="48"/>
        <v>49620</v>
      </c>
      <c r="L778" s="17">
        <f t="shared" si="49"/>
        <v>45720</v>
      </c>
      <c r="M778" s="17">
        <f t="shared" si="50"/>
        <v>-3900</v>
      </c>
      <c r="N778" s="17" t="str">
        <f t="shared" si="51"/>
        <v>loss</v>
      </c>
    </row>
    <row r="779" spans="1:14" ht="15.6" thickTop="1" thickBot="1" x14ac:dyDescent="0.35">
      <c r="A779" s="15">
        <v>45604</v>
      </c>
      <c r="B779" s="15" t="s">
        <v>184</v>
      </c>
      <c r="C779" s="16" t="s">
        <v>367</v>
      </c>
      <c r="D779" s="16" t="s">
        <v>58</v>
      </c>
      <c r="E779" s="16" t="s">
        <v>186</v>
      </c>
      <c r="F779" s="16" t="s">
        <v>100</v>
      </c>
      <c r="G779" s="16" t="s">
        <v>8</v>
      </c>
      <c r="H779" s="16">
        <v>64</v>
      </c>
      <c r="I779" s="16">
        <v>529</v>
      </c>
      <c r="J779" s="16">
        <v>1195</v>
      </c>
      <c r="K779" s="17">
        <f t="shared" si="48"/>
        <v>33856</v>
      </c>
      <c r="L779" s="17">
        <f t="shared" si="49"/>
        <v>76480</v>
      </c>
      <c r="M779" s="17">
        <f t="shared" si="50"/>
        <v>42624</v>
      </c>
      <c r="N779" s="17" t="str">
        <f t="shared" si="51"/>
        <v>profit</v>
      </c>
    </row>
    <row r="780" spans="1:14" ht="15.6" thickTop="1" thickBot="1" x14ac:dyDescent="0.35">
      <c r="A780" s="15">
        <v>45606</v>
      </c>
      <c r="B780" s="15" t="s">
        <v>184</v>
      </c>
      <c r="C780" s="16" t="s">
        <v>368</v>
      </c>
      <c r="D780" s="16" t="s">
        <v>58</v>
      </c>
      <c r="E780" s="16" t="s">
        <v>186</v>
      </c>
      <c r="F780" s="16" t="s">
        <v>69</v>
      </c>
      <c r="G780" s="16" t="s">
        <v>8</v>
      </c>
      <c r="H780" s="16">
        <v>51</v>
      </c>
      <c r="I780" s="16">
        <v>859</v>
      </c>
      <c r="J780" s="16">
        <v>1243</v>
      </c>
      <c r="K780" s="17">
        <f t="shared" si="48"/>
        <v>43809</v>
      </c>
      <c r="L780" s="17">
        <f t="shared" si="49"/>
        <v>63393</v>
      </c>
      <c r="M780" s="17">
        <f t="shared" si="50"/>
        <v>19584</v>
      </c>
      <c r="N780" s="17" t="str">
        <f t="shared" si="51"/>
        <v>profit</v>
      </c>
    </row>
    <row r="781" spans="1:14" ht="15.6" thickTop="1" thickBot="1" x14ac:dyDescent="0.35">
      <c r="A781" s="15">
        <v>45607</v>
      </c>
      <c r="B781" s="15" t="s">
        <v>184</v>
      </c>
      <c r="C781" s="16" t="s">
        <v>369</v>
      </c>
      <c r="D781" s="16" t="s">
        <v>58</v>
      </c>
      <c r="E781" s="16" t="s">
        <v>186</v>
      </c>
      <c r="F781" s="16" t="s">
        <v>51</v>
      </c>
      <c r="G781" s="16" t="s">
        <v>8</v>
      </c>
      <c r="H781" s="16">
        <v>68</v>
      </c>
      <c r="I781" s="16">
        <v>756</v>
      </c>
      <c r="J781" s="16">
        <v>887</v>
      </c>
      <c r="K781" s="17">
        <f t="shared" si="48"/>
        <v>51408</v>
      </c>
      <c r="L781" s="17">
        <f t="shared" si="49"/>
        <v>60316</v>
      </c>
      <c r="M781" s="17">
        <f t="shared" si="50"/>
        <v>8908</v>
      </c>
      <c r="N781" s="17" t="str">
        <f t="shared" si="51"/>
        <v>profit</v>
      </c>
    </row>
    <row r="782" spans="1:14" ht="15.6" thickTop="1" thickBot="1" x14ac:dyDescent="0.35">
      <c r="A782" s="15">
        <v>45608</v>
      </c>
      <c r="B782" s="15" t="s">
        <v>184</v>
      </c>
      <c r="C782" s="16" t="s">
        <v>370</v>
      </c>
      <c r="D782" s="16" t="s">
        <v>58</v>
      </c>
      <c r="E782" s="16" t="s">
        <v>186</v>
      </c>
      <c r="F782" s="16" t="s">
        <v>89</v>
      </c>
      <c r="G782" s="16" t="s">
        <v>8</v>
      </c>
      <c r="H782" s="16">
        <v>87</v>
      </c>
      <c r="I782" s="16">
        <v>882</v>
      </c>
      <c r="J782" s="16">
        <v>1211</v>
      </c>
      <c r="K782" s="17">
        <f t="shared" si="48"/>
        <v>76734</v>
      </c>
      <c r="L782" s="17">
        <f t="shared" si="49"/>
        <v>105357</v>
      </c>
      <c r="M782" s="17">
        <f t="shared" si="50"/>
        <v>28623</v>
      </c>
      <c r="N782" s="17" t="str">
        <f t="shared" si="51"/>
        <v>profit</v>
      </c>
    </row>
    <row r="783" spans="1:14" ht="15.6" thickTop="1" thickBot="1" x14ac:dyDescent="0.35">
      <c r="A783" s="15">
        <v>45636</v>
      </c>
      <c r="B783" s="15" t="s">
        <v>213</v>
      </c>
      <c r="C783" s="16" t="s">
        <v>215</v>
      </c>
      <c r="D783" s="16" t="s">
        <v>58</v>
      </c>
      <c r="E783" s="16" t="s">
        <v>123</v>
      </c>
      <c r="F783" s="16" t="s">
        <v>45</v>
      </c>
      <c r="G783" s="16" t="s">
        <v>12</v>
      </c>
      <c r="H783" s="16">
        <v>51</v>
      </c>
      <c r="I783" s="16">
        <v>685</v>
      </c>
      <c r="J783" s="16">
        <v>1224</v>
      </c>
      <c r="K783" s="17">
        <f t="shared" si="48"/>
        <v>34935</v>
      </c>
      <c r="L783" s="17">
        <f t="shared" si="49"/>
        <v>62424</v>
      </c>
      <c r="M783" s="17">
        <f t="shared" si="50"/>
        <v>27489</v>
      </c>
      <c r="N783" s="17" t="str">
        <f t="shared" si="51"/>
        <v>profit</v>
      </c>
    </row>
    <row r="784" spans="1:14" ht="15.6" thickTop="1" thickBot="1" x14ac:dyDescent="0.35">
      <c r="A784" s="15">
        <v>45638</v>
      </c>
      <c r="B784" s="15" t="s">
        <v>213</v>
      </c>
      <c r="C784" s="16" t="s">
        <v>371</v>
      </c>
      <c r="D784" s="16" t="s">
        <v>58</v>
      </c>
      <c r="E784" s="16" t="s">
        <v>123</v>
      </c>
      <c r="F784" s="16" t="s">
        <v>49</v>
      </c>
      <c r="G784" s="16" t="s">
        <v>8</v>
      </c>
      <c r="H784" s="16">
        <v>72</v>
      </c>
      <c r="I784" s="16">
        <v>765</v>
      </c>
      <c r="J784" s="16">
        <v>1368</v>
      </c>
      <c r="K784" s="17">
        <f t="shared" si="48"/>
        <v>55080</v>
      </c>
      <c r="L784" s="17">
        <f t="shared" si="49"/>
        <v>98496</v>
      </c>
      <c r="M784" s="17">
        <f t="shared" si="50"/>
        <v>43416</v>
      </c>
      <c r="N784" s="17" t="str">
        <f t="shared" si="51"/>
        <v>profit</v>
      </c>
    </row>
    <row r="785" spans="1:14" ht="15.6" thickTop="1" thickBot="1" x14ac:dyDescent="0.35">
      <c r="A785" s="15">
        <v>45639</v>
      </c>
      <c r="B785" s="15" t="s">
        <v>213</v>
      </c>
      <c r="C785" s="16" t="s">
        <v>372</v>
      </c>
      <c r="D785" s="16" t="s">
        <v>58</v>
      </c>
      <c r="E785" s="16" t="s">
        <v>123</v>
      </c>
      <c r="F785" s="16" t="s">
        <v>51</v>
      </c>
      <c r="G785" s="16" t="s">
        <v>8</v>
      </c>
      <c r="H785" s="16">
        <v>54</v>
      </c>
      <c r="I785" s="16">
        <v>702</v>
      </c>
      <c r="J785" s="16">
        <v>930</v>
      </c>
      <c r="K785" s="17">
        <f t="shared" si="48"/>
        <v>37908</v>
      </c>
      <c r="L785" s="17">
        <f t="shared" si="49"/>
        <v>50220</v>
      </c>
      <c r="M785" s="17">
        <f t="shared" si="50"/>
        <v>12312</v>
      </c>
      <c r="N785" s="17" t="str">
        <f t="shared" si="51"/>
        <v>profit</v>
      </c>
    </row>
    <row r="786" spans="1:14" ht="15.6" thickTop="1" thickBot="1" x14ac:dyDescent="0.35">
      <c r="A786" s="15">
        <v>45640</v>
      </c>
      <c r="B786" s="15" t="s">
        <v>213</v>
      </c>
      <c r="C786" s="16" t="s">
        <v>373</v>
      </c>
      <c r="D786" s="16" t="s">
        <v>58</v>
      </c>
      <c r="E786" s="16" t="s">
        <v>123</v>
      </c>
      <c r="F786" s="16" t="s">
        <v>60</v>
      </c>
      <c r="G786" s="16" t="s">
        <v>8</v>
      </c>
      <c r="H786" s="16">
        <v>97</v>
      </c>
      <c r="I786" s="16">
        <v>917</v>
      </c>
      <c r="J786" s="16">
        <v>1203</v>
      </c>
      <c r="K786" s="17">
        <f t="shared" si="48"/>
        <v>88949</v>
      </c>
      <c r="L786" s="17">
        <f t="shared" si="49"/>
        <v>116691</v>
      </c>
      <c r="M786" s="17">
        <f t="shared" si="50"/>
        <v>27742</v>
      </c>
      <c r="N786" s="17" t="str">
        <f t="shared" si="51"/>
        <v>profit</v>
      </c>
    </row>
    <row r="787" spans="1:14" ht="15.6" thickTop="1" thickBot="1" x14ac:dyDescent="0.35">
      <c r="A787" s="15">
        <v>45641</v>
      </c>
      <c r="B787" s="15" t="s">
        <v>213</v>
      </c>
      <c r="C787" s="16" t="s">
        <v>374</v>
      </c>
      <c r="D787" s="16" t="s">
        <v>58</v>
      </c>
      <c r="E787" s="16" t="s">
        <v>123</v>
      </c>
      <c r="F787" s="16" t="s">
        <v>64</v>
      </c>
      <c r="G787" s="16" t="s">
        <v>8</v>
      </c>
      <c r="H787" s="16">
        <v>84</v>
      </c>
      <c r="I787" s="16">
        <v>516</v>
      </c>
      <c r="J787" s="16">
        <v>820</v>
      </c>
      <c r="K787" s="17">
        <f t="shared" si="48"/>
        <v>43344</v>
      </c>
      <c r="L787" s="17">
        <f t="shared" si="49"/>
        <v>68880</v>
      </c>
      <c r="M787" s="17">
        <f t="shared" si="50"/>
        <v>25536</v>
      </c>
      <c r="N787" s="17" t="str">
        <f t="shared" si="51"/>
        <v>profit</v>
      </c>
    </row>
    <row r="788" spans="1:14" ht="15.6" thickTop="1" thickBot="1" x14ac:dyDescent="0.35">
      <c r="A788" s="15">
        <v>45507</v>
      </c>
      <c r="B788" s="15" t="s">
        <v>82</v>
      </c>
      <c r="C788" s="16" t="s">
        <v>142</v>
      </c>
      <c r="D788" s="16" t="s">
        <v>58</v>
      </c>
      <c r="E788" s="16" t="s">
        <v>143</v>
      </c>
      <c r="F788" s="16" t="s">
        <v>100</v>
      </c>
      <c r="G788" s="16" t="s">
        <v>12</v>
      </c>
      <c r="H788" s="16">
        <v>66</v>
      </c>
      <c r="I788" s="16">
        <v>715</v>
      </c>
      <c r="J788" s="16">
        <v>1460</v>
      </c>
      <c r="K788" s="17">
        <f t="shared" si="48"/>
        <v>47190</v>
      </c>
      <c r="L788" s="17">
        <f t="shared" si="49"/>
        <v>96360</v>
      </c>
      <c r="M788" s="17">
        <f t="shared" si="50"/>
        <v>49170</v>
      </c>
      <c r="N788" s="17" t="str">
        <f t="shared" si="51"/>
        <v>profit</v>
      </c>
    </row>
    <row r="789" spans="1:14" ht="15.6" thickTop="1" thickBot="1" x14ac:dyDescent="0.35">
      <c r="A789" s="15">
        <v>45643</v>
      </c>
      <c r="B789" s="15" t="s">
        <v>213</v>
      </c>
      <c r="C789" s="16" t="s">
        <v>375</v>
      </c>
      <c r="D789" s="16" t="s">
        <v>58</v>
      </c>
      <c r="E789" s="16" t="s">
        <v>123</v>
      </c>
      <c r="F789" s="16" t="s">
        <v>89</v>
      </c>
      <c r="G789" s="16" t="s">
        <v>8</v>
      </c>
      <c r="H789" s="16">
        <v>92</v>
      </c>
      <c r="I789" s="16">
        <v>789</v>
      </c>
      <c r="J789" s="16">
        <v>1229</v>
      </c>
      <c r="K789" s="17">
        <f t="shared" si="48"/>
        <v>72588</v>
      </c>
      <c r="L789" s="17">
        <f t="shared" si="49"/>
        <v>113068</v>
      </c>
      <c r="M789" s="17">
        <f t="shared" si="50"/>
        <v>40480</v>
      </c>
      <c r="N789" s="17" t="str">
        <f t="shared" si="51"/>
        <v>profit</v>
      </c>
    </row>
    <row r="790" spans="1:14" ht="15.6" thickTop="1" thickBot="1" x14ac:dyDescent="0.35">
      <c r="A790" s="15">
        <v>45644</v>
      </c>
      <c r="B790" s="15" t="s">
        <v>213</v>
      </c>
      <c r="C790" s="16" t="s">
        <v>376</v>
      </c>
      <c r="D790" s="16" t="s">
        <v>58</v>
      </c>
      <c r="E790" s="16" t="s">
        <v>123</v>
      </c>
      <c r="F790" s="16" t="s">
        <v>89</v>
      </c>
      <c r="G790" s="16" t="s">
        <v>8</v>
      </c>
      <c r="H790" s="16">
        <v>53</v>
      </c>
      <c r="I790" s="16">
        <v>962</v>
      </c>
      <c r="J790" s="16">
        <v>1442</v>
      </c>
      <c r="K790" s="17">
        <f t="shared" si="48"/>
        <v>50986</v>
      </c>
      <c r="L790" s="17">
        <f t="shared" si="49"/>
        <v>76426</v>
      </c>
      <c r="M790" s="17">
        <f t="shared" si="50"/>
        <v>25440</v>
      </c>
      <c r="N790" s="17" t="str">
        <f t="shared" si="51"/>
        <v>profit</v>
      </c>
    </row>
    <row r="791" spans="1:14" ht="15.6" thickTop="1" thickBot="1" x14ac:dyDescent="0.35">
      <c r="A791" s="15">
        <v>45645</v>
      </c>
      <c r="B791" s="15" t="s">
        <v>213</v>
      </c>
      <c r="C791" s="16" t="s">
        <v>377</v>
      </c>
      <c r="D791" s="16" t="s">
        <v>58</v>
      </c>
      <c r="E791" s="16" t="s">
        <v>123</v>
      </c>
      <c r="F791" s="16" t="s">
        <v>85</v>
      </c>
      <c r="G791" s="16" t="s">
        <v>8</v>
      </c>
      <c r="H791" s="16">
        <v>81</v>
      </c>
      <c r="I791" s="16">
        <v>565</v>
      </c>
      <c r="J791" s="16">
        <v>1224</v>
      </c>
      <c r="K791" s="17">
        <f t="shared" si="48"/>
        <v>45765</v>
      </c>
      <c r="L791" s="17">
        <f t="shared" si="49"/>
        <v>99144</v>
      </c>
      <c r="M791" s="17">
        <f t="shared" si="50"/>
        <v>53379</v>
      </c>
      <c r="N791" s="17" t="str">
        <f t="shared" si="51"/>
        <v>profit</v>
      </c>
    </row>
    <row r="792" spans="1:14" ht="15.6" thickTop="1" thickBot="1" x14ac:dyDescent="0.35">
      <c r="A792" s="15">
        <v>45647</v>
      </c>
      <c r="B792" s="15" t="s">
        <v>213</v>
      </c>
      <c r="C792" s="16" t="s">
        <v>378</v>
      </c>
      <c r="D792" s="16" t="s">
        <v>58</v>
      </c>
      <c r="E792" s="16" t="s">
        <v>123</v>
      </c>
      <c r="F792" s="16" t="s">
        <v>55</v>
      </c>
      <c r="G792" s="16" t="s">
        <v>8</v>
      </c>
      <c r="H792" s="16">
        <v>96</v>
      </c>
      <c r="I792" s="16">
        <v>715</v>
      </c>
      <c r="J792" s="16">
        <v>1171</v>
      </c>
      <c r="K792" s="17">
        <f t="shared" si="48"/>
        <v>68640</v>
      </c>
      <c r="L792" s="17">
        <f t="shared" si="49"/>
        <v>112416</v>
      </c>
      <c r="M792" s="17">
        <f t="shared" si="50"/>
        <v>43776</v>
      </c>
      <c r="N792" s="17" t="str">
        <f t="shared" si="51"/>
        <v>profit</v>
      </c>
    </row>
    <row r="793" spans="1:14" ht="15.6" thickTop="1" thickBot="1" x14ac:dyDescent="0.35">
      <c r="A793" s="15">
        <v>45512</v>
      </c>
      <c r="B793" s="15" t="s">
        <v>82</v>
      </c>
      <c r="C793" s="16" t="s">
        <v>144</v>
      </c>
      <c r="D793" s="16" t="s">
        <v>43</v>
      </c>
      <c r="E793" s="16" t="s">
        <v>62</v>
      </c>
      <c r="F793" s="16" t="s">
        <v>60</v>
      </c>
      <c r="G793" s="16" t="s">
        <v>8</v>
      </c>
      <c r="H793" s="16">
        <v>10</v>
      </c>
      <c r="I793" s="16">
        <v>812</v>
      </c>
      <c r="J793" s="16">
        <v>1112</v>
      </c>
      <c r="K793" s="17">
        <f t="shared" si="48"/>
        <v>8120</v>
      </c>
      <c r="L793" s="17">
        <f t="shared" si="49"/>
        <v>11120</v>
      </c>
      <c r="M793" s="17">
        <f t="shared" si="50"/>
        <v>3000</v>
      </c>
      <c r="N793" s="17" t="str">
        <f t="shared" si="51"/>
        <v>profit</v>
      </c>
    </row>
    <row r="794" spans="1:14" ht="15.6" thickTop="1" thickBot="1" x14ac:dyDescent="0.35">
      <c r="A794" s="15">
        <v>45649</v>
      </c>
      <c r="B794" s="15" t="s">
        <v>213</v>
      </c>
      <c r="C794" s="16" t="s">
        <v>379</v>
      </c>
      <c r="D794" s="16" t="s">
        <v>58</v>
      </c>
      <c r="E794" s="16" t="s">
        <v>143</v>
      </c>
      <c r="F794" s="16" t="s">
        <v>69</v>
      </c>
      <c r="G794" s="16" t="s">
        <v>8</v>
      </c>
      <c r="H794" s="16">
        <v>69</v>
      </c>
      <c r="I794" s="16">
        <v>699</v>
      </c>
      <c r="J794" s="16">
        <v>835</v>
      </c>
      <c r="K794" s="17">
        <f t="shared" si="48"/>
        <v>48231</v>
      </c>
      <c r="L794" s="17">
        <f t="shared" si="49"/>
        <v>57615</v>
      </c>
      <c r="M794" s="17">
        <f t="shared" si="50"/>
        <v>9384</v>
      </c>
      <c r="N794" s="17" t="str">
        <f t="shared" si="51"/>
        <v>profit</v>
      </c>
    </row>
    <row r="795" spans="1:14" ht="15.6" thickTop="1" thickBot="1" x14ac:dyDescent="0.35">
      <c r="A795" s="15">
        <v>45650</v>
      </c>
      <c r="B795" s="15" t="s">
        <v>213</v>
      </c>
      <c r="C795" s="16" t="s">
        <v>380</v>
      </c>
      <c r="D795" s="16" t="s">
        <v>58</v>
      </c>
      <c r="E795" s="16" t="s">
        <v>143</v>
      </c>
      <c r="F795" s="16" t="s">
        <v>176</v>
      </c>
      <c r="G795" s="16" t="s">
        <v>8</v>
      </c>
      <c r="H795" s="16">
        <v>58</v>
      </c>
      <c r="I795" s="16">
        <v>924</v>
      </c>
      <c r="J795" s="16">
        <v>990</v>
      </c>
      <c r="K795" s="17">
        <f t="shared" si="48"/>
        <v>53592</v>
      </c>
      <c r="L795" s="17">
        <f t="shared" si="49"/>
        <v>57420</v>
      </c>
      <c r="M795" s="17">
        <f t="shared" si="50"/>
        <v>3828</v>
      </c>
      <c r="N795" s="17" t="str">
        <f t="shared" si="51"/>
        <v>profit</v>
      </c>
    </row>
    <row r="796" spans="1:14" ht="15.6" thickTop="1" thickBot="1" x14ac:dyDescent="0.35">
      <c r="A796" s="15">
        <v>45651</v>
      </c>
      <c r="B796" s="15" t="s">
        <v>213</v>
      </c>
      <c r="C796" s="16" t="s">
        <v>381</v>
      </c>
      <c r="D796" s="16" t="s">
        <v>58</v>
      </c>
      <c r="E796" s="16" t="s">
        <v>143</v>
      </c>
      <c r="F796" s="16" t="s">
        <v>178</v>
      </c>
      <c r="G796" s="16" t="s">
        <v>8</v>
      </c>
      <c r="H796" s="16">
        <v>83</v>
      </c>
      <c r="I796" s="16">
        <v>790</v>
      </c>
      <c r="J796" s="16">
        <v>1164</v>
      </c>
      <c r="K796" s="17">
        <f t="shared" si="48"/>
        <v>65570</v>
      </c>
      <c r="L796" s="17">
        <f t="shared" si="49"/>
        <v>96612</v>
      </c>
      <c r="M796" s="17">
        <f t="shared" si="50"/>
        <v>31042</v>
      </c>
      <c r="N796" s="17" t="str">
        <f t="shared" si="51"/>
        <v>profit</v>
      </c>
    </row>
    <row r="797" spans="1:14" ht="15.6" thickTop="1" thickBot="1" x14ac:dyDescent="0.35">
      <c r="A797" s="15">
        <v>45652</v>
      </c>
      <c r="B797" s="15" t="s">
        <v>213</v>
      </c>
      <c r="C797" s="16" t="s">
        <v>382</v>
      </c>
      <c r="D797" s="16" t="s">
        <v>58</v>
      </c>
      <c r="E797" s="16" t="s">
        <v>143</v>
      </c>
      <c r="F797" s="16" t="s">
        <v>45</v>
      </c>
      <c r="G797" s="16" t="s">
        <v>8</v>
      </c>
      <c r="H797" s="16">
        <v>60</v>
      </c>
      <c r="I797" s="16">
        <v>867</v>
      </c>
      <c r="J797" s="16">
        <v>854</v>
      </c>
      <c r="K797" s="17">
        <f t="shared" si="48"/>
        <v>52020</v>
      </c>
      <c r="L797" s="17">
        <f t="shared" si="49"/>
        <v>51240</v>
      </c>
      <c r="M797" s="17">
        <f t="shared" si="50"/>
        <v>-780</v>
      </c>
      <c r="N797" s="17" t="str">
        <f t="shared" si="51"/>
        <v>loss</v>
      </c>
    </row>
    <row r="798" spans="1:14" ht="15.6" thickTop="1" thickBot="1" x14ac:dyDescent="0.35">
      <c r="A798" s="15">
        <v>45654</v>
      </c>
      <c r="B798" s="15" t="s">
        <v>213</v>
      </c>
      <c r="C798" s="16" t="s">
        <v>383</v>
      </c>
      <c r="D798" s="16" t="s">
        <v>58</v>
      </c>
      <c r="E798" s="16" t="s">
        <v>143</v>
      </c>
      <c r="F798" s="16" t="s">
        <v>49</v>
      </c>
      <c r="G798" s="16" t="s">
        <v>12</v>
      </c>
      <c r="H798" s="16">
        <v>89</v>
      </c>
      <c r="I798" s="16">
        <v>702</v>
      </c>
      <c r="J798" s="16">
        <v>1314</v>
      </c>
      <c r="K798" s="17">
        <f t="shared" si="48"/>
        <v>62478</v>
      </c>
      <c r="L798" s="17">
        <f t="shared" si="49"/>
        <v>116946</v>
      </c>
      <c r="M798" s="17">
        <f t="shared" si="50"/>
        <v>54468</v>
      </c>
      <c r="N798" s="17" t="str">
        <f t="shared" si="51"/>
        <v>profit</v>
      </c>
    </row>
    <row r="799" spans="1:14" ht="15.6" thickTop="1" thickBot="1" x14ac:dyDescent="0.35">
      <c r="A799" s="15">
        <v>45655</v>
      </c>
      <c r="B799" s="15" t="s">
        <v>213</v>
      </c>
      <c r="C799" s="16" t="s">
        <v>384</v>
      </c>
      <c r="D799" s="16" t="s">
        <v>58</v>
      </c>
      <c r="E799" s="16" t="s">
        <v>143</v>
      </c>
      <c r="F799" s="16" t="s">
        <v>51</v>
      </c>
      <c r="G799" s="16" t="s">
        <v>12</v>
      </c>
      <c r="H799" s="16">
        <v>91</v>
      </c>
      <c r="I799" s="16">
        <v>805</v>
      </c>
      <c r="J799" s="16">
        <v>1361</v>
      </c>
      <c r="K799" s="17">
        <f t="shared" si="48"/>
        <v>73255</v>
      </c>
      <c r="L799" s="17">
        <f t="shared" si="49"/>
        <v>123851</v>
      </c>
      <c r="M799" s="17">
        <f t="shared" si="50"/>
        <v>50596</v>
      </c>
      <c r="N799" s="17" t="str">
        <f t="shared" si="51"/>
        <v>profit</v>
      </c>
    </row>
    <row r="800" spans="1:14" ht="15.6" thickTop="1" thickBot="1" x14ac:dyDescent="0.35">
      <c r="A800" s="15">
        <v>45656</v>
      </c>
      <c r="B800" s="15" t="s">
        <v>213</v>
      </c>
      <c r="C800" s="16" t="s">
        <v>385</v>
      </c>
      <c r="D800" s="16" t="s">
        <v>58</v>
      </c>
      <c r="E800" s="16" t="s">
        <v>143</v>
      </c>
      <c r="F800" s="16" t="s">
        <v>51</v>
      </c>
      <c r="G800" s="16" t="s">
        <v>12</v>
      </c>
      <c r="H800" s="16">
        <v>78</v>
      </c>
      <c r="I800" s="16">
        <v>682</v>
      </c>
      <c r="J800" s="16">
        <v>962</v>
      </c>
      <c r="K800" s="17">
        <f t="shared" si="48"/>
        <v>53196</v>
      </c>
      <c r="L800" s="17">
        <f t="shared" si="49"/>
        <v>75036</v>
      </c>
      <c r="M800" s="17">
        <f t="shared" si="50"/>
        <v>21840</v>
      </c>
      <c r="N800" s="17" t="str">
        <f t="shared" si="51"/>
        <v>profit</v>
      </c>
    </row>
    <row r="801" spans="1:14" ht="15.6" thickTop="1" thickBot="1" x14ac:dyDescent="0.35">
      <c r="A801" s="15">
        <v>45520</v>
      </c>
      <c r="B801" s="15" t="s">
        <v>82</v>
      </c>
      <c r="C801" s="16" t="s">
        <v>145</v>
      </c>
      <c r="D801" s="16" t="s">
        <v>71</v>
      </c>
      <c r="E801" s="16" t="s">
        <v>10</v>
      </c>
      <c r="F801" s="16" t="s">
        <v>77</v>
      </c>
      <c r="G801" s="16" t="s">
        <v>12</v>
      </c>
      <c r="H801" s="16">
        <v>22</v>
      </c>
      <c r="I801" s="16">
        <v>888</v>
      </c>
      <c r="J801" s="16">
        <v>1284</v>
      </c>
      <c r="K801" s="17">
        <f t="shared" si="48"/>
        <v>19536</v>
      </c>
      <c r="L801" s="17">
        <f t="shared" si="49"/>
        <v>28248</v>
      </c>
      <c r="M801" s="17">
        <f t="shared" si="50"/>
        <v>8712</v>
      </c>
      <c r="N801" s="17" t="str">
        <f t="shared" si="51"/>
        <v>profit</v>
      </c>
    </row>
    <row r="802" spans="1:14" ht="15.6" thickTop="1" thickBot="1" x14ac:dyDescent="0.35">
      <c r="A802" s="15">
        <v>45657</v>
      </c>
      <c r="B802" s="15" t="s">
        <v>213</v>
      </c>
      <c r="C802" s="16" t="s">
        <v>386</v>
      </c>
      <c r="D802" s="16" t="s">
        <v>58</v>
      </c>
      <c r="E802" s="16" t="s">
        <v>143</v>
      </c>
      <c r="F802" s="16" t="s">
        <v>53</v>
      </c>
      <c r="G802" s="16" t="s">
        <v>12</v>
      </c>
      <c r="H802" s="16">
        <v>54</v>
      </c>
      <c r="I802" s="16">
        <v>990</v>
      </c>
      <c r="J802" s="16">
        <v>970</v>
      </c>
      <c r="K802" s="17">
        <f t="shared" si="48"/>
        <v>53460</v>
      </c>
      <c r="L802" s="17">
        <f t="shared" si="49"/>
        <v>52380</v>
      </c>
      <c r="M802" s="17">
        <f t="shared" si="50"/>
        <v>-1080</v>
      </c>
      <c r="N802" s="17" t="str">
        <f t="shared" si="51"/>
        <v>loss</v>
      </c>
    </row>
    <row r="803" spans="1:14" ht="15.6" thickTop="1" thickBot="1" x14ac:dyDescent="0.35">
      <c r="A803" s="15">
        <v>45658</v>
      </c>
      <c r="B803" s="15" t="s">
        <v>119</v>
      </c>
      <c r="C803" s="16" t="s">
        <v>387</v>
      </c>
      <c r="D803" s="16" t="s">
        <v>58</v>
      </c>
      <c r="E803" s="16" t="s">
        <v>143</v>
      </c>
      <c r="F803" s="16" t="s">
        <v>55</v>
      </c>
      <c r="G803" s="16" t="s">
        <v>8</v>
      </c>
      <c r="H803" s="16">
        <v>72</v>
      </c>
      <c r="I803" s="16">
        <v>749</v>
      </c>
      <c r="J803" s="16">
        <v>1262</v>
      </c>
      <c r="K803" s="17">
        <f t="shared" si="48"/>
        <v>53928</v>
      </c>
      <c r="L803" s="17">
        <f t="shared" si="49"/>
        <v>90864</v>
      </c>
      <c r="M803" s="17">
        <f t="shared" si="50"/>
        <v>36936</v>
      </c>
      <c r="N803" s="17" t="str">
        <f t="shared" si="51"/>
        <v>profit</v>
      </c>
    </row>
    <row r="804" spans="1:14" ht="15.6" thickTop="1" thickBot="1" x14ac:dyDescent="0.35">
      <c r="A804" s="15">
        <v>45666</v>
      </c>
      <c r="B804" s="15" t="s">
        <v>119</v>
      </c>
      <c r="C804" s="16" t="s">
        <v>388</v>
      </c>
      <c r="D804" s="16" t="s">
        <v>58</v>
      </c>
      <c r="E804" s="16" t="s">
        <v>123</v>
      </c>
      <c r="F804" s="16" t="s">
        <v>60</v>
      </c>
      <c r="G804" s="16" t="s">
        <v>12</v>
      </c>
      <c r="H804" s="16">
        <v>51</v>
      </c>
      <c r="I804" s="16">
        <v>925</v>
      </c>
      <c r="J804" s="16">
        <v>750</v>
      </c>
      <c r="K804" s="17">
        <f t="shared" si="48"/>
        <v>47175</v>
      </c>
      <c r="L804" s="17">
        <f t="shared" si="49"/>
        <v>38250</v>
      </c>
      <c r="M804" s="17">
        <f t="shared" si="50"/>
        <v>-8925</v>
      </c>
      <c r="N804" s="17" t="str">
        <f t="shared" si="51"/>
        <v>loss</v>
      </c>
    </row>
    <row r="805" spans="1:14" ht="15.6" thickTop="1" thickBot="1" x14ac:dyDescent="0.35">
      <c r="A805" s="15">
        <v>45667</v>
      </c>
      <c r="B805" s="15" t="s">
        <v>119</v>
      </c>
      <c r="C805" s="16" t="s">
        <v>389</v>
      </c>
      <c r="D805" s="16" t="s">
        <v>58</v>
      </c>
      <c r="E805" s="16" t="s">
        <v>123</v>
      </c>
      <c r="F805" s="16" t="s">
        <v>64</v>
      </c>
      <c r="G805" s="16" t="s">
        <v>12</v>
      </c>
      <c r="H805" s="16">
        <v>56</v>
      </c>
      <c r="I805" s="16">
        <v>782</v>
      </c>
      <c r="J805" s="16">
        <v>1353</v>
      </c>
      <c r="K805" s="17">
        <f t="shared" si="48"/>
        <v>43792</v>
      </c>
      <c r="L805" s="17">
        <f t="shared" si="49"/>
        <v>75768</v>
      </c>
      <c r="M805" s="17">
        <f t="shared" si="50"/>
        <v>31976</v>
      </c>
      <c r="N805" s="17" t="str">
        <f t="shared" si="51"/>
        <v>profit</v>
      </c>
    </row>
    <row r="806" spans="1:14" ht="15.6" thickTop="1" thickBot="1" x14ac:dyDescent="0.35">
      <c r="A806" s="15">
        <v>45668</v>
      </c>
      <c r="B806" s="15" t="s">
        <v>119</v>
      </c>
      <c r="C806" s="16" t="s">
        <v>390</v>
      </c>
      <c r="D806" s="16" t="s">
        <v>58</v>
      </c>
      <c r="E806" s="16" t="s">
        <v>123</v>
      </c>
      <c r="F806" s="16" t="s">
        <v>64</v>
      </c>
      <c r="G806" s="16" t="s">
        <v>12</v>
      </c>
      <c r="H806" s="16">
        <v>92</v>
      </c>
      <c r="I806" s="16">
        <v>978</v>
      </c>
      <c r="J806" s="16">
        <v>1062</v>
      </c>
      <c r="K806" s="17">
        <f t="shared" si="48"/>
        <v>89976</v>
      </c>
      <c r="L806" s="17">
        <f t="shared" si="49"/>
        <v>97704</v>
      </c>
      <c r="M806" s="17">
        <f t="shared" si="50"/>
        <v>7728</v>
      </c>
      <c r="N806" s="17" t="str">
        <f t="shared" si="51"/>
        <v>profit</v>
      </c>
    </row>
    <row r="807" spans="1:14" ht="15.6" thickTop="1" thickBot="1" x14ac:dyDescent="0.35">
      <c r="A807" s="15">
        <v>45526</v>
      </c>
      <c r="B807" s="15" t="s">
        <v>82</v>
      </c>
      <c r="C807" s="16" t="s">
        <v>146</v>
      </c>
      <c r="D807" s="16" t="s">
        <v>71</v>
      </c>
      <c r="E807" s="16" t="s">
        <v>10</v>
      </c>
      <c r="F807" s="16" t="s">
        <v>89</v>
      </c>
      <c r="G807" s="16" t="s">
        <v>8</v>
      </c>
      <c r="H807" s="16">
        <v>29</v>
      </c>
      <c r="I807" s="16">
        <v>818</v>
      </c>
      <c r="J807" s="16">
        <v>999</v>
      </c>
      <c r="K807" s="17">
        <f t="shared" si="48"/>
        <v>23722</v>
      </c>
      <c r="L807" s="17">
        <f t="shared" si="49"/>
        <v>28971</v>
      </c>
      <c r="M807" s="17">
        <f t="shared" si="50"/>
        <v>5249</v>
      </c>
      <c r="N807" s="17" t="str">
        <f t="shared" si="51"/>
        <v>profit</v>
      </c>
    </row>
    <row r="808" spans="1:14" ht="15.6" thickTop="1" thickBot="1" x14ac:dyDescent="0.35">
      <c r="A808" s="15">
        <v>45669</v>
      </c>
      <c r="B808" s="15" t="s">
        <v>119</v>
      </c>
      <c r="C808" s="16" t="s">
        <v>391</v>
      </c>
      <c r="D808" s="16" t="s">
        <v>58</v>
      </c>
      <c r="E808" s="16" t="s">
        <v>123</v>
      </c>
      <c r="F808" s="16" t="s">
        <v>89</v>
      </c>
      <c r="G808" s="16" t="s">
        <v>8</v>
      </c>
      <c r="H808" s="16">
        <v>75</v>
      </c>
      <c r="I808" s="16">
        <v>539</v>
      </c>
      <c r="J808" s="16">
        <v>1068</v>
      </c>
      <c r="K808" s="17">
        <f t="shared" si="48"/>
        <v>40425</v>
      </c>
      <c r="L808" s="17">
        <f t="shared" si="49"/>
        <v>80100</v>
      </c>
      <c r="M808" s="17">
        <f t="shared" si="50"/>
        <v>39675</v>
      </c>
      <c r="N808" s="17" t="str">
        <f t="shared" si="51"/>
        <v>profit</v>
      </c>
    </row>
    <row r="809" spans="1:14" ht="15.6" thickTop="1" thickBot="1" x14ac:dyDescent="0.35">
      <c r="A809" s="15">
        <v>45670</v>
      </c>
      <c r="B809" s="15" t="s">
        <v>119</v>
      </c>
      <c r="C809" s="16" t="s">
        <v>392</v>
      </c>
      <c r="D809" s="16" t="s">
        <v>58</v>
      </c>
      <c r="E809" s="16" t="s">
        <v>123</v>
      </c>
      <c r="F809" s="16" t="s">
        <v>89</v>
      </c>
      <c r="G809" s="16" t="s">
        <v>12</v>
      </c>
      <c r="H809" s="16">
        <v>78</v>
      </c>
      <c r="I809" s="16">
        <v>608</v>
      </c>
      <c r="J809" s="16">
        <v>1496</v>
      </c>
      <c r="K809" s="17">
        <f t="shared" si="48"/>
        <v>47424</v>
      </c>
      <c r="L809" s="17">
        <f t="shared" si="49"/>
        <v>116688</v>
      </c>
      <c r="M809" s="17">
        <f t="shared" si="50"/>
        <v>69264</v>
      </c>
      <c r="N809" s="17" t="str">
        <f t="shared" si="51"/>
        <v>profit</v>
      </c>
    </row>
    <row r="810" spans="1:14" ht="15.6" thickTop="1" thickBot="1" x14ac:dyDescent="0.35">
      <c r="A810" s="15">
        <v>45672</v>
      </c>
      <c r="B810" s="15" t="s">
        <v>119</v>
      </c>
      <c r="C810" s="16" t="s">
        <v>393</v>
      </c>
      <c r="D810" s="16" t="s">
        <v>58</v>
      </c>
      <c r="E810" s="16" t="s">
        <v>143</v>
      </c>
      <c r="F810" s="16" t="s">
        <v>64</v>
      </c>
      <c r="G810" s="16" t="s">
        <v>12</v>
      </c>
      <c r="H810" s="16">
        <v>66</v>
      </c>
      <c r="I810" s="16">
        <v>831</v>
      </c>
      <c r="J810" s="16">
        <v>787</v>
      </c>
      <c r="K810" s="17">
        <f t="shared" si="48"/>
        <v>54846</v>
      </c>
      <c r="L810" s="17">
        <f t="shared" si="49"/>
        <v>51942</v>
      </c>
      <c r="M810" s="17">
        <f t="shared" si="50"/>
        <v>-2904</v>
      </c>
      <c r="N810" s="17" t="str">
        <f t="shared" si="51"/>
        <v>loss</v>
      </c>
    </row>
    <row r="811" spans="1:14" ht="15.6" thickTop="1" thickBot="1" x14ac:dyDescent="0.35">
      <c r="A811" s="15">
        <v>45673</v>
      </c>
      <c r="B811" s="15" t="s">
        <v>119</v>
      </c>
      <c r="C811" s="16" t="s">
        <v>394</v>
      </c>
      <c r="D811" s="16" t="s">
        <v>58</v>
      </c>
      <c r="E811" s="16" t="s">
        <v>143</v>
      </c>
      <c r="F811" s="16" t="s">
        <v>55</v>
      </c>
      <c r="G811" s="16" t="s">
        <v>12</v>
      </c>
      <c r="H811" s="16">
        <v>86</v>
      </c>
      <c r="I811" s="16">
        <v>855</v>
      </c>
      <c r="J811" s="16">
        <v>930</v>
      </c>
      <c r="K811" s="17">
        <f t="shared" si="48"/>
        <v>73530</v>
      </c>
      <c r="L811" s="17">
        <f t="shared" si="49"/>
        <v>79980</v>
      </c>
      <c r="M811" s="17">
        <f t="shared" si="50"/>
        <v>6450</v>
      </c>
      <c r="N811" s="17" t="str">
        <f t="shared" si="51"/>
        <v>profit</v>
      </c>
    </row>
    <row r="812" spans="1:14" ht="15.6" thickTop="1" thickBot="1" x14ac:dyDescent="0.35">
      <c r="A812" s="15">
        <v>45674</v>
      </c>
      <c r="B812" s="15" t="s">
        <v>119</v>
      </c>
      <c r="C812" s="16" t="s">
        <v>395</v>
      </c>
      <c r="D812" s="16" t="s">
        <v>58</v>
      </c>
      <c r="E812" s="16" t="s">
        <v>143</v>
      </c>
      <c r="F812" s="16" t="s">
        <v>137</v>
      </c>
      <c r="G812" s="16" t="s">
        <v>8</v>
      </c>
      <c r="H812" s="16">
        <v>84</v>
      </c>
      <c r="I812" s="16">
        <v>948</v>
      </c>
      <c r="J812" s="16">
        <v>1156</v>
      </c>
      <c r="K812" s="17">
        <f t="shared" si="48"/>
        <v>79632</v>
      </c>
      <c r="L812" s="17">
        <f t="shared" si="49"/>
        <v>97104</v>
      </c>
      <c r="M812" s="17">
        <f t="shared" si="50"/>
        <v>17472</v>
      </c>
      <c r="N812" s="17" t="str">
        <f t="shared" si="51"/>
        <v>profit</v>
      </c>
    </row>
    <row r="813" spans="1:14" ht="15.6" thickTop="1" thickBot="1" x14ac:dyDescent="0.35">
      <c r="A813" s="15">
        <v>45675</v>
      </c>
      <c r="B813" s="15" t="s">
        <v>119</v>
      </c>
      <c r="C813" s="16" t="s">
        <v>396</v>
      </c>
      <c r="D813" s="16" t="s">
        <v>58</v>
      </c>
      <c r="E813" s="16" t="s">
        <v>143</v>
      </c>
      <c r="F813" s="16" t="s">
        <v>69</v>
      </c>
      <c r="G813" s="16" t="s">
        <v>8</v>
      </c>
      <c r="H813" s="16">
        <v>90</v>
      </c>
      <c r="I813" s="16">
        <v>962</v>
      </c>
      <c r="J813" s="16">
        <v>970</v>
      </c>
      <c r="K813" s="17">
        <f t="shared" si="48"/>
        <v>86580</v>
      </c>
      <c r="L813" s="17">
        <f t="shared" si="49"/>
        <v>87300</v>
      </c>
      <c r="M813" s="17">
        <f t="shared" si="50"/>
        <v>720</v>
      </c>
      <c r="N813" s="17" t="str">
        <f t="shared" si="51"/>
        <v>profit</v>
      </c>
    </row>
    <row r="814" spans="1:14" ht="15.6" thickTop="1" thickBot="1" x14ac:dyDescent="0.35">
      <c r="A814" s="15">
        <v>45676</v>
      </c>
      <c r="B814" s="15" t="s">
        <v>119</v>
      </c>
      <c r="C814" s="16" t="s">
        <v>397</v>
      </c>
      <c r="D814" s="16" t="s">
        <v>58</v>
      </c>
      <c r="E814" s="16" t="s">
        <v>143</v>
      </c>
      <c r="F814" s="16" t="s">
        <v>176</v>
      </c>
      <c r="G814" s="16" t="s">
        <v>8</v>
      </c>
      <c r="H814" s="16">
        <v>84</v>
      </c>
      <c r="I814" s="16">
        <v>521</v>
      </c>
      <c r="J814" s="16">
        <v>1320</v>
      </c>
      <c r="K814" s="17">
        <f t="shared" si="48"/>
        <v>43764</v>
      </c>
      <c r="L814" s="17">
        <f t="shared" si="49"/>
        <v>110880</v>
      </c>
      <c r="M814" s="17">
        <f t="shared" si="50"/>
        <v>67116</v>
      </c>
      <c r="N814" s="17" t="str">
        <f t="shared" si="51"/>
        <v>profit</v>
      </c>
    </row>
    <row r="815" spans="1:14" ht="15.6" thickTop="1" thickBot="1" x14ac:dyDescent="0.35">
      <c r="A815" s="15">
        <v>45700</v>
      </c>
      <c r="B815" s="15" t="s">
        <v>262</v>
      </c>
      <c r="C815" s="16" t="s">
        <v>398</v>
      </c>
      <c r="D815" s="16" t="s">
        <v>58</v>
      </c>
      <c r="E815" s="16" t="s">
        <v>123</v>
      </c>
      <c r="F815" s="16" t="s">
        <v>64</v>
      </c>
      <c r="G815" s="16" t="s">
        <v>8</v>
      </c>
      <c r="H815" s="16">
        <v>85</v>
      </c>
      <c r="I815" s="16">
        <v>938</v>
      </c>
      <c r="J815" s="16">
        <v>802</v>
      </c>
      <c r="K815" s="17">
        <f t="shared" si="48"/>
        <v>79730</v>
      </c>
      <c r="L815" s="17">
        <f t="shared" si="49"/>
        <v>68170</v>
      </c>
      <c r="M815" s="17">
        <f t="shared" si="50"/>
        <v>-11560</v>
      </c>
      <c r="N815" s="17" t="str">
        <f t="shared" si="51"/>
        <v>loss</v>
      </c>
    </row>
    <row r="816" spans="1:14" ht="15.6" thickTop="1" thickBot="1" x14ac:dyDescent="0.35">
      <c r="A816" s="15">
        <v>45535</v>
      </c>
      <c r="B816" s="15" t="s">
        <v>82</v>
      </c>
      <c r="C816" s="16" t="s">
        <v>147</v>
      </c>
      <c r="D816" s="16" t="s">
        <v>58</v>
      </c>
      <c r="E816" s="16" t="s">
        <v>123</v>
      </c>
      <c r="F816" s="16" t="s">
        <v>47</v>
      </c>
      <c r="G816" s="16" t="s">
        <v>12</v>
      </c>
      <c r="H816" s="16">
        <v>60</v>
      </c>
      <c r="I816" s="16">
        <v>645</v>
      </c>
      <c r="J816" s="16">
        <v>936</v>
      </c>
      <c r="K816" s="17">
        <f t="shared" si="48"/>
        <v>38700</v>
      </c>
      <c r="L816" s="17">
        <f t="shared" si="49"/>
        <v>56160</v>
      </c>
      <c r="M816" s="17">
        <f t="shared" si="50"/>
        <v>17460</v>
      </c>
      <c r="N816" s="17" t="str">
        <f t="shared" si="51"/>
        <v>profit</v>
      </c>
    </row>
    <row r="817" spans="1:14" ht="15.6" thickTop="1" thickBot="1" x14ac:dyDescent="0.35">
      <c r="A817" s="15">
        <v>45701</v>
      </c>
      <c r="B817" s="15" t="s">
        <v>262</v>
      </c>
      <c r="C817" s="16" t="s">
        <v>399</v>
      </c>
      <c r="D817" s="16" t="s">
        <v>58</v>
      </c>
      <c r="E817" s="16" t="s">
        <v>123</v>
      </c>
      <c r="F817" s="16" t="s">
        <v>64</v>
      </c>
      <c r="G817" s="16" t="s">
        <v>8</v>
      </c>
      <c r="H817" s="16">
        <v>62</v>
      </c>
      <c r="I817" s="16">
        <v>562</v>
      </c>
      <c r="J817" s="16">
        <v>884</v>
      </c>
      <c r="K817" s="17">
        <f t="shared" si="48"/>
        <v>34844</v>
      </c>
      <c r="L817" s="17">
        <f t="shared" si="49"/>
        <v>54808</v>
      </c>
      <c r="M817" s="17">
        <f t="shared" si="50"/>
        <v>19964</v>
      </c>
      <c r="N817" s="17" t="str">
        <f t="shared" si="51"/>
        <v>profit</v>
      </c>
    </row>
    <row r="818" spans="1:14" ht="15.6" thickTop="1" thickBot="1" x14ac:dyDescent="0.35">
      <c r="A818" s="15">
        <v>45703</v>
      </c>
      <c r="B818" s="15" t="s">
        <v>262</v>
      </c>
      <c r="C818" s="16" t="s">
        <v>400</v>
      </c>
      <c r="D818" s="16" t="s">
        <v>58</v>
      </c>
      <c r="E818" s="16" t="s">
        <v>123</v>
      </c>
      <c r="F818" s="16" t="s">
        <v>89</v>
      </c>
      <c r="G818" s="16" t="s">
        <v>8</v>
      </c>
      <c r="H818" s="16">
        <v>50</v>
      </c>
      <c r="I818" s="16">
        <v>887</v>
      </c>
      <c r="J818" s="16">
        <v>1068</v>
      </c>
      <c r="K818" s="17">
        <f t="shared" si="48"/>
        <v>44350</v>
      </c>
      <c r="L818" s="17">
        <f t="shared" si="49"/>
        <v>53400</v>
      </c>
      <c r="M818" s="17">
        <f t="shared" si="50"/>
        <v>9050</v>
      </c>
      <c r="N818" s="17" t="str">
        <f t="shared" si="51"/>
        <v>profit</v>
      </c>
    </row>
    <row r="819" spans="1:14" ht="15.6" thickTop="1" thickBot="1" x14ac:dyDescent="0.35">
      <c r="A819" s="15">
        <v>45704</v>
      </c>
      <c r="B819" s="15" t="s">
        <v>262</v>
      </c>
      <c r="C819" s="16" t="s">
        <v>401</v>
      </c>
      <c r="D819" s="16" t="s">
        <v>58</v>
      </c>
      <c r="E819" s="16" t="s">
        <v>123</v>
      </c>
      <c r="F819" s="16" t="s">
        <v>85</v>
      </c>
      <c r="G819" s="16" t="s">
        <v>12</v>
      </c>
      <c r="H819" s="16">
        <v>66</v>
      </c>
      <c r="I819" s="16">
        <v>771</v>
      </c>
      <c r="J819" s="16">
        <v>1492</v>
      </c>
      <c r="K819" s="17">
        <f t="shared" si="48"/>
        <v>50886</v>
      </c>
      <c r="L819" s="17">
        <f t="shared" si="49"/>
        <v>98472</v>
      </c>
      <c r="M819" s="17">
        <f t="shared" si="50"/>
        <v>47586</v>
      </c>
      <c r="N819" s="17" t="str">
        <f t="shared" si="51"/>
        <v>profit</v>
      </c>
    </row>
    <row r="820" spans="1:14" ht="15.6" thickTop="1" thickBot="1" x14ac:dyDescent="0.35">
      <c r="A820" s="15">
        <v>45705</v>
      </c>
      <c r="B820" s="15" t="s">
        <v>262</v>
      </c>
      <c r="C820" s="16" t="s">
        <v>402</v>
      </c>
      <c r="D820" s="16" t="s">
        <v>58</v>
      </c>
      <c r="E820" s="16" t="s">
        <v>123</v>
      </c>
      <c r="F820" s="16" t="s">
        <v>64</v>
      </c>
      <c r="G820" s="16" t="s">
        <v>12</v>
      </c>
      <c r="H820" s="16">
        <v>61</v>
      </c>
      <c r="I820" s="16">
        <v>529</v>
      </c>
      <c r="J820" s="16">
        <v>1419</v>
      </c>
      <c r="K820" s="17">
        <f t="shared" si="48"/>
        <v>32269</v>
      </c>
      <c r="L820" s="17">
        <f t="shared" si="49"/>
        <v>86559</v>
      </c>
      <c r="M820" s="17">
        <f t="shared" si="50"/>
        <v>54290</v>
      </c>
      <c r="N820" s="17" t="str">
        <f t="shared" si="51"/>
        <v>profit</v>
      </c>
    </row>
    <row r="821" spans="1:14" ht="15.6" thickTop="1" thickBot="1" x14ac:dyDescent="0.35">
      <c r="A821" s="15">
        <v>45540</v>
      </c>
      <c r="B821" s="15" t="s">
        <v>94</v>
      </c>
      <c r="C821" s="16" t="s">
        <v>148</v>
      </c>
      <c r="D821" s="16" t="s">
        <v>58</v>
      </c>
      <c r="E821" s="16" t="s">
        <v>143</v>
      </c>
      <c r="F821" s="16" t="s">
        <v>55</v>
      </c>
      <c r="G821" s="16" t="s">
        <v>8</v>
      </c>
      <c r="H821" s="16">
        <v>68</v>
      </c>
      <c r="I821" s="16">
        <v>777</v>
      </c>
      <c r="J821" s="16">
        <v>1433</v>
      </c>
      <c r="K821" s="17">
        <f t="shared" si="48"/>
        <v>52836</v>
      </c>
      <c r="L821" s="17">
        <f t="shared" si="49"/>
        <v>97444</v>
      </c>
      <c r="M821" s="17">
        <f t="shared" si="50"/>
        <v>44608</v>
      </c>
      <c r="N821" s="17" t="str">
        <f t="shared" si="51"/>
        <v>profit</v>
      </c>
    </row>
    <row r="822" spans="1:14" ht="15.6" thickTop="1" thickBot="1" x14ac:dyDescent="0.35">
      <c r="A822" s="15">
        <v>45706</v>
      </c>
      <c r="B822" s="15" t="s">
        <v>262</v>
      </c>
      <c r="C822" s="16" t="s">
        <v>403</v>
      </c>
      <c r="D822" s="16" t="s">
        <v>58</v>
      </c>
      <c r="E822" s="16" t="s">
        <v>123</v>
      </c>
      <c r="F822" s="16" t="s">
        <v>55</v>
      </c>
      <c r="G822" s="16" t="s">
        <v>12</v>
      </c>
      <c r="H822" s="16">
        <v>78</v>
      </c>
      <c r="I822" s="16">
        <v>511</v>
      </c>
      <c r="J822" s="16">
        <v>1368</v>
      </c>
      <c r="K822" s="17">
        <f t="shared" si="48"/>
        <v>39858</v>
      </c>
      <c r="L822" s="17">
        <f t="shared" si="49"/>
        <v>106704</v>
      </c>
      <c r="M822" s="17">
        <f t="shared" si="50"/>
        <v>66846</v>
      </c>
      <c r="N822" s="17" t="str">
        <f t="shared" si="51"/>
        <v>profit</v>
      </c>
    </row>
    <row r="823" spans="1:14" ht="15.6" thickTop="1" thickBot="1" x14ac:dyDescent="0.35">
      <c r="A823" s="15">
        <v>45707</v>
      </c>
      <c r="B823" s="15" t="s">
        <v>262</v>
      </c>
      <c r="C823" s="16" t="s">
        <v>404</v>
      </c>
      <c r="D823" s="16" t="s">
        <v>58</v>
      </c>
      <c r="E823" s="16" t="s">
        <v>123</v>
      </c>
      <c r="F823" s="16" t="s">
        <v>137</v>
      </c>
      <c r="G823" s="16" t="s">
        <v>12</v>
      </c>
      <c r="H823" s="16">
        <v>96</v>
      </c>
      <c r="I823" s="16">
        <v>790</v>
      </c>
      <c r="J823" s="16">
        <v>1335</v>
      </c>
      <c r="K823" s="17">
        <f t="shared" si="48"/>
        <v>75840</v>
      </c>
      <c r="L823" s="17">
        <f t="shared" si="49"/>
        <v>128160</v>
      </c>
      <c r="M823" s="17">
        <f t="shared" si="50"/>
        <v>52320</v>
      </c>
      <c r="N823" s="17" t="str">
        <f t="shared" si="51"/>
        <v>profit</v>
      </c>
    </row>
    <row r="824" spans="1:14" ht="15.6" thickTop="1" thickBot="1" x14ac:dyDescent="0.35">
      <c r="A824" s="15">
        <v>45708</v>
      </c>
      <c r="B824" s="15" t="s">
        <v>262</v>
      </c>
      <c r="C824" s="16" t="s">
        <v>405</v>
      </c>
      <c r="D824" s="16" t="s">
        <v>58</v>
      </c>
      <c r="E824" s="16" t="s">
        <v>123</v>
      </c>
      <c r="F824" s="16" t="s">
        <v>69</v>
      </c>
      <c r="G824" s="16" t="s">
        <v>8</v>
      </c>
      <c r="H824" s="16">
        <v>63</v>
      </c>
      <c r="I824" s="16">
        <v>722</v>
      </c>
      <c r="J824" s="16">
        <v>1374</v>
      </c>
      <c r="K824" s="17">
        <f t="shared" si="48"/>
        <v>45486</v>
      </c>
      <c r="L824" s="17">
        <f t="shared" si="49"/>
        <v>86562</v>
      </c>
      <c r="M824" s="17">
        <f t="shared" si="50"/>
        <v>41076</v>
      </c>
      <c r="N824" s="17" t="str">
        <f t="shared" si="51"/>
        <v>profit</v>
      </c>
    </row>
    <row r="825" spans="1:14" ht="15.6" thickTop="1" thickBot="1" x14ac:dyDescent="0.35">
      <c r="A825" s="15">
        <v>45710</v>
      </c>
      <c r="B825" s="15" t="s">
        <v>262</v>
      </c>
      <c r="C825" s="16" t="s">
        <v>406</v>
      </c>
      <c r="D825" s="16" t="s">
        <v>58</v>
      </c>
      <c r="E825" s="16" t="s">
        <v>123</v>
      </c>
      <c r="F825" s="16" t="s">
        <v>178</v>
      </c>
      <c r="G825" s="16" t="s">
        <v>12</v>
      </c>
      <c r="H825" s="16">
        <v>92</v>
      </c>
      <c r="I825" s="16">
        <v>521</v>
      </c>
      <c r="J825" s="16">
        <v>1414</v>
      </c>
      <c r="K825" s="17">
        <f t="shared" si="48"/>
        <v>47932</v>
      </c>
      <c r="L825" s="17">
        <f t="shared" si="49"/>
        <v>130088</v>
      </c>
      <c r="M825" s="17">
        <f t="shared" si="50"/>
        <v>82156</v>
      </c>
      <c r="N825" s="17" t="str">
        <f t="shared" si="51"/>
        <v>profit</v>
      </c>
    </row>
    <row r="826" spans="1:14" ht="15.6" thickTop="1" thickBot="1" x14ac:dyDescent="0.35">
      <c r="A826" s="15">
        <v>45711</v>
      </c>
      <c r="B826" s="15" t="s">
        <v>262</v>
      </c>
      <c r="C826" s="16" t="s">
        <v>407</v>
      </c>
      <c r="D826" s="16" t="s">
        <v>58</v>
      </c>
      <c r="E826" s="16" t="s">
        <v>123</v>
      </c>
      <c r="F826" s="16" t="s">
        <v>45</v>
      </c>
      <c r="G826" s="16" t="s">
        <v>12</v>
      </c>
      <c r="H826" s="16">
        <v>65</v>
      </c>
      <c r="I826" s="16">
        <v>661</v>
      </c>
      <c r="J826" s="16">
        <v>1425</v>
      </c>
      <c r="K826" s="17">
        <f t="shared" si="48"/>
        <v>42965</v>
      </c>
      <c r="L826" s="17">
        <f t="shared" si="49"/>
        <v>92625</v>
      </c>
      <c r="M826" s="17">
        <f t="shared" si="50"/>
        <v>49660</v>
      </c>
      <c r="N826" s="17" t="str">
        <f t="shared" si="51"/>
        <v>profit</v>
      </c>
    </row>
    <row r="827" spans="1:14" ht="15.6" thickTop="1" thickBot="1" x14ac:dyDescent="0.35">
      <c r="A827" s="15">
        <v>45712</v>
      </c>
      <c r="B827" s="15" t="s">
        <v>262</v>
      </c>
      <c r="C827" s="16" t="s">
        <v>408</v>
      </c>
      <c r="D827" s="16" t="s">
        <v>58</v>
      </c>
      <c r="E827" s="16" t="s">
        <v>143</v>
      </c>
      <c r="F827" s="16" t="s">
        <v>47</v>
      </c>
      <c r="G827" s="16" t="s">
        <v>12</v>
      </c>
      <c r="H827" s="16">
        <v>77</v>
      </c>
      <c r="I827" s="16">
        <v>595</v>
      </c>
      <c r="J827" s="16">
        <v>1470</v>
      </c>
      <c r="K827" s="17">
        <f t="shared" si="48"/>
        <v>45815</v>
      </c>
      <c r="L827" s="17">
        <f t="shared" si="49"/>
        <v>113190</v>
      </c>
      <c r="M827" s="17">
        <f t="shared" si="50"/>
        <v>67375</v>
      </c>
      <c r="N827" s="17" t="str">
        <f t="shared" si="51"/>
        <v>profit</v>
      </c>
    </row>
    <row r="828" spans="1:14" ht="15.6" thickTop="1" thickBot="1" x14ac:dyDescent="0.35">
      <c r="A828" s="15">
        <v>45713</v>
      </c>
      <c r="B828" s="15" t="s">
        <v>262</v>
      </c>
      <c r="C828" s="16" t="s">
        <v>409</v>
      </c>
      <c r="D828" s="16" t="s">
        <v>58</v>
      </c>
      <c r="E828" s="16" t="s">
        <v>410</v>
      </c>
      <c r="F828" s="16" t="s">
        <v>47</v>
      </c>
      <c r="G828" s="16" t="s">
        <v>12</v>
      </c>
      <c r="H828" s="16">
        <v>62</v>
      </c>
      <c r="I828" s="16">
        <v>774</v>
      </c>
      <c r="J828" s="16">
        <v>1050</v>
      </c>
      <c r="K828" s="17">
        <f t="shared" si="48"/>
        <v>47988</v>
      </c>
      <c r="L828" s="17">
        <f t="shared" si="49"/>
        <v>65100</v>
      </c>
      <c r="M828" s="17">
        <f t="shared" si="50"/>
        <v>17112</v>
      </c>
      <c r="N828" s="17" t="str">
        <f t="shared" si="51"/>
        <v>profit</v>
      </c>
    </row>
    <row r="829" spans="1:14" ht="15.6" thickTop="1" thickBot="1" x14ac:dyDescent="0.35">
      <c r="A829" s="15">
        <v>45387</v>
      </c>
      <c r="B829" s="15" t="s">
        <v>56</v>
      </c>
      <c r="C829" s="16" t="s">
        <v>278</v>
      </c>
      <c r="D829" s="16" t="s">
        <v>58</v>
      </c>
      <c r="E829" s="16" t="s">
        <v>59</v>
      </c>
      <c r="F829" s="16" t="s">
        <v>100</v>
      </c>
      <c r="G829" s="16" t="s">
        <v>12</v>
      </c>
      <c r="H829" s="16">
        <v>65</v>
      </c>
      <c r="I829" s="16">
        <v>816</v>
      </c>
      <c r="J829" s="16">
        <v>1347</v>
      </c>
      <c r="K829" s="17">
        <f t="shared" si="48"/>
        <v>53040</v>
      </c>
      <c r="L829" s="17">
        <f t="shared" si="49"/>
        <v>87555</v>
      </c>
      <c r="M829" s="17">
        <f t="shared" si="50"/>
        <v>34515</v>
      </c>
      <c r="N829" s="17" t="str">
        <f t="shared" si="51"/>
        <v>profit</v>
      </c>
    </row>
    <row r="830" spans="1:14" ht="15.6" thickTop="1" thickBot="1" x14ac:dyDescent="0.35">
      <c r="A830" s="15">
        <v>45549</v>
      </c>
      <c r="B830" s="15" t="s">
        <v>94</v>
      </c>
      <c r="C830" s="16" t="s">
        <v>149</v>
      </c>
      <c r="D830" s="16" t="s">
        <v>43</v>
      </c>
      <c r="E830" s="16" t="s">
        <v>62</v>
      </c>
      <c r="F830" s="16" t="s">
        <v>60</v>
      </c>
      <c r="G830" s="16" t="s">
        <v>8</v>
      </c>
      <c r="H830" s="16">
        <v>19</v>
      </c>
      <c r="I830" s="16">
        <v>576</v>
      </c>
      <c r="J830" s="16">
        <v>1181</v>
      </c>
      <c r="K830" s="17">
        <f t="shared" si="48"/>
        <v>10944</v>
      </c>
      <c r="L830" s="17">
        <f t="shared" si="49"/>
        <v>22439</v>
      </c>
      <c r="M830" s="17">
        <f t="shared" si="50"/>
        <v>11495</v>
      </c>
      <c r="N830" s="17" t="str">
        <f t="shared" si="51"/>
        <v>profit</v>
      </c>
    </row>
    <row r="831" spans="1:14" ht="15.6" thickTop="1" thickBot="1" x14ac:dyDescent="0.35">
      <c r="A831" s="15">
        <v>45388</v>
      </c>
      <c r="B831" s="15" t="s">
        <v>56</v>
      </c>
      <c r="C831" s="16" t="s">
        <v>279</v>
      </c>
      <c r="D831" s="16" t="s">
        <v>58</v>
      </c>
      <c r="E831" s="16" t="s">
        <v>59</v>
      </c>
      <c r="F831" s="16" t="s">
        <v>102</v>
      </c>
      <c r="G831" s="16" t="s">
        <v>12</v>
      </c>
      <c r="H831" s="16">
        <v>100</v>
      </c>
      <c r="I831" s="16">
        <v>893</v>
      </c>
      <c r="J831" s="16">
        <v>1460</v>
      </c>
      <c r="K831" s="17">
        <f t="shared" si="48"/>
        <v>89300</v>
      </c>
      <c r="L831" s="17">
        <f t="shared" si="49"/>
        <v>146000</v>
      </c>
      <c r="M831" s="17">
        <f t="shared" si="50"/>
        <v>56700</v>
      </c>
      <c r="N831" s="17" t="str">
        <f t="shared" si="51"/>
        <v>profit</v>
      </c>
    </row>
    <row r="832" spans="1:14" ht="15.6" thickTop="1" thickBot="1" x14ac:dyDescent="0.35">
      <c r="A832" s="15">
        <v>45390</v>
      </c>
      <c r="B832" s="15" t="s">
        <v>56</v>
      </c>
      <c r="C832" s="16" t="s">
        <v>280</v>
      </c>
      <c r="D832" s="16" t="s">
        <v>58</v>
      </c>
      <c r="E832" s="16" t="s">
        <v>59</v>
      </c>
      <c r="F832" s="16" t="s">
        <v>69</v>
      </c>
      <c r="G832" s="16" t="s">
        <v>12</v>
      </c>
      <c r="H832" s="16">
        <v>79</v>
      </c>
      <c r="I832" s="16">
        <v>632</v>
      </c>
      <c r="J832" s="16">
        <v>1271</v>
      </c>
      <c r="K832" s="17">
        <f t="shared" si="48"/>
        <v>49928</v>
      </c>
      <c r="L832" s="17">
        <f t="shared" si="49"/>
        <v>100409</v>
      </c>
      <c r="M832" s="17">
        <f t="shared" si="50"/>
        <v>50481</v>
      </c>
      <c r="N832" s="17" t="str">
        <f t="shared" si="51"/>
        <v>profit</v>
      </c>
    </row>
    <row r="833" spans="1:14" ht="15.6" thickTop="1" thickBot="1" x14ac:dyDescent="0.35">
      <c r="A833" s="15">
        <v>45397</v>
      </c>
      <c r="B833" s="15" t="s">
        <v>56</v>
      </c>
      <c r="C833" s="16" t="s">
        <v>281</v>
      </c>
      <c r="D833" s="16" t="s">
        <v>58</v>
      </c>
      <c r="E833" s="16" t="s">
        <v>186</v>
      </c>
      <c r="F833" s="16" t="s">
        <v>69</v>
      </c>
      <c r="G833" s="16" t="s">
        <v>8</v>
      </c>
      <c r="H833" s="16">
        <v>74</v>
      </c>
      <c r="I833" s="16">
        <v>859</v>
      </c>
      <c r="J833" s="16">
        <v>1315</v>
      </c>
      <c r="K833" s="17">
        <f t="shared" si="48"/>
        <v>63566</v>
      </c>
      <c r="L833" s="17">
        <f t="shared" si="49"/>
        <v>97310</v>
      </c>
      <c r="M833" s="17">
        <f t="shared" si="50"/>
        <v>33744</v>
      </c>
      <c r="N833" s="17" t="str">
        <f t="shared" si="51"/>
        <v>profit</v>
      </c>
    </row>
    <row r="834" spans="1:14" ht="15.6" thickTop="1" thickBot="1" x14ac:dyDescent="0.35">
      <c r="A834" s="15">
        <v>45398</v>
      </c>
      <c r="B834" s="15" t="s">
        <v>56</v>
      </c>
      <c r="C834" s="16" t="s">
        <v>282</v>
      </c>
      <c r="D834" s="16" t="s">
        <v>58</v>
      </c>
      <c r="E834" s="16" t="s">
        <v>186</v>
      </c>
      <c r="F834" s="16" t="s">
        <v>74</v>
      </c>
      <c r="G834" s="16" t="s">
        <v>8</v>
      </c>
      <c r="H834" s="16">
        <v>77</v>
      </c>
      <c r="I834" s="16">
        <v>579</v>
      </c>
      <c r="J834" s="16">
        <v>1178</v>
      </c>
      <c r="K834" s="17">
        <f t="shared" ref="K834:K897" si="52">H834*I834</f>
        <v>44583</v>
      </c>
      <c r="L834" s="17">
        <f t="shared" ref="L834:L897" si="53">H834*J834</f>
        <v>90706</v>
      </c>
      <c r="M834" s="17">
        <f t="shared" ref="M834:M897" si="54">L834-K834</f>
        <v>46123</v>
      </c>
      <c r="N834" s="17" t="str">
        <f t="shared" ref="N834:N897" si="55">IF(M834&gt;0,"profit","loss")</f>
        <v>profit</v>
      </c>
    </row>
    <row r="835" spans="1:14" ht="15.6" thickTop="1" thickBot="1" x14ac:dyDescent="0.35">
      <c r="A835" s="15">
        <v>45554</v>
      </c>
      <c r="B835" s="15" t="s">
        <v>94</v>
      </c>
      <c r="C835" s="16" t="s">
        <v>150</v>
      </c>
      <c r="D835" s="16" t="s">
        <v>43</v>
      </c>
      <c r="E835" s="16" t="s">
        <v>62</v>
      </c>
      <c r="F835" s="16" t="s">
        <v>64</v>
      </c>
      <c r="G835" s="16" t="s">
        <v>12</v>
      </c>
      <c r="H835" s="16">
        <v>16</v>
      </c>
      <c r="I835" s="16">
        <v>689</v>
      </c>
      <c r="J835" s="16">
        <v>1068</v>
      </c>
      <c r="K835" s="17">
        <f t="shared" si="52"/>
        <v>11024</v>
      </c>
      <c r="L835" s="17">
        <f t="shared" si="53"/>
        <v>17088</v>
      </c>
      <c r="M835" s="17">
        <f t="shared" si="54"/>
        <v>6064</v>
      </c>
      <c r="N835" s="17" t="str">
        <f t="shared" si="55"/>
        <v>profit</v>
      </c>
    </row>
    <row r="836" spans="1:14" ht="15.6" thickTop="1" thickBot="1" x14ac:dyDescent="0.35">
      <c r="A836" s="15">
        <v>45399</v>
      </c>
      <c r="B836" s="15" t="s">
        <v>56</v>
      </c>
      <c r="C836" s="16" t="s">
        <v>283</v>
      </c>
      <c r="D836" s="16" t="s">
        <v>58</v>
      </c>
      <c r="E836" s="16" t="s">
        <v>186</v>
      </c>
      <c r="F836" s="16" t="s">
        <v>53</v>
      </c>
      <c r="G836" s="16" t="s">
        <v>8</v>
      </c>
      <c r="H836" s="16">
        <v>61</v>
      </c>
      <c r="I836" s="16">
        <v>865</v>
      </c>
      <c r="J836" s="16">
        <v>894</v>
      </c>
      <c r="K836" s="17">
        <f t="shared" si="52"/>
        <v>52765</v>
      </c>
      <c r="L836" s="17">
        <f t="shared" si="53"/>
        <v>54534</v>
      </c>
      <c r="M836" s="17">
        <f t="shared" si="54"/>
        <v>1769</v>
      </c>
      <c r="N836" s="17" t="str">
        <f t="shared" si="55"/>
        <v>profit</v>
      </c>
    </row>
    <row r="837" spans="1:14" ht="15.6" thickTop="1" thickBot="1" x14ac:dyDescent="0.35">
      <c r="A837" s="15">
        <v>45400</v>
      </c>
      <c r="B837" s="15" t="s">
        <v>56</v>
      </c>
      <c r="C837" s="16" t="s">
        <v>284</v>
      </c>
      <c r="D837" s="16" t="s">
        <v>58</v>
      </c>
      <c r="E837" s="16" t="s">
        <v>186</v>
      </c>
      <c r="F837" s="16" t="s">
        <v>77</v>
      </c>
      <c r="G837" s="16" t="s">
        <v>8</v>
      </c>
      <c r="H837" s="16">
        <v>57</v>
      </c>
      <c r="I837" s="16">
        <v>881</v>
      </c>
      <c r="J837" s="16">
        <v>1185</v>
      </c>
      <c r="K837" s="17">
        <f t="shared" si="52"/>
        <v>50217</v>
      </c>
      <c r="L837" s="17">
        <f t="shared" si="53"/>
        <v>67545</v>
      </c>
      <c r="M837" s="17">
        <f t="shared" si="54"/>
        <v>17328</v>
      </c>
      <c r="N837" s="17" t="str">
        <f t="shared" si="55"/>
        <v>profit</v>
      </c>
    </row>
    <row r="838" spans="1:14" ht="15.6" thickTop="1" thickBot="1" x14ac:dyDescent="0.35">
      <c r="A838" s="15">
        <v>45401</v>
      </c>
      <c r="B838" s="15" t="s">
        <v>56</v>
      </c>
      <c r="C838" s="16" t="s">
        <v>285</v>
      </c>
      <c r="D838" s="16" t="s">
        <v>58</v>
      </c>
      <c r="E838" s="16" t="s">
        <v>186</v>
      </c>
      <c r="F838" s="16" t="s">
        <v>79</v>
      </c>
      <c r="G838" s="16" t="s">
        <v>8</v>
      </c>
      <c r="H838" s="16">
        <v>57</v>
      </c>
      <c r="I838" s="16">
        <v>548</v>
      </c>
      <c r="J838" s="16">
        <v>1306</v>
      </c>
      <c r="K838" s="17">
        <f t="shared" si="52"/>
        <v>31236</v>
      </c>
      <c r="L838" s="17">
        <f t="shared" si="53"/>
        <v>74442</v>
      </c>
      <c r="M838" s="17">
        <f t="shared" si="54"/>
        <v>43206</v>
      </c>
      <c r="N838" s="17" t="str">
        <f t="shared" si="55"/>
        <v>profit</v>
      </c>
    </row>
    <row r="839" spans="1:14" ht="15.6" thickTop="1" thickBot="1" x14ac:dyDescent="0.35">
      <c r="A839" s="15">
        <v>45402</v>
      </c>
      <c r="B839" s="15" t="s">
        <v>56</v>
      </c>
      <c r="C839" s="16" t="s">
        <v>286</v>
      </c>
      <c r="D839" s="16" t="s">
        <v>58</v>
      </c>
      <c r="E839" s="16" t="s">
        <v>186</v>
      </c>
      <c r="F839" s="16" t="s">
        <v>60</v>
      </c>
      <c r="G839" s="16" t="s">
        <v>12</v>
      </c>
      <c r="H839" s="16">
        <v>84</v>
      </c>
      <c r="I839" s="16">
        <v>702</v>
      </c>
      <c r="J839" s="16">
        <v>787</v>
      </c>
      <c r="K839" s="17">
        <f t="shared" si="52"/>
        <v>58968</v>
      </c>
      <c r="L839" s="17">
        <f t="shared" si="53"/>
        <v>66108</v>
      </c>
      <c r="M839" s="17">
        <f t="shared" si="54"/>
        <v>7140</v>
      </c>
      <c r="N839" s="17" t="str">
        <f t="shared" si="55"/>
        <v>profit</v>
      </c>
    </row>
    <row r="840" spans="1:14" ht="15.6" thickTop="1" thickBot="1" x14ac:dyDescent="0.35">
      <c r="A840" s="15">
        <v>45403</v>
      </c>
      <c r="B840" s="15" t="s">
        <v>56</v>
      </c>
      <c r="C840" s="16" t="s">
        <v>287</v>
      </c>
      <c r="D840" s="16" t="s">
        <v>58</v>
      </c>
      <c r="E840" s="16" t="s">
        <v>186</v>
      </c>
      <c r="F840" s="16" t="s">
        <v>64</v>
      </c>
      <c r="G840" s="16" t="s">
        <v>12</v>
      </c>
      <c r="H840" s="16">
        <v>76</v>
      </c>
      <c r="I840" s="16">
        <v>875</v>
      </c>
      <c r="J840" s="16">
        <v>1268</v>
      </c>
      <c r="K840" s="17">
        <f t="shared" si="52"/>
        <v>66500</v>
      </c>
      <c r="L840" s="17">
        <f t="shared" si="53"/>
        <v>96368</v>
      </c>
      <c r="M840" s="17">
        <f t="shared" si="54"/>
        <v>29868</v>
      </c>
      <c r="N840" s="17" t="str">
        <f t="shared" si="55"/>
        <v>profit</v>
      </c>
    </row>
    <row r="841" spans="1:14" ht="15.6" thickTop="1" thickBot="1" x14ac:dyDescent="0.35">
      <c r="A841" s="15">
        <v>45431</v>
      </c>
      <c r="B841" s="15" t="s">
        <v>121</v>
      </c>
      <c r="C841" s="16" t="s">
        <v>288</v>
      </c>
      <c r="D841" s="16" t="s">
        <v>58</v>
      </c>
      <c r="E841" s="16" t="s">
        <v>123</v>
      </c>
      <c r="F841" s="16" t="s">
        <v>85</v>
      </c>
      <c r="G841" s="16" t="s">
        <v>12</v>
      </c>
      <c r="H841" s="16">
        <v>50</v>
      </c>
      <c r="I841" s="16">
        <v>885</v>
      </c>
      <c r="J841" s="16">
        <v>927</v>
      </c>
      <c r="K841" s="17">
        <f t="shared" si="52"/>
        <v>44250</v>
      </c>
      <c r="L841" s="17">
        <f t="shared" si="53"/>
        <v>46350</v>
      </c>
      <c r="M841" s="17">
        <f t="shared" si="54"/>
        <v>2100</v>
      </c>
      <c r="N841" s="17" t="str">
        <f t="shared" si="55"/>
        <v>profit</v>
      </c>
    </row>
    <row r="842" spans="1:14" ht="15.6" thickTop="1" thickBot="1" x14ac:dyDescent="0.35">
      <c r="A842" s="15">
        <v>45433</v>
      </c>
      <c r="B842" s="15" t="s">
        <v>121</v>
      </c>
      <c r="C842" s="16" t="s">
        <v>289</v>
      </c>
      <c r="D842" s="16" t="s">
        <v>58</v>
      </c>
      <c r="E842" s="16" t="s">
        <v>123</v>
      </c>
      <c r="F842" s="16" t="s">
        <v>64</v>
      </c>
      <c r="G842" s="16" t="s">
        <v>8</v>
      </c>
      <c r="H842" s="16">
        <v>53</v>
      </c>
      <c r="I842" s="16">
        <v>950</v>
      </c>
      <c r="J842" s="16">
        <v>875</v>
      </c>
      <c r="K842" s="17">
        <f t="shared" si="52"/>
        <v>50350</v>
      </c>
      <c r="L842" s="17">
        <f t="shared" si="53"/>
        <v>46375</v>
      </c>
      <c r="M842" s="17">
        <f t="shared" si="54"/>
        <v>-3975</v>
      </c>
      <c r="N842" s="17" t="str">
        <f t="shared" si="55"/>
        <v>loss</v>
      </c>
    </row>
    <row r="843" spans="1:14" ht="15.6" thickTop="1" thickBot="1" x14ac:dyDescent="0.35">
      <c r="A843" s="15">
        <v>45434</v>
      </c>
      <c r="B843" s="15" t="s">
        <v>121</v>
      </c>
      <c r="C843" s="16" t="s">
        <v>290</v>
      </c>
      <c r="D843" s="16" t="s">
        <v>58</v>
      </c>
      <c r="E843" s="16" t="s">
        <v>123</v>
      </c>
      <c r="F843" s="16" t="s">
        <v>64</v>
      </c>
      <c r="G843" s="16" t="s">
        <v>8</v>
      </c>
      <c r="H843" s="16">
        <v>62</v>
      </c>
      <c r="I843" s="16">
        <v>623</v>
      </c>
      <c r="J843" s="16">
        <v>1253</v>
      </c>
      <c r="K843" s="17">
        <f t="shared" si="52"/>
        <v>38626</v>
      </c>
      <c r="L843" s="17">
        <f t="shared" si="53"/>
        <v>77686</v>
      </c>
      <c r="M843" s="17">
        <f t="shared" si="54"/>
        <v>39060</v>
      </c>
      <c r="N843" s="17" t="str">
        <f t="shared" si="55"/>
        <v>profit</v>
      </c>
    </row>
    <row r="844" spans="1:14" ht="15.6" thickTop="1" thickBot="1" x14ac:dyDescent="0.35">
      <c r="A844" s="15">
        <v>45563</v>
      </c>
      <c r="B844" s="15" t="s">
        <v>94</v>
      </c>
      <c r="C844" s="16" t="s">
        <v>151</v>
      </c>
      <c r="D844" s="16" t="s">
        <v>43</v>
      </c>
      <c r="E844" s="16" t="s">
        <v>44</v>
      </c>
      <c r="F844" s="16" t="s">
        <v>64</v>
      </c>
      <c r="G844" s="16" t="s">
        <v>8</v>
      </c>
      <c r="H844" s="16">
        <v>18</v>
      </c>
      <c r="I844" s="16">
        <v>835</v>
      </c>
      <c r="J844" s="16">
        <v>1234</v>
      </c>
      <c r="K844" s="17">
        <f t="shared" si="52"/>
        <v>15030</v>
      </c>
      <c r="L844" s="17">
        <f t="shared" si="53"/>
        <v>22212</v>
      </c>
      <c r="M844" s="17">
        <f t="shared" si="54"/>
        <v>7182</v>
      </c>
      <c r="N844" s="17" t="str">
        <f t="shared" si="55"/>
        <v>profit</v>
      </c>
    </row>
    <row r="845" spans="1:14" ht="15.6" thickTop="1" thickBot="1" x14ac:dyDescent="0.35">
      <c r="A845" s="15">
        <v>45435</v>
      </c>
      <c r="B845" s="15" t="s">
        <v>121</v>
      </c>
      <c r="C845" s="16" t="s">
        <v>291</v>
      </c>
      <c r="D845" s="16" t="s">
        <v>58</v>
      </c>
      <c r="E845" s="16" t="s">
        <v>123</v>
      </c>
      <c r="F845" s="16" t="s">
        <v>69</v>
      </c>
      <c r="G845" s="16" t="s">
        <v>8</v>
      </c>
      <c r="H845" s="16">
        <v>72</v>
      </c>
      <c r="I845" s="16">
        <v>920</v>
      </c>
      <c r="J845" s="16">
        <v>753</v>
      </c>
      <c r="K845" s="17">
        <f t="shared" si="52"/>
        <v>66240</v>
      </c>
      <c r="L845" s="17">
        <f t="shared" si="53"/>
        <v>54216</v>
      </c>
      <c r="M845" s="17">
        <f t="shared" si="54"/>
        <v>-12024</v>
      </c>
      <c r="N845" s="17" t="str">
        <f t="shared" si="55"/>
        <v>loss</v>
      </c>
    </row>
    <row r="846" spans="1:14" ht="15.6" thickTop="1" thickBot="1" x14ac:dyDescent="0.35">
      <c r="A846" s="15">
        <v>45565</v>
      </c>
      <c r="B846" s="15" t="s">
        <v>94</v>
      </c>
      <c r="C846" s="16" t="s">
        <v>152</v>
      </c>
      <c r="D846" s="16" t="s">
        <v>43</v>
      </c>
      <c r="E846" s="16" t="s">
        <v>44</v>
      </c>
      <c r="F846" s="16" t="s">
        <v>89</v>
      </c>
      <c r="G846" s="16" t="s">
        <v>8</v>
      </c>
      <c r="H846" s="16">
        <v>13</v>
      </c>
      <c r="I846" s="16">
        <v>855</v>
      </c>
      <c r="J846" s="16">
        <v>951</v>
      </c>
      <c r="K846" s="17">
        <f t="shared" si="52"/>
        <v>11115</v>
      </c>
      <c r="L846" s="17">
        <f t="shared" si="53"/>
        <v>12363</v>
      </c>
      <c r="M846" s="17">
        <f t="shared" si="54"/>
        <v>1248</v>
      </c>
      <c r="N846" s="17" t="str">
        <f t="shared" si="55"/>
        <v>profit</v>
      </c>
    </row>
    <row r="847" spans="1:14" ht="15.6" thickTop="1" thickBot="1" x14ac:dyDescent="0.35">
      <c r="A847" s="15">
        <v>45436</v>
      </c>
      <c r="B847" s="15" t="s">
        <v>121</v>
      </c>
      <c r="C847" s="16" t="s">
        <v>292</v>
      </c>
      <c r="D847" s="16" t="s">
        <v>58</v>
      </c>
      <c r="E847" s="16" t="s">
        <v>123</v>
      </c>
      <c r="F847" s="16" t="s">
        <v>53</v>
      </c>
      <c r="G847" s="16" t="s">
        <v>8</v>
      </c>
      <c r="H847" s="16">
        <v>69</v>
      </c>
      <c r="I847" s="16">
        <v>860</v>
      </c>
      <c r="J847" s="16">
        <v>1081</v>
      </c>
      <c r="K847" s="17">
        <f t="shared" si="52"/>
        <v>59340</v>
      </c>
      <c r="L847" s="17">
        <f t="shared" si="53"/>
        <v>74589</v>
      </c>
      <c r="M847" s="17">
        <f t="shared" si="54"/>
        <v>15249</v>
      </c>
      <c r="N847" s="17" t="str">
        <f t="shared" si="55"/>
        <v>profit</v>
      </c>
    </row>
    <row r="848" spans="1:14" ht="15.6" thickTop="1" thickBot="1" x14ac:dyDescent="0.35">
      <c r="A848" s="15">
        <v>45437</v>
      </c>
      <c r="B848" s="15" t="s">
        <v>121</v>
      </c>
      <c r="C848" s="16" t="s">
        <v>293</v>
      </c>
      <c r="D848" s="16" t="s">
        <v>58</v>
      </c>
      <c r="E848" s="16" t="s">
        <v>123</v>
      </c>
      <c r="F848" s="16" t="s">
        <v>69</v>
      </c>
      <c r="G848" s="16" t="s">
        <v>8</v>
      </c>
      <c r="H848" s="16">
        <v>80</v>
      </c>
      <c r="I848" s="16">
        <v>765</v>
      </c>
      <c r="J848" s="16">
        <v>924</v>
      </c>
      <c r="K848" s="17">
        <f t="shared" si="52"/>
        <v>61200</v>
      </c>
      <c r="L848" s="17">
        <f t="shared" si="53"/>
        <v>73920</v>
      </c>
      <c r="M848" s="17">
        <f t="shared" si="54"/>
        <v>12720</v>
      </c>
      <c r="N848" s="17" t="str">
        <f t="shared" si="55"/>
        <v>profit</v>
      </c>
    </row>
    <row r="849" spans="1:14" ht="15.6" thickTop="1" thickBot="1" x14ac:dyDescent="0.35">
      <c r="A849" s="15">
        <v>45438</v>
      </c>
      <c r="B849" s="15" t="s">
        <v>121</v>
      </c>
      <c r="C849" s="16" t="s">
        <v>294</v>
      </c>
      <c r="D849" s="16" t="s">
        <v>58</v>
      </c>
      <c r="E849" s="16" t="s">
        <v>123</v>
      </c>
      <c r="F849" s="16" t="s">
        <v>74</v>
      </c>
      <c r="G849" s="16" t="s">
        <v>8</v>
      </c>
      <c r="H849" s="16">
        <v>75</v>
      </c>
      <c r="I849" s="16">
        <v>690</v>
      </c>
      <c r="J849" s="16">
        <v>817</v>
      </c>
      <c r="K849" s="17">
        <f t="shared" si="52"/>
        <v>51750</v>
      </c>
      <c r="L849" s="17">
        <f t="shared" si="53"/>
        <v>61275</v>
      </c>
      <c r="M849" s="17">
        <f t="shared" si="54"/>
        <v>9525</v>
      </c>
      <c r="N849" s="17" t="str">
        <f t="shared" si="55"/>
        <v>profit</v>
      </c>
    </row>
    <row r="850" spans="1:14" ht="15.6" thickTop="1" thickBot="1" x14ac:dyDescent="0.35">
      <c r="A850" s="15">
        <v>45439</v>
      </c>
      <c r="B850" s="15" t="s">
        <v>121</v>
      </c>
      <c r="C850" s="16" t="s">
        <v>295</v>
      </c>
      <c r="D850" s="16" t="s">
        <v>58</v>
      </c>
      <c r="E850" s="16" t="s">
        <v>123</v>
      </c>
      <c r="F850" s="16" t="s">
        <v>53</v>
      </c>
      <c r="G850" s="16" t="s">
        <v>8</v>
      </c>
      <c r="H850" s="16">
        <v>100</v>
      </c>
      <c r="I850" s="16">
        <v>795</v>
      </c>
      <c r="J850" s="16">
        <v>1136</v>
      </c>
      <c r="K850" s="17">
        <f t="shared" si="52"/>
        <v>79500</v>
      </c>
      <c r="L850" s="17">
        <f t="shared" si="53"/>
        <v>113600</v>
      </c>
      <c r="M850" s="17">
        <f t="shared" si="54"/>
        <v>34100</v>
      </c>
      <c r="N850" s="17" t="str">
        <f t="shared" si="55"/>
        <v>profit</v>
      </c>
    </row>
    <row r="851" spans="1:14" ht="15.6" thickTop="1" thickBot="1" x14ac:dyDescent="0.35">
      <c r="A851" s="15">
        <v>45440</v>
      </c>
      <c r="B851" s="15" t="s">
        <v>121</v>
      </c>
      <c r="C851" s="16" t="s">
        <v>296</v>
      </c>
      <c r="D851" s="16" t="s">
        <v>58</v>
      </c>
      <c r="E851" s="16" t="s">
        <v>123</v>
      </c>
      <c r="F851" s="16" t="s">
        <v>77</v>
      </c>
      <c r="G851" s="16" t="s">
        <v>12</v>
      </c>
      <c r="H851" s="16">
        <v>85</v>
      </c>
      <c r="I851" s="16">
        <v>845</v>
      </c>
      <c r="J851" s="16">
        <v>1155</v>
      </c>
      <c r="K851" s="17">
        <f t="shared" si="52"/>
        <v>71825</v>
      </c>
      <c r="L851" s="17">
        <f t="shared" si="53"/>
        <v>98175</v>
      </c>
      <c r="M851" s="17">
        <f t="shared" si="54"/>
        <v>26350</v>
      </c>
      <c r="N851" s="17" t="str">
        <f t="shared" si="55"/>
        <v>profit</v>
      </c>
    </row>
    <row r="852" spans="1:14" ht="15.6" thickTop="1" thickBot="1" x14ac:dyDescent="0.35">
      <c r="A852" s="15">
        <v>45571</v>
      </c>
      <c r="B852" s="15" t="s">
        <v>109</v>
      </c>
      <c r="C852" s="16" t="s">
        <v>153</v>
      </c>
      <c r="D852" s="16" t="s">
        <v>58</v>
      </c>
      <c r="E852" s="16" t="s">
        <v>123</v>
      </c>
      <c r="F852" s="16" t="s">
        <v>69</v>
      </c>
      <c r="G852" s="16" t="s">
        <v>8</v>
      </c>
      <c r="H852" s="16">
        <v>79</v>
      </c>
      <c r="I852" s="16">
        <v>683</v>
      </c>
      <c r="J852" s="16">
        <v>1444</v>
      </c>
      <c r="K852" s="17">
        <f t="shared" si="52"/>
        <v>53957</v>
      </c>
      <c r="L852" s="17">
        <f t="shared" si="53"/>
        <v>114076</v>
      </c>
      <c r="M852" s="17">
        <f t="shared" si="54"/>
        <v>60119</v>
      </c>
      <c r="N852" s="17" t="str">
        <f t="shared" si="55"/>
        <v>profit</v>
      </c>
    </row>
    <row r="853" spans="1:14" ht="15.6" thickTop="1" thickBot="1" x14ac:dyDescent="0.35">
      <c r="A853" s="15">
        <v>45442</v>
      </c>
      <c r="B853" s="15" t="s">
        <v>121</v>
      </c>
      <c r="C853" s="16" t="s">
        <v>297</v>
      </c>
      <c r="D853" s="16" t="s">
        <v>58</v>
      </c>
      <c r="E853" s="16" t="s">
        <v>123</v>
      </c>
      <c r="F853" s="16" t="s">
        <v>60</v>
      </c>
      <c r="G853" s="16" t="s">
        <v>12</v>
      </c>
      <c r="H853" s="16">
        <v>51</v>
      </c>
      <c r="I853" s="16">
        <v>876</v>
      </c>
      <c r="J853" s="16">
        <v>1252</v>
      </c>
      <c r="K853" s="17">
        <f t="shared" si="52"/>
        <v>44676</v>
      </c>
      <c r="L853" s="17">
        <f t="shared" si="53"/>
        <v>63852</v>
      </c>
      <c r="M853" s="17">
        <f t="shared" si="54"/>
        <v>19176</v>
      </c>
      <c r="N853" s="17" t="str">
        <f t="shared" si="55"/>
        <v>profit</v>
      </c>
    </row>
    <row r="854" spans="1:14" ht="15.6" thickTop="1" thickBot="1" x14ac:dyDescent="0.35">
      <c r="A854" s="15">
        <v>45443</v>
      </c>
      <c r="B854" s="15" t="s">
        <v>121</v>
      </c>
      <c r="C854" s="16" t="s">
        <v>298</v>
      </c>
      <c r="D854" s="16" t="s">
        <v>58</v>
      </c>
      <c r="E854" s="16" t="s">
        <v>143</v>
      </c>
      <c r="F854" s="16" t="s">
        <v>64</v>
      </c>
      <c r="G854" s="16" t="s">
        <v>12</v>
      </c>
      <c r="H854" s="16">
        <v>55</v>
      </c>
      <c r="I854" s="16">
        <v>793</v>
      </c>
      <c r="J854" s="16">
        <v>1045</v>
      </c>
      <c r="K854" s="17">
        <f t="shared" si="52"/>
        <v>43615</v>
      </c>
      <c r="L854" s="17">
        <f t="shared" si="53"/>
        <v>57475</v>
      </c>
      <c r="M854" s="17">
        <f t="shared" si="54"/>
        <v>13860</v>
      </c>
      <c r="N854" s="17" t="str">
        <f t="shared" si="55"/>
        <v>profit</v>
      </c>
    </row>
    <row r="855" spans="1:14" ht="15.6" thickTop="1" thickBot="1" x14ac:dyDescent="0.35">
      <c r="A855" s="15">
        <v>45444</v>
      </c>
      <c r="B855" s="15" t="s">
        <v>41</v>
      </c>
      <c r="C855" s="16" t="s">
        <v>299</v>
      </c>
      <c r="D855" s="16" t="s">
        <v>58</v>
      </c>
      <c r="E855" s="16" t="s">
        <v>143</v>
      </c>
      <c r="F855" s="16" t="s">
        <v>64</v>
      </c>
      <c r="G855" s="16" t="s">
        <v>8</v>
      </c>
      <c r="H855" s="16">
        <v>82</v>
      </c>
      <c r="I855" s="16">
        <v>641</v>
      </c>
      <c r="J855" s="16">
        <v>809</v>
      </c>
      <c r="K855" s="17">
        <f t="shared" si="52"/>
        <v>52562</v>
      </c>
      <c r="L855" s="17">
        <f t="shared" si="53"/>
        <v>66338</v>
      </c>
      <c r="M855" s="17">
        <f t="shared" si="54"/>
        <v>13776</v>
      </c>
      <c r="N855" s="17" t="str">
        <f t="shared" si="55"/>
        <v>profit</v>
      </c>
    </row>
    <row r="856" spans="1:14" ht="15.6" thickTop="1" thickBot="1" x14ac:dyDescent="0.35">
      <c r="A856" s="15">
        <v>45445</v>
      </c>
      <c r="B856" s="15" t="s">
        <v>41</v>
      </c>
      <c r="C856" s="16" t="s">
        <v>300</v>
      </c>
      <c r="D856" s="16" t="s">
        <v>58</v>
      </c>
      <c r="E856" s="16" t="s">
        <v>143</v>
      </c>
      <c r="F856" s="16" t="s">
        <v>89</v>
      </c>
      <c r="G856" s="16" t="s">
        <v>12</v>
      </c>
      <c r="H856" s="16">
        <v>80</v>
      </c>
      <c r="I856" s="16">
        <v>678</v>
      </c>
      <c r="J856" s="16">
        <v>1016</v>
      </c>
      <c r="K856" s="17">
        <f t="shared" si="52"/>
        <v>54240</v>
      </c>
      <c r="L856" s="17">
        <f t="shared" si="53"/>
        <v>81280</v>
      </c>
      <c r="M856" s="17">
        <f t="shared" si="54"/>
        <v>27040</v>
      </c>
      <c r="N856" s="17" t="str">
        <f t="shared" si="55"/>
        <v>profit</v>
      </c>
    </row>
    <row r="857" spans="1:14" ht="15.6" thickTop="1" thickBot="1" x14ac:dyDescent="0.35">
      <c r="A857" s="15">
        <v>45446</v>
      </c>
      <c r="B857" s="15" t="s">
        <v>41</v>
      </c>
      <c r="C857" s="16" t="s">
        <v>301</v>
      </c>
      <c r="D857" s="16" t="s">
        <v>58</v>
      </c>
      <c r="E857" s="16" t="s">
        <v>143</v>
      </c>
      <c r="F857" s="16" t="s">
        <v>89</v>
      </c>
      <c r="G857" s="16" t="s">
        <v>12</v>
      </c>
      <c r="H857" s="16">
        <v>76</v>
      </c>
      <c r="I857" s="16">
        <v>585</v>
      </c>
      <c r="J857" s="16">
        <v>1366</v>
      </c>
      <c r="K857" s="17">
        <f t="shared" si="52"/>
        <v>44460</v>
      </c>
      <c r="L857" s="17">
        <f t="shared" si="53"/>
        <v>103816</v>
      </c>
      <c r="M857" s="17">
        <f t="shared" si="54"/>
        <v>59356</v>
      </c>
      <c r="N857" s="17" t="str">
        <f t="shared" si="55"/>
        <v>profit</v>
      </c>
    </row>
    <row r="858" spans="1:14" ht="15.6" thickTop="1" thickBot="1" x14ac:dyDescent="0.35">
      <c r="A858" s="15">
        <v>45447</v>
      </c>
      <c r="B858" s="15" t="s">
        <v>41</v>
      </c>
      <c r="C858" s="16" t="s">
        <v>302</v>
      </c>
      <c r="D858" s="16" t="s">
        <v>58</v>
      </c>
      <c r="E858" s="16" t="s">
        <v>143</v>
      </c>
      <c r="F858" s="16" t="s">
        <v>85</v>
      </c>
      <c r="G858" s="16" t="s">
        <v>12</v>
      </c>
      <c r="H858" s="16">
        <v>93</v>
      </c>
      <c r="I858" s="16">
        <v>662</v>
      </c>
      <c r="J858" s="16">
        <v>1319</v>
      </c>
      <c r="K858" s="17">
        <f t="shared" si="52"/>
        <v>61566</v>
      </c>
      <c r="L858" s="17">
        <f t="shared" si="53"/>
        <v>122667</v>
      </c>
      <c r="M858" s="17">
        <f t="shared" si="54"/>
        <v>61101</v>
      </c>
      <c r="N858" s="17" t="str">
        <f t="shared" si="55"/>
        <v>profit</v>
      </c>
    </row>
    <row r="859" spans="1:14" ht="15.6" thickTop="1" thickBot="1" x14ac:dyDescent="0.35">
      <c r="A859" s="15">
        <v>45578</v>
      </c>
      <c r="B859" s="15" t="s">
        <v>109</v>
      </c>
      <c r="C859" s="16" t="s">
        <v>158</v>
      </c>
      <c r="D859" s="16" t="s">
        <v>58</v>
      </c>
      <c r="E859" s="16" t="s">
        <v>143</v>
      </c>
      <c r="F859" s="16" t="s">
        <v>51</v>
      </c>
      <c r="G859" s="16" t="s">
        <v>12</v>
      </c>
      <c r="H859" s="16">
        <v>67</v>
      </c>
      <c r="I859" s="16">
        <v>711</v>
      </c>
      <c r="J859" s="16">
        <v>1280</v>
      </c>
      <c r="K859" s="17">
        <f t="shared" si="52"/>
        <v>47637</v>
      </c>
      <c r="L859" s="17">
        <f t="shared" si="53"/>
        <v>85760</v>
      </c>
      <c r="M859" s="17">
        <f t="shared" si="54"/>
        <v>38123</v>
      </c>
      <c r="N859" s="17" t="str">
        <f t="shared" si="55"/>
        <v>profit</v>
      </c>
    </row>
    <row r="860" spans="1:14" ht="15.6" thickTop="1" thickBot="1" x14ac:dyDescent="0.35">
      <c r="A860" s="15">
        <v>45448</v>
      </c>
      <c r="B860" s="15" t="s">
        <v>41</v>
      </c>
      <c r="C860" s="16" t="s">
        <v>303</v>
      </c>
      <c r="D860" s="16" t="s">
        <v>58</v>
      </c>
      <c r="E860" s="16" t="s">
        <v>143</v>
      </c>
      <c r="F860" s="16" t="s">
        <v>64</v>
      </c>
      <c r="G860" s="16" t="s">
        <v>12</v>
      </c>
      <c r="H860" s="16">
        <v>51</v>
      </c>
      <c r="I860" s="16">
        <v>744</v>
      </c>
      <c r="J860" s="16">
        <v>782</v>
      </c>
      <c r="K860" s="17">
        <f t="shared" si="52"/>
        <v>37944</v>
      </c>
      <c r="L860" s="17">
        <f t="shared" si="53"/>
        <v>39882</v>
      </c>
      <c r="M860" s="17">
        <f t="shared" si="54"/>
        <v>1938</v>
      </c>
      <c r="N860" s="17" t="str">
        <f t="shared" si="55"/>
        <v>profit</v>
      </c>
    </row>
    <row r="861" spans="1:14" ht="15.6" thickTop="1" thickBot="1" x14ac:dyDescent="0.35">
      <c r="A861" s="15">
        <v>45449</v>
      </c>
      <c r="B861" s="15" t="s">
        <v>41</v>
      </c>
      <c r="C861" s="16" t="s">
        <v>304</v>
      </c>
      <c r="D861" s="16" t="s">
        <v>58</v>
      </c>
      <c r="E861" s="16" t="s">
        <v>143</v>
      </c>
      <c r="F861" s="16" t="s">
        <v>55</v>
      </c>
      <c r="G861" s="16" t="s">
        <v>8</v>
      </c>
      <c r="H861" s="16">
        <v>88</v>
      </c>
      <c r="I861" s="16">
        <v>820</v>
      </c>
      <c r="J861" s="16">
        <v>1241</v>
      </c>
      <c r="K861" s="17">
        <f t="shared" si="52"/>
        <v>72160</v>
      </c>
      <c r="L861" s="17">
        <f t="shared" si="53"/>
        <v>109208</v>
      </c>
      <c r="M861" s="17">
        <f t="shared" si="54"/>
        <v>37048</v>
      </c>
      <c r="N861" s="17" t="str">
        <f t="shared" si="55"/>
        <v>profit</v>
      </c>
    </row>
    <row r="862" spans="1:14" ht="15.6" thickTop="1" thickBot="1" x14ac:dyDescent="0.35">
      <c r="A862" s="15">
        <v>45450</v>
      </c>
      <c r="B862" s="15" t="s">
        <v>41</v>
      </c>
      <c r="C862" s="16" t="s">
        <v>305</v>
      </c>
      <c r="D862" s="16" t="s">
        <v>58</v>
      </c>
      <c r="E862" s="16" t="s">
        <v>143</v>
      </c>
      <c r="F862" s="16" t="s">
        <v>137</v>
      </c>
      <c r="G862" s="16" t="s">
        <v>8</v>
      </c>
      <c r="H862" s="16">
        <v>72</v>
      </c>
      <c r="I862" s="16">
        <v>937</v>
      </c>
      <c r="J862" s="16">
        <v>1154</v>
      </c>
      <c r="K862" s="17">
        <f t="shared" si="52"/>
        <v>67464</v>
      </c>
      <c r="L862" s="17">
        <f t="shared" si="53"/>
        <v>83088</v>
      </c>
      <c r="M862" s="17">
        <f t="shared" si="54"/>
        <v>15624</v>
      </c>
      <c r="N862" s="17" t="str">
        <f t="shared" si="55"/>
        <v>profit</v>
      </c>
    </row>
    <row r="863" spans="1:14" ht="15.6" thickTop="1" thickBot="1" x14ac:dyDescent="0.35">
      <c r="A863" s="15">
        <v>45451</v>
      </c>
      <c r="B863" s="15" t="s">
        <v>41</v>
      </c>
      <c r="C863" s="16" t="s">
        <v>306</v>
      </c>
      <c r="D863" s="16" t="s">
        <v>58</v>
      </c>
      <c r="E863" s="16" t="s">
        <v>143</v>
      </c>
      <c r="F863" s="16" t="s">
        <v>69</v>
      </c>
      <c r="G863" s="16" t="s">
        <v>8</v>
      </c>
      <c r="H863" s="16">
        <v>55</v>
      </c>
      <c r="I863" s="16">
        <v>685</v>
      </c>
      <c r="J863" s="16">
        <v>824</v>
      </c>
      <c r="K863" s="17">
        <f t="shared" si="52"/>
        <v>37675</v>
      </c>
      <c r="L863" s="17">
        <f t="shared" si="53"/>
        <v>45320</v>
      </c>
      <c r="M863" s="17">
        <f t="shared" si="54"/>
        <v>7645</v>
      </c>
      <c r="N863" s="17" t="str">
        <f t="shared" si="55"/>
        <v>profit</v>
      </c>
    </row>
    <row r="864" spans="1:14" ht="15.6" thickTop="1" thickBot="1" x14ac:dyDescent="0.35">
      <c r="A864" s="15">
        <v>45583</v>
      </c>
      <c r="B864" s="15" t="s">
        <v>109</v>
      </c>
      <c r="C864" s="16" t="s">
        <v>163</v>
      </c>
      <c r="D864" s="16" t="s">
        <v>43</v>
      </c>
      <c r="E864" s="16" t="s">
        <v>62</v>
      </c>
      <c r="F864" s="16" t="s">
        <v>79</v>
      </c>
      <c r="G864" s="16" t="s">
        <v>8</v>
      </c>
      <c r="H864" s="16">
        <v>20</v>
      </c>
      <c r="I864" s="16">
        <v>963</v>
      </c>
      <c r="J864" s="16">
        <v>865</v>
      </c>
      <c r="K864" s="17">
        <f t="shared" si="52"/>
        <v>19260</v>
      </c>
      <c r="L864" s="17">
        <f t="shared" si="53"/>
        <v>17300</v>
      </c>
      <c r="M864" s="17">
        <f t="shared" si="54"/>
        <v>-1960</v>
      </c>
      <c r="N864" s="17" t="str">
        <f t="shared" si="55"/>
        <v>loss</v>
      </c>
    </row>
    <row r="865" spans="1:14" ht="15.6" thickTop="1" thickBot="1" x14ac:dyDescent="0.35">
      <c r="A865" s="15">
        <v>45452</v>
      </c>
      <c r="B865" s="15" t="s">
        <v>41</v>
      </c>
      <c r="C865" s="16" t="s">
        <v>307</v>
      </c>
      <c r="D865" s="16" t="s">
        <v>58</v>
      </c>
      <c r="E865" s="16" t="s">
        <v>143</v>
      </c>
      <c r="F865" s="16" t="s">
        <v>176</v>
      </c>
      <c r="G865" s="16" t="s">
        <v>8</v>
      </c>
      <c r="H865" s="16">
        <v>55</v>
      </c>
      <c r="I865" s="16">
        <v>661</v>
      </c>
      <c r="J865" s="16">
        <v>1133</v>
      </c>
      <c r="K865" s="17">
        <f t="shared" si="52"/>
        <v>36355</v>
      </c>
      <c r="L865" s="17">
        <f t="shared" si="53"/>
        <v>62315</v>
      </c>
      <c r="M865" s="17">
        <f t="shared" si="54"/>
        <v>25960</v>
      </c>
      <c r="N865" s="17" t="str">
        <f t="shared" si="55"/>
        <v>profit</v>
      </c>
    </row>
    <row r="866" spans="1:14" ht="15.6" thickTop="1" thickBot="1" x14ac:dyDescent="0.35">
      <c r="A866" s="15">
        <v>45453</v>
      </c>
      <c r="B866" s="15" t="s">
        <v>41</v>
      </c>
      <c r="C866" s="16" t="s">
        <v>308</v>
      </c>
      <c r="D866" s="16" t="s">
        <v>58</v>
      </c>
      <c r="E866" s="16" t="s">
        <v>143</v>
      </c>
      <c r="F866" s="16" t="s">
        <v>178</v>
      </c>
      <c r="G866" s="16" t="s">
        <v>8</v>
      </c>
      <c r="H866" s="16">
        <v>72</v>
      </c>
      <c r="I866" s="16">
        <v>804</v>
      </c>
      <c r="J866" s="16">
        <v>833</v>
      </c>
      <c r="K866" s="17">
        <f t="shared" si="52"/>
        <v>57888</v>
      </c>
      <c r="L866" s="17">
        <f t="shared" si="53"/>
        <v>59976</v>
      </c>
      <c r="M866" s="17">
        <f t="shared" si="54"/>
        <v>2088</v>
      </c>
      <c r="N866" s="17" t="str">
        <f t="shared" si="55"/>
        <v>profit</v>
      </c>
    </row>
    <row r="867" spans="1:14" ht="15.6" thickTop="1" thickBot="1" x14ac:dyDescent="0.35">
      <c r="A867" s="15">
        <v>45586</v>
      </c>
      <c r="B867" s="15" t="s">
        <v>109</v>
      </c>
      <c r="C867" s="16" t="s">
        <v>166</v>
      </c>
      <c r="D867" s="16" t="s">
        <v>43</v>
      </c>
      <c r="E867" s="16" t="s">
        <v>62</v>
      </c>
      <c r="F867" s="16" t="s">
        <v>64</v>
      </c>
      <c r="G867" s="16" t="s">
        <v>8</v>
      </c>
      <c r="H867" s="16">
        <v>14</v>
      </c>
      <c r="I867" s="16">
        <v>913</v>
      </c>
      <c r="J867" s="16">
        <v>1155</v>
      </c>
      <c r="K867" s="17">
        <f t="shared" si="52"/>
        <v>12782</v>
      </c>
      <c r="L867" s="17">
        <f t="shared" si="53"/>
        <v>16170</v>
      </c>
      <c r="M867" s="17">
        <f t="shared" si="54"/>
        <v>3388</v>
      </c>
      <c r="N867" s="17" t="str">
        <f t="shared" si="55"/>
        <v>profit</v>
      </c>
    </row>
    <row r="868" spans="1:14" ht="15.6" thickTop="1" thickBot="1" x14ac:dyDescent="0.35">
      <c r="A868" s="15">
        <v>45461</v>
      </c>
      <c r="B868" s="15" t="s">
        <v>41</v>
      </c>
      <c r="C868" s="16" t="s">
        <v>309</v>
      </c>
      <c r="D868" s="16" t="s">
        <v>58</v>
      </c>
      <c r="E868" s="16" t="s">
        <v>123</v>
      </c>
      <c r="F868" s="16" t="s">
        <v>51</v>
      </c>
      <c r="G868" s="16" t="s">
        <v>12</v>
      </c>
      <c r="H868" s="16">
        <v>87</v>
      </c>
      <c r="I868" s="16">
        <v>616</v>
      </c>
      <c r="J868" s="16">
        <v>1447</v>
      </c>
      <c r="K868" s="17">
        <f t="shared" si="52"/>
        <v>53592</v>
      </c>
      <c r="L868" s="17">
        <f t="shared" si="53"/>
        <v>125889</v>
      </c>
      <c r="M868" s="17">
        <f t="shared" si="54"/>
        <v>72297</v>
      </c>
      <c r="N868" s="17" t="str">
        <f t="shared" si="55"/>
        <v>profit</v>
      </c>
    </row>
    <row r="869" spans="1:14" ht="15.6" thickTop="1" thickBot="1" x14ac:dyDescent="0.35">
      <c r="A869" s="15">
        <v>45588</v>
      </c>
      <c r="B869" s="15" t="s">
        <v>109</v>
      </c>
      <c r="C869" s="16" t="s">
        <v>168</v>
      </c>
      <c r="D869" s="16" t="s">
        <v>71</v>
      </c>
      <c r="E869" s="16" t="s">
        <v>72</v>
      </c>
      <c r="F869" s="16" t="s">
        <v>89</v>
      </c>
      <c r="G869" s="16" t="s">
        <v>8</v>
      </c>
      <c r="H869" s="16">
        <v>23</v>
      </c>
      <c r="I869" s="16">
        <v>616</v>
      </c>
      <c r="J869" s="16">
        <v>919</v>
      </c>
      <c r="K869" s="17">
        <f t="shared" si="52"/>
        <v>14168</v>
      </c>
      <c r="L869" s="17">
        <f t="shared" si="53"/>
        <v>21137</v>
      </c>
      <c r="M869" s="17">
        <f t="shared" si="54"/>
        <v>6969</v>
      </c>
      <c r="N869" s="17" t="str">
        <f t="shared" si="55"/>
        <v>profit</v>
      </c>
    </row>
    <row r="870" spans="1:14" ht="15.6" thickTop="1" thickBot="1" x14ac:dyDescent="0.35">
      <c r="A870" s="15">
        <v>45462</v>
      </c>
      <c r="B870" s="15" t="s">
        <v>41</v>
      </c>
      <c r="C870" s="16" t="s">
        <v>310</v>
      </c>
      <c r="D870" s="16" t="s">
        <v>58</v>
      </c>
      <c r="E870" s="16" t="s">
        <v>123</v>
      </c>
      <c r="F870" s="16" t="s">
        <v>100</v>
      </c>
      <c r="G870" s="16" t="s">
        <v>12</v>
      </c>
      <c r="H870" s="16">
        <v>57</v>
      </c>
      <c r="I870" s="16">
        <v>724</v>
      </c>
      <c r="J870" s="16">
        <v>1432</v>
      </c>
      <c r="K870" s="17">
        <f t="shared" si="52"/>
        <v>41268</v>
      </c>
      <c r="L870" s="17">
        <f t="shared" si="53"/>
        <v>81624</v>
      </c>
      <c r="M870" s="17">
        <f t="shared" si="54"/>
        <v>40356</v>
      </c>
      <c r="N870" s="17" t="str">
        <f t="shared" si="55"/>
        <v>profit</v>
      </c>
    </row>
    <row r="871" spans="1:14" ht="15.6" thickTop="1" thickBot="1" x14ac:dyDescent="0.35">
      <c r="A871" s="15">
        <v>45590</v>
      </c>
      <c r="B871" s="15" t="s">
        <v>109</v>
      </c>
      <c r="C871" s="16" t="s">
        <v>170</v>
      </c>
      <c r="D871" s="16" t="s">
        <v>71</v>
      </c>
      <c r="E871" s="16" t="s">
        <v>156</v>
      </c>
      <c r="F871" s="16" t="s">
        <v>64</v>
      </c>
      <c r="G871" s="16" t="s">
        <v>12</v>
      </c>
      <c r="H871" s="16">
        <v>28</v>
      </c>
      <c r="I871" s="16">
        <v>539</v>
      </c>
      <c r="J871" s="16">
        <v>1106</v>
      </c>
      <c r="K871" s="17">
        <f t="shared" si="52"/>
        <v>15092</v>
      </c>
      <c r="L871" s="17">
        <f t="shared" si="53"/>
        <v>30968</v>
      </c>
      <c r="M871" s="17">
        <f t="shared" si="54"/>
        <v>15876</v>
      </c>
      <c r="N871" s="17" t="str">
        <f t="shared" si="55"/>
        <v>profit</v>
      </c>
    </row>
    <row r="872" spans="1:14" ht="15.6" thickTop="1" thickBot="1" x14ac:dyDescent="0.35">
      <c r="A872" s="15">
        <v>45463</v>
      </c>
      <c r="B872" s="15" t="s">
        <v>41</v>
      </c>
      <c r="C872" s="16" t="s">
        <v>311</v>
      </c>
      <c r="D872" s="16" t="s">
        <v>58</v>
      </c>
      <c r="E872" s="16" t="s">
        <v>123</v>
      </c>
      <c r="F872" s="16" t="s">
        <v>7</v>
      </c>
      <c r="G872" s="16" t="s">
        <v>12</v>
      </c>
      <c r="H872" s="16">
        <v>85</v>
      </c>
      <c r="I872" s="16">
        <v>639</v>
      </c>
      <c r="J872" s="16">
        <v>1447</v>
      </c>
      <c r="K872" s="17">
        <f t="shared" si="52"/>
        <v>54315</v>
      </c>
      <c r="L872" s="17">
        <f t="shared" si="53"/>
        <v>122995</v>
      </c>
      <c r="M872" s="17">
        <f t="shared" si="54"/>
        <v>68680</v>
      </c>
      <c r="N872" s="17" t="str">
        <f t="shared" si="55"/>
        <v>profit</v>
      </c>
    </row>
    <row r="873" spans="1:14" ht="15.6" thickTop="1" thickBot="1" x14ac:dyDescent="0.35">
      <c r="A873" s="15">
        <v>45465</v>
      </c>
      <c r="B873" s="15" t="s">
        <v>41</v>
      </c>
      <c r="C873" s="16" t="s">
        <v>312</v>
      </c>
      <c r="D873" s="16" t="s">
        <v>58</v>
      </c>
      <c r="E873" s="16" t="s">
        <v>123</v>
      </c>
      <c r="F873" s="16" t="s">
        <v>51</v>
      </c>
      <c r="G873" s="16" t="s">
        <v>8</v>
      </c>
      <c r="H873" s="16">
        <v>81</v>
      </c>
      <c r="I873" s="16">
        <v>776</v>
      </c>
      <c r="J873" s="16">
        <v>895</v>
      </c>
      <c r="K873" s="17">
        <f t="shared" si="52"/>
        <v>62856</v>
      </c>
      <c r="L873" s="17">
        <f t="shared" si="53"/>
        <v>72495</v>
      </c>
      <c r="M873" s="17">
        <f t="shared" si="54"/>
        <v>9639</v>
      </c>
      <c r="N873" s="17" t="str">
        <f t="shared" si="55"/>
        <v>profit</v>
      </c>
    </row>
    <row r="874" spans="1:14" ht="15.6" thickTop="1" thickBot="1" x14ac:dyDescent="0.35">
      <c r="A874" s="15">
        <v>45466</v>
      </c>
      <c r="B874" s="15" t="s">
        <v>41</v>
      </c>
      <c r="C874" s="16" t="s">
        <v>313</v>
      </c>
      <c r="D874" s="16" t="s">
        <v>58</v>
      </c>
      <c r="E874" s="16" t="s">
        <v>143</v>
      </c>
      <c r="F874" s="16" t="s">
        <v>89</v>
      </c>
      <c r="G874" s="16" t="s">
        <v>8</v>
      </c>
      <c r="H874" s="16">
        <v>86</v>
      </c>
      <c r="I874" s="16">
        <v>705</v>
      </c>
      <c r="J874" s="16">
        <v>1483</v>
      </c>
      <c r="K874" s="17">
        <f t="shared" si="52"/>
        <v>60630</v>
      </c>
      <c r="L874" s="17">
        <f t="shared" si="53"/>
        <v>127538</v>
      </c>
      <c r="M874" s="17">
        <f t="shared" si="54"/>
        <v>66908</v>
      </c>
      <c r="N874" s="17" t="str">
        <f t="shared" si="55"/>
        <v>profit</v>
      </c>
    </row>
    <row r="875" spans="1:14" ht="15.6" thickTop="1" thickBot="1" x14ac:dyDescent="0.35">
      <c r="A875" s="15">
        <v>45467</v>
      </c>
      <c r="B875" s="15" t="s">
        <v>41</v>
      </c>
      <c r="C875" s="16" t="s">
        <v>314</v>
      </c>
      <c r="D875" s="16" t="s">
        <v>58</v>
      </c>
      <c r="E875" s="16" t="s">
        <v>143</v>
      </c>
      <c r="F875" s="16" t="s">
        <v>100</v>
      </c>
      <c r="G875" s="16" t="s">
        <v>12</v>
      </c>
      <c r="H875" s="16">
        <v>80</v>
      </c>
      <c r="I875" s="16">
        <v>901</v>
      </c>
      <c r="J875" s="16">
        <v>1109</v>
      </c>
      <c r="K875" s="17">
        <f t="shared" si="52"/>
        <v>72080</v>
      </c>
      <c r="L875" s="17">
        <f t="shared" si="53"/>
        <v>88720</v>
      </c>
      <c r="M875" s="17">
        <f t="shared" si="54"/>
        <v>16640</v>
      </c>
      <c r="N875" s="17" t="str">
        <f t="shared" si="55"/>
        <v>profit</v>
      </c>
    </row>
    <row r="876" spans="1:14" ht="15.6" thickTop="1" thickBot="1" x14ac:dyDescent="0.35">
      <c r="A876" s="15">
        <v>45468</v>
      </c>
      <c r="B876" s="15" t="s">
        <v>41</v>
      </c>
      <c r="C876" s="16" t="s">
        <v>315</v>
      </c>
      <c r="D876" s="16" t="s">
        <v>58</v>
      </c>
      <c r="E876" s="16" t="s">
        <v>143</v>
      </c>
      <c r="F876" s="16" t="s">
        <v>102</v>
      </c>
      <c r="G876" s="16" t="s">
        <v>12</v>
      </c>
      <c r="H876" s="16">
        <v>59</v>
      </c>
      <c r="I876" s="16">
        <v>502</v>
      </c>
      <c r="J876" s="16">
        <v>1212</v>
      </c>
      <c r="K876" s="17">
        <f t="shared" si="52"/>
        <v>29618</v>
      </c>
      <c r="L876" s="17">
        <f t="shared" si="53"/>
        <v>71508</v>
      </c>
      <c r="M876" s="17">
        <f t="shared" si="54"/>
        <v>41890</v>
      </c>
      <c r="N876" s="17" t="str">
        <f t="shared" si="55"/>
        <v>profit</v>
      </c>
    </row>
    <row r="877" spans="1:14" ht="15.6" thickTop="1" thickBot="1" x14ac:dyDescent="0.35">
      <c r="A877" s="15">
        <v>45469</v>
      </c>
      <c r="B877" s="15" t="s">
        <v>41</v>
      </c>
      <c r="C877" s="16" t="s">
        <v>316</v>
      </c>
      <c r="D877" s="16" t="s">
        <v>58</v>
      </c>
      <c r="E877" s="16" t="s">
        <v>143</v>
      </c>
      <c r="F877" s="16" t="s">
        <v>60</v>
      </c>
      <c r="G877" s="16" t="s">
        <v>12</v>
      </c>
      <c r="H877" s="16">
        <v>52</v>
      </c>
      <c r="I877" s="16">
        <v>556</v>
      </c>
      <c r="J877" s="16">
        <v>1402</v>
      </c>
      <c r="K877" s="17">
        <f t="shared" si="52"/>
        <v>28912</v>
      </c>
      <c r="L877" s="17">
        <f t="shared" si="53"/>
        <v>72904</v>
      </c>
      <c r="M877" s="17">
        <f t="shared" si="54"/>
        <v>43992</v>
      </c>
      <c r="N877" s="17" t="str">
        <f t="shared" si="55"/>
        <v>profit</v>
      </c>
    </row>
    <row r="878" spans="1:14" ht="15.6" thickTop="1" thickBot="1" x14ac:dyDescent="0.35">
      <c r="A878" s="15">
        <v>45470</v>
      </c>
      <c r="B878" s="15" t="s">
        <v>41</v>
      </c>
      <c r="C878" s="16" t="s">
        <v>317</v>
      </c>
      <c r="D878" s="16" t="s">
        <v>58</v>
      </c>
      <c r="E878" s="16" t="s">
        <v>143</v>
      </c>
      <c r="F878" s="16" t="s">
        <v>69</v>
      </c>
      <c r="G878" s="16" t="s">
        <v>12</v>
      </c>
      <c r="H878" s="16">
        <v>92</v>
      </c>
      <c r="I878" s="16">
        <v>953</v>
      </c>
      <c r="J878" s="16">
        <v>790</v>
      </c>
      <c r="K878" s="17">
        <f t="shared" si="52"/>
        <v>87676</v>
      </c>
      <c r="L878" s="17">
        <f t="shared" si="53"/>
        <v>72680</v>
      </c>
      <c r="M878" s="17">
        <f t="shared" si="54"/>
        <v>-14996</v>
      </c>
      <c r="N878" s="17" t="str">
        <f t="shared" si="55"/>
        <v>loss</v>
      </c>
    </row>
    <row r="879" spans="1:14" ht="15.6" thickTop="1" thickBot="1" x14ac:dyDescent="0.35">
      <c r="A879" s="15">
        <v>45471</v>
      </c>
      <c r="B879" s="15" t="s">
        <v>41</v>
      </c>
      <c r="C879" s="16" t="s">
        <v>318</v>
      </c>
      <c r="D879" s="16" t="s">
        <v>58</v>
      </c>
      <c r="E879" s="16" t="s">
        <v>143</v>
      </c>
      <c r="F879" s="16" t="s">
        <v>85</v>
      </c>
      <c r="G879" s="16" t="s">
        <v>12</v>
      </c>
      <c r="H879" s="16">
        <v>96</v>
      </c>
      <c r="I879" s="16">
        <v>961</v>
      </c>
      <c r="J879" s="16">
        <v>1174</v>
      </c>
      <c r="K879" s="17">
        <f t="shared" si="52"/>
        <v>92256</v>
      </c>
      <c r="L879" s="17">
        <f t="shared" si="53"/>
        <v>112704</v>
      </c>
      <c r="M879" s="17">
        <f t="shared" si="54"/>
        <v>20448</v>
      </c>
      <c r="N879" s="17" t="str">
        <f t="shared" si="55"/>
        <v>profit</v>
      </c>
    </row>
    <row r="880" spans="1:14" ht="15.6" thickTop="1" thickBot="1" x14ac:dyDescent="0.35">
      <c r="A880" s="15">
        <v>45495</v>
      </c>
      <c r="B880" s="15" t="s">
        <v>65</v>
      </c>
      <c r="C880" s="16" t="s">
        <v>319</v>
      </c>
      <c r="D880" s="16" t="s">
        <v>58</v>
      </c>
      <c r="E880" s="16" t="s">
        <v>123</v>
      </c>
      <c r="F880" s="16" t="s">
        <v>47</v>
      </c>
      <c r="G880" s="16" t="s">
        <v>8</v>
      </c>
      <c r="H880" s="16">
        <v>79</v>
      </c>
      <c r="I880" s="16">
        <v>880</v>
      </c>
      <c r="J880" s="16">
        <v>1403</v>
      </c>
      <c r="K880" s="17">
        <f t="shared" si="52"/>
        <v>69520</v>
      </c>
      <c r="L880" s="17">
        <f t="shared" si="53"/>
        <v>110837</v>
      </c>
      <c r="M880" s="17">
        <f t="shared" si="54"/>
        <v>41317</v>
      </c>
      <c r="N880" s="17" t="str">
        <f t="shared" si="55"/>
        <v>profit</v>
      </c>
    </row>
    <row r="881" spans="1:14" ht="15.6" thickTop="1" thickBot="1" x14ac:dyDescent="0.35">
      <c r="A881" s="15">
        <v>45496</v>
      </c>
      <c r="B881" s="15" t="s">
        <v>65</v>
      </c>
      <c r="C881" s="16" t="s">
        <v>320</v>
      </c>
      <c r="D881" s="16" t="s">
        <v>58</v>
      </c>
      <c r="E881" s="16" t="s">
        <v>123</v>
      </c>
      <c r="F881" s="16" t="s">
        <v>49</v>
      </c>
      <c r="G881" s="16" t="s">
        <v>8</v>
      </c>
      <c r="H881" s="16">
        <v>62</v>
      </c>
      <c r="I881" s="16">
        <v>936</v>
      </c>
      <c r="J881" s="16">
        <v>1364</v>
      </c>
      <c r="K881" s="17">
        <f t="shared" si="52"/>
        <v>58032</v>
      </c>
      <c r="L881" s="17">
        <f t="shared" si="53"/>
        <v>84568</v>
      </c>
      <c r="M881" s="17">
        <f t="shared" si="54"/>
        <v>26536</v>
      </c>
      <c r="N881" s="17" t="str">
        <f t="shared" si="55"/>
        <v>profit</v>
      </c>
    </row>
    <row r="882" spans="1:14" ht="15.6" thickTop="1" thickBot="1" x14ac:dyDescent="0.35">
      <c r="A882" s="15">
        <v>45497</v>
      </c>
      <c r="B882" s="15" t="s">
        <v>65</v>
      </c>
      <c r="C882" s="16" t="s">
        <v>321</v>
      </c>
      <c r="D882" s="16" t="s">
        <v>58</v>
      </c>
      <c r="E882" s="16" t="s">
        <v>123</v>
      </c>
      <c r="F882" s="16" t="s">
        <v>51</v>
      </c>
      <c r="G882" s="16" t="s">
        <v>8</v>
      </c>
      <c r="H882" s="16">
        <v>53</v>
      </c>
      <c r="I882" s="16">
        <v>791</v>
      </c>
      <c r="J882" s="16">
        <v>1253</v>
      </c>
      <c r="K882" s="17">
        <f t="shared" si="52"/>
        <v>41923</v>
      </c>
      <c r="L882" s="17">
        <f t="shared" si="53"/>
        <v>66409</v>
      </c>
      <c r="M882" s="17">
        <f t="shared" si="54"/>
        <v>24486</v>
      </c>
      <c r="N882" s="17" t="str">
        <f t="shared" si="55"/>
        <v>profit</v>
      </c>
    </row>
    <row r="883" spans="1:14" ht="15.6" thickTop="1" thickBot="1" x14ac:dyDescent="0.35">
      <c r="A883" s="15">
        <v>45602</v>
      </c>
      <c r="B883" s="15" t="s">
        <v>184</v>
      </c>
      <c r="C883" s="16" t="s">
        <v>185</v>
      </c>
      <c r="D883" s="16" t="s">
        <v>58</v>
      </c>
      <c r="E883" s="16" t="s">
        <v>186</v>
      </c>
      <c r="F883" s="16" t="s">
        <v>55</v>
      </c>
      <c r="G883" s="16" t="s">
        <v>8</v>
      </c>
      <c r="H883" s="16">
        <v>74</v>
      </c>
      <c r="I883" s="16">
        <v>636</v>
      </c>
      <c r="J883" s="16">
        <v>955</v>
      </c>
      <c r="K883" s="17">
        <f t="shared" si="52"/>
        <v>47064</v>
      </c>
      <c r="L883" s="17">
        <f t="shared" si="53"/>
        <v>70670</v>
      </c>
      <c r="M883" s="17">
        <f t="shared" si="54"/>
        <v>23606</v>
      </c>
      <c r="N883" s="17" t="str">
        <f t="shared" si="55"/>
        <v>profit</v>
      </c>
    </row>
    <row r="884" spans="1:14" ht="15.6" thickTop="1" thickBot="1" x14ac:dyDescent="0.35">
      <c r="A884" s="15">
        <v>45498</v>
      </c>
      <c r="B884" s="15" t="s">
        <v>65</v>
      </c>
      <c r="C884" s="16" t="s">
        <v>322</v>
      </c>
      <c r="D884" s="16" t="s">
        <v>58</v>
      </c>
      <c r="E884" s="16" t="s">
        <v>123</v>
      </c>
      <c r="F884" s="16" t="s">
        <v>51</v>
      </c>
      <c r="G884" s="16" t="s">
        <v>8</v>
      </c>
      <c r="H884" s="16">
        <v>56</v>
      </c>
      <c r="I884" s="16">
        <v>740</v>
      </c>
      <c r="J884" s="16">
        <v>1464</v>
      </c>
      <c r="K884" s="17">
        <f t="shared" si="52"/>
        <v>41440</v>
      </c>
      <c r="L884" s="17">
        <f t="shared" si="53"/>
        <v>81984</v>
      </c>
      <c r="M884" s="17">
        <f t="shared" si="54"/>
        <v>40544</v>
      </c>
      <c r="N884" s="17" t="str">
        <f t="shared" si="55"/>
        <v>profit</v>
      </c>
    </row>
    <row r="885" spans="1:14" ht="15.6" thickTop="1" thickBot="1" x14ac:dyDescent="0.35">
      <c r="A885" s="15">
        <v>45499</v>
      </c>
      <c r="B885" s="15" t="s">
        <v>65</v>
      </c>
      <c r="C885" s="16" t="s">
        <v>323</v>
      </c>
      <c r="D885" s="16" t="s">
        <v>58</v>
      </c>
      <c r="E885" s="16" t="s">
        <v>123</v>
      </c>
      <c r="F885" s="16" t="s">
        <v>53</v>
      </c>
      <c r="G885" s="16" t="s">
        <v>8</v>
      </c>
      <c r="H885" s="16">
        <v>63</v>
      </c>
      <c r="I885" s="16">
        <v>519</v>
      </c>
      <c r="J885" s="16">
        <v>826</v>
      </c>
      <c r="K885" s="17">
        <f t="shared" si="52"/>
        <v>32697</v>
      </c>
      <c r="L885" s="17">
        <f t="shared" si="53"/>
        <v>52038</v>
      </c>
      <c r="M885" s="17">
        <f t="shared" si="54"/>
        <v>19341</v>
      </c>
      <c r="N885" s="17" t="str">
        <f t="shared" si="55"/>
        <v>profit</v>
      </c>
    </row>
    <row r="886" spans="1:14" ht="15.6" thickTop="1" thickBot="1" x14ac:dyDescent="0.35">
      <c r="A886" s="15">
        <v>45605</v>
      </c>
      <c r="B886" s="15" t="s">
        <v>184</v>
      </c>
      <c r="C886" s="16" t="s">
        <v>189</v>
      </c>
      <c r="D886" s="16" t="s">
        <v>58</v>
      </c>
      <c r="E886" s="16" t="s">
        <v>186</v>
      </c>
      <c r="F886" s="16" t="s">
        <v>7</v>
      </c>
      <c r="G886" s="16" t="s">
        <v>8</v>
      </c>
      <c r="H886" s="16">
        <v>83</v>
      </c>
      <c r="I886" s="16">
        <v>569</v>
      </c>
      <c r="J886" s="16">
        <v>1232</v>
      </c>
      <c r="K886" s="17">
        <f t="shared" si="52"/>
        <v>47227</v>
      </c>
      <c r="L886" s="17">
        <f t="shared" si="53"/>
        <v>102256</v>
      </c>
      <c r="M886" s="17">
        <f t="shared" si="54"/>
        <v>55029</v>
      </c>
      <c r="N886" s="17" t="str">
        <f t="shared" si="55"/>
        <v>profit</v>
      </c>
    </row>
    <row r="887" spans="1:14" ht="15.6" thickTop="1" thickBot="1" x14ac:dyDescent="0.35">
      <c r="A887" s="15">
        <v>45500</v>
      </c>
      <c r="B887" s="15" t="s">
        <v>65</v>
      </c>
      <c r="C887" s="16" t="s">
        <v>324</v>
      </c>
      <c r="D887" s="16" t="s">
        <v>58</v>
      </c>
      <c r="E887" s="16" t="s">
        <v>123</v>
      </c>
      <c r="F887" s="16" t="s">
        <v>55</v>
      </c>
      <c r="G887" s="16" t="s">
        <v>8</v>
      </c>
      <c r="H887" s="16">
        <v>73</v>
      </c>
      <c r="I887" s="16">
        <v>857</v>
      </c>
      <c r="J887" s="16">
        <v>1024</v>
      </c>
      <c r="K887" s="17">
        <f t="shared" si="52"/>
        <v>62561</v>
      </c>
      <c r="L887" s="17">
        <f t="shared" si="53"/>
        <v>74752</v>
      </c>
      <c r="M887" s="17">
        <f t="shared" si="54"/>
        <v>12191</v>
      </c>
      <c r="N887" s="17" t="str">
        <f t="shared" si="55"/>
        <v>profit</v>
      </c>
    </row>
    <row r="888" spans="1:14" ht="15.6" thickTop="1" thickBot="1" x14ac:dyDescent="0.35">
      <c r="A888" s="15">
        <v>45501</v>
      </c>
      <c r="B888" s="15" t="s">
        <v>65</v>
      </c>
      <c r="C888" s="16" t="s">
        <v>325</v>
      </c>
      <c r="D888" s="16" t="s">
        <v>58</v>
      </c>
      <c r="E888" s="16" t="s">
        <v>123</v>
      </c>
      <c r="F888" s="16" t="s">
        <v>51</v>
      </c>
      <c r="G888" s="16" t="s">
        <v>8</v>
      </c>
      <c r="H888" s="16">
        <v>67</v>
      </c>
      <c r="I888" s="16">
        <v>725</v>
      </c>
      <c r="J888" s="16">
        <v>884</v>
      </c>
      <c r="K888" s="17">
        <f t="shared" si="52"/>
        <v>48575</v>
      </c>
      <c r="L888" s="17">
        <f t="shared" si="53"/>
        <v>59228</v>
      </c>
      <c r="M888" s="17">
        <f t="shared" si="54"/>
        <v>10653</v>
      </c>
      <c r="N888" s="17" t="str">
        <f t="shared" si="55"/>
        <v>profit</v>
      </c>
    </row>
    <row r="889" spans="1:14" ht="15.6" thickTop="1" thickBot="1" x14ac:dyDescent="0.35">
      <c r="A889" s="15">
        <v>45502</v>
      </c>
      <c r="B889" s="15" t="s">
        <v>65</v>
      </c>
      <c r="C889" s="16" t="s">
        <v>326</v>
      </c>
      <c r="D889" s="16" t="s">
        <v>58</v>
      </c>
      <c r="E889" s="16" t="s">
        <v>123</v>
      </c>
      <c r="F889" s="16" t="s">
        <v>100</v>
      </c>
      <c r="G889" s="16" t="s">
        <v>8</v>
      </c>
      <c r="H889" s="16">
        <v>74</v>
      </c>
      <c r="I889" s="16">
        <v>691</v>
      </c>
      <c r="J889" s="16">
        <v>871</v>
      </c>
      <c r="K889" s="17">
        <f t="shared" si="52"/>
        <v>51134</v>
      </c>
      <c r="L889" s="17">
        <f t="shared" si="53"/>
        <v>64454</v>
      </c>
      <c r="M889" s="17">
        <f t="shared" si="54"/>
        <v>13320</v>
      </c>
      <c r="N889" s="17" t="str">
        <f t="shared" si="55"/>
        <v>profit</v>
      </c>
    </row>
    <row r="890" spans="1:14" ht="15.6" thickTop="1" thickBot="1" x14ac:dyDescent="0.35">
      <c r="A890" s="15">
        <v>45503</v>
      </c>
      <c r="B890" s="15" t="s">
        <v>65</v>
      </c>
      <c r="C890" s="16" t="s">
        <v>327</v>
      </c>
      <c r="D890" s="16" t="s">
        <v>58</v>
      </c>
      <c r="E890" s="16" t="s">
        <v>123</v>
      </c>
      <c r="F890" s="16" t="s">
        <v>7</v>
      </c>
      <c r="G890" s="16" t="s">
        <v>12</v>
      </c>
      <c r="H890" s="16">
        <v>92</v>
      </c>
      <c r="I890" s="16">
        <v>981</v>
      </c>
      <c r="J890" s="16">
        <v>1157</v>
      </c>
      <c r="K890" s="17">
        <f t="shared" si="52"/>
        <v>90252</v>
      </c>
      <c r="L890" s="17">
        <f t="shared" si="53"/>
        <v>106444</v>
      </c>
      <c r="M890" s="17">
        <f t="shared" si="54"/>
        <v>16192</v>
      </c>
      <c r="N890" s="17" t="str">
        <f t="shared" si="55"/>
        <v>profit</v>
      </c>
    </row>
    <row r="891" spans="1:14" ht="15.6" thickTop="1" thickBot="1" x14ac:dyDescent="0.35">
      <c r="A891" s="15">
        <v>45610</v>
      </c>
      <c r="B891" s="15" t="s">
        <v>184</v>
      </c>
      <c r="C891" s="16" t="s">
        <v>194</v>
      </c>
      <c r="D891" s="16" t="s">
        <v>71</v>
      </c>
      <c r="E891" s="16" t="s">
        <v>88</v>
      </c>
      <c r="F891" s="16" t="s">
        <v>102</v>
      </c>
      <c r="G891" s="16" t="s">
        <v>12</v>
      </c>
      <c r="H891" s="16">
        <v>23</v>
      </c>
      <c r="I891" s="16">
        <v>663</v>
      </c>
      <c r="J891" s="16">
        <v>1215</v>
      </c>
      <c r="K891" s="17">
        <f t="shared" si="52"/>
        <v>15249</v>
      </c>
      <c r="L891" s="17">
        <f t="shared" si="53"/>
        <v>27945</v>
      </c>
      <c r="M891" s="17">
        <f t="shared" si="54"/>
        <v>12696</v>
      </c>
      <c r="N891" s="17" t="str">
        <f t="shared" si="55"/>
        <v>profit</v>
      </c>
    </row>
    <row r="892" spans="1:14" ht="15.6" thickTop="1" thickBot="1" x14ac:dyDescent="0.35">
      <c r="A892" s="15">
        <v>45504</v>
      </c>
      <c r="B892" s="15" t="s">
        <v>65</v>
      </c>
      <c r="C892" s="16" t="s">
        <v>328</v>
      </c>
      <c r="D892" s="16" t="s">
        <v>58</v>
      </c>
      <c r="E892" s="16" t="s">
        <v>123</v>
      </c>
      <c r="F892" s="16" t="s">
        <v>69</v>
      </c>
      <c r="G892" s="16" t="s">
        <v>12</v>
      </c>
      <c r="H892" s="16">
        <v>63</v>
      </c>
      <c r="I892" s="16">
        <v>547</v>
      </c>
      <c r="J892" s="16">
        <v>1150</v>
      </c>
      <c r="K892" s="17">
        <f t="shared" si="52"/>
        <v>34461</v>
      </c>
      <c r="L892" s="17">
        <f t="shared" si="53"/>
        <v>72450</v>
      </c>
      <c r="M892" s="17">
        <f t="shared" si="54"/>
        <v>37989</v>
      </c>
      <c r="N892" s="17" t="str">
        <f t="shared" si="55"/>
        <v>profit</v>
      </c>
    </row>
    <row r="893" spans="1:14" ht="15.6" thickTop="1" thickBot="1" x14ac:dyDescent="0.35">
      <c r="A893" s="15">
        <v>45505</v>
      </c>
      <c r="B893" s="15" t="s">
        <v>82</v>
      </c>
      <c r="C893" s="16" t="s">
        <v>329</v>
      </c>
      <c r="D893" s="16" t="s">
        <v>58</v>
      </c>
      <c r="E893" s="16" t="s">
        <v>123</v>
      </c>
      <c r="F893" s="16" t="s">
        <v>51</v>
      </c>
      <c r="G893" s="16" t="s">
        <v>12</v>
      </c>
      <c r="H893" s="16">
        <v>69</v>
      </c>
      <c r="I893" s="16">
        <v>531</v>
      </c>
      <c r="J893" s="16">
        <v>1210</v>
      </c>
      <c r="K893" s="17">
        <f t="shared" si="52"/>
        <v>36639</v>
      </c>
      <c r="L893" s="17">
        <f t="shared" si="53"/>
        <v>83490</v>
      </c>
      <c r="M893" s="17">
        <f t="shared" si="54"/>
        <v>46851</v>
      </c>
      <c r="N893" s="17" t="str">
        <f t="shared" si="55"/>
        <v>profit</v>
      </c>
    </row>
    <row r="894" spans="1:14" ht="15.6" thickTop="1" thickBot="1" x14ac:dyDescent="0.35">
      <c r="A894" s="15">
        <v>45506</v>
      </c>
      <c r="B894" s="15" t="s">
        <v>82</v>
      </c>
      <c r="C894" s="16" t="s">
        <v>330</v>
      </c>
      <c r="D894" s="16" t="s">
        <v>58</v>
      </c>
      <c r="E894" s="16" t="s">
        <v>123</v>
      </c>
      <c r="F894" s="16" t="s">
        <v>89</v>
      </c>
      <c r="G894" s="16" t="s">
        <v>12</v>
      </c>
      <c r="H894" s="16">
        <v>84</v>
      </c>
      <c r="I894" s="16">
        <v>806</v>
      </c>
      <c r="J894" s="16">
        <v>1242</v>
      </c>
      <c r="K894" s="17">
        <f t="shared" si="52"/>
        <v>67704</v>
      </c>
      <c r="L894" s="17">
        <f t="shared" si="53"/>
        <v>104328</v>
      </c>
      <c r="M894" s="17">
        <f t="shared" si="54"/>
        <v>36624</v>
      </c>
      <c r="N894" s="17" t="str">
        <f t="shared" si="55"/>
        <v>profit</v>
      </c>
    </row>
    <row r="895" spans="1:14" ht="15.6" thickTop="1" thickBot="1" x14ac:dyDescent="0.35">
      <c r="A895" s="15">
        <v>45614</v>
      </c>
      <c r="B895" s="15" t="s">
        <v>184</v>
      </c>
      <c r="C895" s="16" t="s">
        <v>198</v>
      </c>
      <c r="D895" s="16" t="s">
        <v>71</v>
      </c>
      <c r="E895" s="16" t="s">
        <v>88</v>
      </c>
      <c r="F895" s="16" t="s">
        <v>60</v>
      </c>
      <c r="G895" s="16" t="s">
        <v>8</v>
      </c>
      <c r="H895" s="16">
        <v>26</v>
      </c>
      <c r="I895" s="16">
        <v>878</v>
      </c>
      <c r="J895" s="16">
        <v>1492</v>
      </c>
      <c r="K895" s="17">
        <f t="shared" si="52"/>
        <v>22828</v>
      </c>
      <c r="L895" s="17">
        <f t="shared" si="53"/>
        <v>38792</v>
      </c>
      <c r="M895" s="17">
        <f t="shared" si="54"/>
        <v>15964</v>
      </c>
      <c r="N895" s="17" t="str">
        <f t="shared" si="55"/>
        <v>profit</v>
      </c>
    </row>
    <row r="896" spans="1:14" ht="15.6" thickTop="1" thickBot="1" x14ac:dyDescent="0.35">
      <c r="A896" s="15">
        <v>45508</v>
      </c>
      <c r="B896" s="15" t="s">
        <v>82</v>
      </c>
      <c r="C896" s="16" t="s">
        <v>331</v>
      </c>
      <c r="D896" s="16" t="s">
        <v>58</v>
      </c>
      <c r="E896" s="16" t="s">
        <v>143</v>
      </c>
      <c r="F896" s="16" t="s">
        <v>102</v>
      </c>
      <c r="G896" s="16" t="s">
        <v>8</v>
      </c>
      <c r="H896" s="16">
        <v>71</v>
      </c>
      <c r="I896" s="16">
        <v>565</v>
      </c>
      <c r="J896" s="16">
        <v>807</v>
      </c>
      <c r="K896" s="17">
        <f t="shared" si="52"/>
        <v>40115</v>
      </c>
      <c r="L896" s="17">
        <f t="shared" si="53"/>
        <v>57297</v>
      </c>
      <c r="M896" s="17">
        <f t="shared" si="54"/>
        <v>17182</v>
      </c>
      <c r="N896" s="17" t="str">
        <f t="shared" si="55"/>
        <v>profit</v>
      </c>
    </row>
    <row r="897" spans="1:14" ht="15.6" thickTop="1" thickBot="1" x14ac:dyDescent="0.35">
      <c r="A897" s="15">
        <v>45616</v>
      </c>
      <c r="B897" s="15" t="s">
        <v>184</v>
      </c>
      <c r="C897" s="16" t="s">
        <v>200</v>
      </c>
      <c r="D897" s="16" t="s">
        <v>71</v>
      </c>
      <c r="E897" s="16" t="s">
        <v>88</v>
      </c>
      <c r="F897" s="16" t="s">
        <v>64</v>
      </c>
      <c r="G897" s="16" t="s">
        <v>8</v>
      </c>
      <c r="H897" s="16">
        <v>25</v>
      </c>
      <c r="I897" s="16">
        <v>547</v>
      </c>
      <c r="J897" s="16">
        <v>1342</v>
      </c>
      <c r="K897" s="17">
        <f t="shared" si="52"/>
        <v>13675</v>
      </c>
      <c r="L897" s="17">
        <f t="shared" si="53"/>
        <v>33550</v>
      </c>
      <c r="M897" s="17">
        <f t="shared" si="54"/>
        <v>19875</v>
      </c>
      <c r="N897" s="17" t="str">
        <f t="shared" si="55"/>
        <v>profit</v>
      </c>
    </row>
    <row r="898" spans="1:14" ht="15.6" thickTop="1" thickBot="1" x14ac:dyDescent="0.35">
      <c r="A898" s="15">
        <v>45509</v>
      </c>
      <c r="B898" s="15" t="s">
        <v>82</v>
      </c>
      <c r="C898" s="16" t="s">
        <v>332</v>
      </c>
      <c r="D898" s="16" t="s">
        <v>58</v>
      </c>
      <c r="E898" s="16" t="s">
        <v>143</v>
      </c>
      <c r="F898" s="16" t="s">
        <v>60</v>
      </c>
      <c r="G898" s="16" t="s">
        <v>8</v>
      </c>
      <c r="H898" s="16">
        <v>90</v>
      </c>
      <c r="I898" s="16">
        <v>634</v>
      </c>
      <c r="J898" s="16">
        <v>1465</v>
      </c>
      <c r="K898" s="17">
        <f t="shared" ref="K898:K961" si="56">H898*I898</f>
        <v>57060</v>
      </c>
      <c r="L898" s="17">
        <f t="shared" ref="L898:L961" si="57">H898*J898</f>
        <v>131850</v>
      </c>
      <c r="M898" s="17">
        <f t="shared" ref="M898:M961" si="58">L898-K898</f>
        <v>74790</v>
      </c>
      <c r="N898" s="17" t="str">
        <f t="shared" ref="N898:N961" si="59">IF(M898&gt;0,"profit","loss")</f>
        <v>profit</v>
      </c>
    </row>
    <row r="899" spans="1:14" ht="15.6" thickTop="1" thickBot="1" x14ac:dyDescent="0.35">
      <c r="A899" s="15">
        <v>45528</v>
      </c>
      <c r="B899" s="15" t="s">
        <v>82</v>
      </c>
      <c r="C899" s="16" t="s">
        <v>333</v>
      </c>
      <c r="D899" s="16" t="s">
        <v>58</v>
      </c>
      <c r="E899" s="16" t="s">
        <v>123</v>
      </c>
      <c r="F899" s="16" t="s">
        <v>64</v>
      </c>
      <c r="G899" s="16" t="s">
        <v>8</v>
      </c>
      <c r="H899" s="16">
        <v>61</v>
      </c>
      <c r="I899" s="16">
        <v>675</v>
      </c>
      <c r="J899" s="16">
        <v>770</v>
      </c>
      <c r="K899" s="17">
        <f t="shared" si="56"/>
        <v>41175</v>
      </c>
      <c r="L899" s="17">
        <f t="shared" si="57"/>
        <v>46970</v>
      </c>
      <c r="M899" s="17">
        <f t="shared" si="58"/>
        <v>5795</v>
      </c>
      <c r="N899" s="17" t="str">
        <f t="shared" si="59"/>
        <v>profit</v>
      </c>
    </row>
    <row r="900" spans="1:14" ht="15.6" thickTop="1" thickBot="1" x14ac:dyDescent="0.35">
      <c r="A900" s="15">
        <v>45529</v>
      </c>
      <c r="B900" s="15" t="s">
        <v>82</v>
      </c>
      <c r="C900" s="16" t="s">
        <v>334</v>
      </c>
      <c r="D900" s="16" t="s">
        <v>58</v>
      </c>
      <c r="E900" s="16" t="s">
        <v>123</v>
      </c>
      <c r="F900" s="16" t="s">
        <v>55</v>
      </c>
      <c r="G900" s="16" t="s">
        <v>8</v>
      </c>
      <c r="H900" s="16">
        <v>58</v>
      </c>
      <c r="I900" s="16">
        <v>720</v>
      </c>
      <c r="J900" s="16">
        <v>1356</v>
      </c>
      <c r="K900" s="17">
        <f t="shared" si="56"/>
        <v>41760</v>
      </c>
      <c r="L900" s="17">
        <f t="shared" si="57"/>
        <v>78648</v>
      </c>
      <c r="M900" s="17">
        <f t="shared" si="58"/>
        <v>36888</v>
      </c>
      <c r="N900" s="17" t="str">
        <f t="shared" si="59"/>
        <v>profit</v>
      </c>
    </row>
    <row r="901" spans="1:14" ht="15.6" thickTop="1" thickBot="1" x14ac:dyDescent="0.35">
      <c r="A901" s="15">
        <v>45530</v>
      </c>
      <c r="B901" s="15" t="s">
        <v>82</v>
      </c>
      <c r="C901" s="16" t="s">
        <v>335</v>
      </c>
      <c r="D901" s="16" t="s">
        <v>58</v>
      </c>
      <c r="E901" s="16" t="s">
        <v>123</v>
      </c>
      <c r="F901" s="16" t="s">
        <v>137</v>
      </c>
      <c r="G901" s="16" t="s">
        <v>8</v>
      </c>
      <c r="H901" s="16">
        <v>60</v>
      </c>
      <c r="I901" s="16">
        <v>676</v>
      </c>
      <c r="J901" s="16">
        <v>768</v>
      </c>
      <c r="K901" s="17">
        <f t="shared" si="56"/>
        <v>40560</v>
      </c>
      <c r="L901" s="17">
        <f t="shared" si="57"/>
        <v>46080</v>
      </c>
      <c r="M901" s="17">
        <f t="shared" si="58"/>
        <v>5520</v>
      </c>
      <c r="N901" s="17" t="str">
        <f t="shared" si="59"/>
        <v>profit</v>
      </c>
    </row>
    <row r="902" spans="1:14" ht="15.6" thickTop="1" thickBot="1" x14ac:dyDescent="0.35">
      <c r="A902" s="15">
        <v>45531</v>
      </c>
      <c r="B902" s="15" t="s">
        <v>82</v>
      </c>
      <c r="C902" s="16" t="s">
        <v>336</v>
      </c>
      <c r="D902" s="16" t="s">
        <v>58</v>
      </c>
      <c r="E902" s="16" t="s">
        <v>123</v>
      </c>
      <c r="F902" s="16" t="s">
        <v>69</v>
      </c>
      <c r="G902" s="16" t="s">
        <v>8</v>
      </c>
      <c r="H902" s="16">
        <v>91</v>
      </c>
      <c r="I902" s="16">
        <v>808</v>
      </c>
      <c r="J902" s="16">
        <v>928</v>
      </c>
      <c r="K902" s="17">
        <f t="shared" si="56"/>
        <v>73528</v>
      </c>
      <c r="L902" s="17">
        <f t="shared" si="57"/>
        <v>84448</v>
      </c>
      <c r="M902" s="17">
        <f t="shared" si="58"/>
        <v>10920</v>
      </c>
      <c r="N902" s="17" t="str">
        <f t="shared" si="59"/>
        <v>profit</v>
      </c>
    </row>
    <row r="903" spans="1:14" ht="15.6" thickTop="1" thickBot="1" x14ac:dyDescent="0.35">
      <c r="A903" s="15">
        <v>45532</v>
      </c>
      <c r="B903" s="15" t="s">
        <v>82</v>
      </c>
      <c r="C903" s="16" t="s">
        <v>337</v>
      </c>
      <c r="D903" s="16" t="s">
        <v>58</v>
      </c>
      <c r="E903" s="16" t="s">
        <v>123</v>
      </c>
      <c r="F903" s="16" t="s">
        <v>176</v>
      </c>
      <c r="G903" s="16" t="s">
        <v>8</v>
      </c>
      <c r="H903" s="16">
        <v>99</v>
      </c>
      <c r="I903" s="16">
        <v>528</v>
      </c>
      <c r="J903" s="16">
        <v>985</v>
      </c>
      <c r="K903" s="17">
        <f t="shared" si="56"/>
        <v>52272</v>
      </c>
      <c r="L903" s="17">
        <f t="shared" si="57"/>
        <v>97515</v>
      </c>
      <c r="M903" s="17">
        <f t="shared" si="58"/>
        <v>45243</v>
      </c>
      <c r="N903" s="17" t="str">
        <f t="shared" si="59"/>
        <v>profit</v>
      </c>
    </row>
    <row r="904" spans="1:14" ht="15.6" thickTop="1" thickBot="1" x14ac:dyDescent="0.35">
      <c r="A904" s="15">
        <v>45533</v>
      </c>
      <c r="B904" s="15" t="s">
        <v>82</v>
      </c>
      <c r="C904" s="16" t="s">
        <v>338</v>
      </c>
      <c r="D904" s="16" t="s">
        <v>58</v>
      </c>
      <c r="E904" s="16" t="s">
        <v>123</v>
      </c>
      <c r="F904" s="16" t="s">
        <v>178</v>
      </c>
      <c r="G904" s="16" t="s">
        <v>8</v>
      </c>
      <c r="H904" s="16">
        <v>73</v>
      </c>
      <c r="I904" s="16">
        <v>783</v>
      </c>
      <c r="J904" s="16">
        <v>903</v>
      </c>
      <c r="K904" s="17">
        <f t="shared" si="56"/>
        <v>57159</v>
      </c>
      <c r="L904" s="17">
        <f t="shared" si="57"/>
        <v>65919</v>
      </c>
      <c r="M904" s="17">
        <f t="shared" si="58"/>
        <v>8760</v>
      </c>
      <c r="N904" s="17" t="str">
        <f t="shared" si="59"/>
        <v>profit</v>
      </c>
    </row>
    <row r="905" spans="1:14" ht="15.6" thickTop="1" thickBot="1" x14ac:dyDescent="0.35">
      <c r="A905" s="15">
        <v>45534</v>
      </c>
      <c r="B905" s="15" t="s">
        <v>82</v>
      </c>
      <c r="C905" s="16" t="s">
        <v>339</v>
      </c>
      <c r="D905" s="16" t="s">
        <v>58</v>
      </c>
      <c r="E905" s="16" t="s">
        <v>123</v>
      </c>
      <c r="F905" s="16" t="s">
        <v>45</v>
      </c>
      <c r="G905" s="16" t="s">
        <v>12</v>
      </c>
      <c r="H905" s="16">
        <v>59</v>
      </c>
      <c r="I905" s="16">
        <v>638</v>
      </c>
      <c r="J905" s="16">
        <v>1080</v>
      </c>
      <c r="K905" s="17">
        <f t="shared" si="56"/>
        <v>37642</v>
      </c>
      <c r="L905" s="17">
        <f t="shared" si="57"/>
        <v>63720</v>
      </c>
      <c r="M905" s="17">
        <f t="shared" si="58"/>
        <v>26078</v>
      </c>
      <c r="N905" s="17" t="str">
        <f t="shared" si="59"/>
        <v>profit</v>
      </c>
    </row>
    <row r="906" spans="1:14" ht="15.6" thickTop="1" thickBot="1" x14ac:dyDescent="0.35">
      <c r="A906" s="15">
        <v>45536</v>
      </c>
      <c r="B906" s="15" t="s">
        <v>94</v>
      </c>
      <c r="C906" s="16" t="s">
        <v>340</v>
      </c>
      <c r="D906" s="16" t="s">
        <v>58</v>
      </c>
      <c r="E906" s="16" t="s">
        <v>123</v>
      </c>
      <c r="F906" s="16" t="s">
        <v>49</v>
      </c>
      <c r="G906" s="16" t="s">
        <v>12</v>
      </c>
      <c r="H906" s="16">
        <v>68</v>
      </c>
      <c r="I906" s="16">
        <v>881</v>
      </c>
      <c r="J906" s="16">
        <v>1266</v>
      </c>
      <c r="K906" s="17">
        <f t="shared" si="56"/>
        <v>59908</v>
      </c>
      <c r="L906" s="17">
        <f t="shared" si="57"/>
        <v>86088</v>
      </c>
      <c r="M906" s="17">
        <f t="shared" si="58"/>
        <v>26180</v>
      </c>
      <c r="N906" s="17" t="str">
        <f t="shared" si="59"/>
        <v>profit</v>
      </c>
    </row>
    <row r="907" spans="1:14" ht="15.6" thickTop="1" thickBot="1" x14ac:dyDescent="0.35">
      <c r="A907" s="15">
        <v>45626</v>
      </c>
      <c r="B907" s="15" t="s">
        <v>184</v>
      </c>
      <c r="C907" s="16" t="s">
        <v>210</v>
      </c>
      <c r="D907" s="16" t="s">
        <v>71</v>
      </c>
      <c r="E907" s="16" t="s">
        <v>10</v>
      </c>
      <c r="F907" s="16" t="s">
        <v>64</v>
      </c>
      <c r="G907" s="16" t="s">
        <v>8</v>
      </c>
      <c r="H907" s="16">
        <v>22</v>
      </c>
      <c r="I907" s="16">
        <v>606</v>
      </c>
      <c r="J907" s="16">
        <v>1459</v>
      </c>
      <c r="K907" s="17">
        <f t="shared" si="56"/>
        <v>13332</v>
      </c>
      <c r="L907" s="17">
        <f t="shared" si="57"/>
        <v>32098</v>
      </c>
      <c r="M907" s="17">
        <f t="shared" si="58"/>
        <v>18766</v>
      </c>
      <c r="N907" s="17" t="str">
        <f t="shared" si="59"/>
        <v>profit</v>
      </c>
    </row>
    <row r="908" spans="1:14" ht="15.6" thickTop="1" thickBot="1" x14ac:dyDescent="0.35">
      <c r="A908" s="15">
        <v>45537</v>
      </c>
      <c r="B908" s="15" t="s">
        <v>94</v>
      </c>
      <c r="C908" s="16" t="s">
        <v>341</v>
      </c>
      <c r="D908" s="16" t="s">
        <v>58</v>
      </c>
      <c r="E908" s="16" t="s">
        <v>143</v>
      </c>
      <c r="F908" s="16" t="s">
        <v>51</v>
      </c>
      <c r="G908" s="16" t="s">
        <v>12</v>
      </c>
      <c r="H908" s="16">
        <v>55</v>
      </c>
      <c r="I908" s="16">
        <v>639</v>
      </c>
      <c r="J908" s="16">
        <v>1311</v>
      </c>
      <c r="K908" s="17">
        <f t="shared" si="56"/>
        <v>35145</v>
      </c>
      <c r="L908" s="17">
        <f t="shared" si="57"/>
        <v>72105</v>
      </c>
      <c r="M908" s="17">
        <f t="shared" si="58"/>
        <v>36960</v>
      </c>
      <c r="N908" s="17" t="str">
        <f t="shared" si="59"/>
        <v>profit</v>
      </c>
    </row>
    <row r="909" spans="1:14" ht="15.6" thickTop="1" thickBot="1" x14ac:dyDescent="0.35">
      <c r="A909" s="15">
        <v>45538</v>
      </c>
      <c r="B909" s="15" t="s">
        <v>94</v>
      </c>
      <c r="C909" s="16" t="s">
        <v>342</v>
      </c>
      <c r="D909" s="16" t="s">
        <v>58</v>
      </c>
      <c r="E909" s="16" t="s">
        <v>143</v>
      </c>
      <c r="F909" s="16" t="s">
        <v>51</v>
      </c>
      <c r="G909" s="16" t="s">
        <v>12</v>
      </c>
      <c r="H909" s="16">
        <v>52</v>
      </c>
      <c r="I909" s="16">
        <v>718</v>
      </c>
      <c r="J909" s="16">
        <v>919</v>
      </c>
      <c r="K909" s="17">
        <f t="shared" si="56"/>
        <v>37336</v>
      </c>
      <c r="L909" s="17">
        <f t="shared" si="57"/>
        <v>47788</v>
      </c>
      <c r="M909" s="17">
        <f t="shared" si="58"/>
        <v>10452</v>
      </c>
      <c r="N909" s="17" t="str">
        <f t="shared" si="59"/>
        <v>profit</v>
      </c>
    </row>
    <row r="910" spans="1:14" ht="15.6" thickTop="1" thickBot="1" x14ac:dyDescent="0.35">
      <c r="A910" s="15">
        <v>45629</v>
      </c>
      <c r="B910" s="15" t="s">
        <v>213</v>
      </c>
      <c r="C910" s="16" t="s">
        <v>214</v>
      </c>
      <c r="D910" s="16" t="s">
        <v>71</v>
      </c>
      <c r="E910" s="16" t="s">
        <v>10</v>
      </c>
      <c r="F910" s="16" t="s">
        <v>85</v>
      </c>
      <c r="G910" s="16" t="s">
        <v>12</v>
      </c>
      <c r="H910" s="16">
        <v>28</v>
      </c>
      <c r="I910" s="16">
        <v>507</v>
      </c>
      <c r="J910" s="16">
        <v>1379</v>
      </c>
      <c r="K910" s="17">
        <f t="shared" si="56"/>
        <v>14196</v>
      </c>
      <c r="L910" s="17">
        <f t="shared" si="57"/>
        <v>38612</v>
      </c>
      <c r="M910" s="17">
        <f t="shared" si="58"/>
        <v>24416</v>
      </c>
      <c r="N910" s="17" t="str">
        <f t="shared" si="59"/>
        <v>profit</v>
      </c>
    </row>
    <row r="911" spans="1:14" ht="15.6" thickTop="1" thickBot="1" x14ac:dyDescent="0.35">
      <c r="A911" s="15">
        <v>45539</v>
      </c>
      <c r="B911" s="15" t="s">
        <v>94</v>
      </c>
      <c r="C911" s="16" t="s">
        <v>343</v>
      </c>
      <c r="D911" s="16" t="s">
        <v>58</v>
      </c>
      <c r="E911" s="16" t="s">
        <v>143</v>
      </c>
      <c r="F911" s="16" t="s">
        <v>53</v>
      </c>
      <c r="G911" s="16" t="s">
        <v>8</v>
      </c>
      <c r="H911" s="16">
        <v>95</v>
      </c>
      <c r="I911" s="16">
        <v>944</v>
      </c>
      <c r="J911" s="16">
        <v>1263</v>
      </c>
      <c r="K911" s="17">
        <f t="shared" si="56"/>
        <v>89680</v>
      </c>
      <c r="L911" s="17">
        <f t="shared" si="57"/>
        <v>119985</v>
      </c>
      <c r="M911" s="17">
        <f t="shared" si="58"/>
        <v>30305</v>
      </c>
      <c r="N911" s="17" t="str">
        <f t="shared" si="59"/>
        <v>profit</v>
      </c>
    </row>
    <row r="912" spans="1:14" ht="15.6" thickTop="1" thickBot="1" x14ac:dyDescent="0.35">
      <c r="A912" s="15">
        <v>45541</v>
      </c>
      <c r="B912" s="15" t="s">
        <v>94</v>
      </c>
      <c r="C912" s="16" t="s">
        <v>344</v>
      </c>
      <c r="D912" s="16" t="s">
        <v>58</v>
      </c>
      <c r="E912" s="16" t="s">
        <v>143</v>
      </c>
      <c r="F912" s="16" t="s">
        <v>51</v>
      </c>
      <c r="G912" s="16" t="s">
        <v>8</v>
      </c>
      <c r="H912" s="16">
        <v>99</v>
      </c>
      <c r="I912" s="16">
        <v>523</v>
      </c>
      <c r="J912" s="16">
        <v>1350</v>
      </c>
      <c r="K912" s="17">
        <f t="shared" si="56"/>
        <v>51777</v>
      </c>
      <c r="L912" s="17">
        <f t="shared" si="57"/>
        <v>133650</v>
      </c>
      <c r="M912" s="17">
        <f t="shared" si="58"/>
        <v>81873</v>
      </c>
      <c r="N912" s="17" t="str">
        <f t="shared" si="59"/>
        <v>profit</v>
      </c>
    </row>
    <row r="913" spans="1:14" ht="15.6" thickTop="1" thickBot="1" x14ac:dyDescent="0.35">
      <c r="A913" s="15">
        <v>45542</v>
      </c>
      <c r="B913" s="15" t="s">
        <v>94</v>
      </c>
      <c r="C913" s="16" t="s">
        <v>345</v>
      </c>
      <c r="D913" s="16" t="s">
        <v>58</v>
      </c>
      <c r="E913" s="16" t="s">
        <v>143</v>
      </c>
      <c r="F913" s="16" t="s">
        <v>100</v>
      </c>
      <c r="G913" s="16" t="s">
        <v>12</v>
      </c>
      <c r="H913" s="16">
        <v>92</v>
      </c>
      <c r="I913" s="16">
        <v>814</v>
      </c>
      <c r="J913" s="16">
        <v>865</v>
      </c>
      <c r="K913" s="17">
        <f t="shared" si="56"/>
        <v>74888</v>
      </c>
      <c r="L913" s="17">
        <f t="shared" si="57"/>
        <v>79580</v>
      </c>
      <c r="M913" s="17">
        <f t="shared" si="58"/>
        <v>4692</v>
      </c>
      <c r="N913" s="17" t="str">
        <f t="shared" si="59"/>
        <v>profit</v>
      </c>
    </row>
    <row r="914" spans="1:14" ht="15.6" thickTop="1" thickBot="1" x14ac:dyDescent="0.35">
      <c r="A914" s="15">
        <v>45555</v>
      </c>
      <c r="B914" s="15" t="s">
        <v>94</v>
      </c>
      <c r="C914" s="16" t="s">
        <v>346</v>
      </c>
      <c r="D914" s="16" t="s">
        <v>58</v>
      </c>
      <c r="E914" s="16" t="s">
        <v>143</v>
      </c>
      <c r="F914" s="16" t="s">
        <v>69</v>
      </c>
      <c r="G914" s="16" t="s">
        <v>12</v>
      </c>
      <c r="H914" s="16">
        <v>62</v>
      </c>
      <c r="I914" s="16">
        <v>891</v>
      </c>
      <c r="J914" s="16">
        <v>1170</v>
      </c>
      <c r="K914" s="17">
        <f t="shared" si="56"/>
        <v>55242</v>
      </c>
      <c r="L914" s="17">
        <f t="shared" si="57"/>
        <v>72540</v>
      </c>
      <c r="M914" s="17">
        <f t="shared" si="58"/>
        <v>17298</v>
      </c>
      <c r="N914" s="17" t="str">
        <f t="shared" si="59"/>
        <v>profit</v>
      </c>
    </row>
    <row r="915" spans="1:14" ht="15.6" thickTop="1" thickBot="1" x14ac:dyDescent="0.35">
      <c r="A915" s="15">
        <v>45634</v>
      </c>
      <c r="B915" s="15" t="s">
        <v>213</v>
      </c>
      <c r="C915" s="16" t="s">
        <v>219</v>
      </c>
      <c r="D915" s="16" t="s">
        <v>71</v>
      </c>
      <c r="E915" s="16" t="s">
        <v>10</v>
      </c>
      <c r="F915" s="16" t="s">
        <v>176</v>
      </c>
      <c r="G915" s="16" t="s">
        <v>12</v>
      </c>
      <c r="H915" s="16">
        <v>29</v>
      </c>
      <c r="I915" s="16">
        <v>989</v>
      </c>
      <c r="J915" s="16">
        <v>836</v>
      </c>
      <c r="K915" s="17">
        <f t="shared" si="56"/>
        <v>28681</v>
      </c>
      <c r="L915" s="17">
        <f t="shared" si="57"/>
        <v>24244</v>
      </c>
      <c r="M915" s="17">
        <f t="shared" si="58"/>
        <v>-4437</v>
      </c>
      <c r="N915" s="17" t="str">
        <f t="shared" si="59"/>
        <v>loss</v>
      </c>
    </row>
    <row r="916" spans="1:14" ht="15.6" thickTop="1" thickBot="1" x14ac:dyDescent="0.35">
      <c r="A916" s="15">
        <v>45556</v>
      </c>
      <c r="B916" s="15" t="s">
        <v>94</v>
      </c>
      <c r="C916" s="16" t="s">
        <v>347</v>
      </c>
      <c r="D916" s="16" t="s">
        <v>58</v>
      </c>
      <c r="E916" s="16" t="s">
        <v>143</v>
      </c>
      <c r="F916" s="16" t="s">
        <v>53</v>
      </c>
      <c r="G916" s="16" t="s">
        <v>12</v>
      </c>
      <c r="H916" s="16">
        <v>89</v>
      </c>
      <c r="I916" s="16">
        <v>990</v>
      </c>
      <c r="J916" s="16">
        <v>1047</v>
      </c>
      <c r="K916" s="17">
        <f t="shared" si="56"/>
        <v>88110</v>
      </c>
      <c r="L916" s="17">
        <f t="shared" si="57"/>
        <v>93183</v>
      </c>
      <c r="M916" s="17">
        <f t="shared" si="58"/>
        <v>5073</v>
      </c>
      <c r="N916" s="17" t="str">
        <f t="shared" si="59"/>
        <v>profit</v>
      </c>
    </row>
    <row r="917" spans="1:14" ht="15.6" thickTop="1" thickBot="1" x14ac:dyDescent="0.35">
      <c r="A917" s="15">
        <v>45557</v>
      </c>
      <c r="B917" s="15" t="s">
        <v>94</v>
      </c>
      <c r="C917" s="16" t="s">
        <v>348</v>
      </c>
      <c r="D917" s="16" t="s">
        <v>58</v>
      </c>
      <c r="E917" s="16" t="s">
        <v>143</v>
      </c>
      <c r="F917" s="16" t="s">
        <v>69</v>
      </c>
      <c r="G917" s="16" t="s">
        <v>12</v>
      </c>
      <c r="H917" s="16">
        <v>61</v>
      </c>
      <c r="I917" s="16">
        <v>907</v>
      </c>
      <c r="J917" s="16">
        <v>1327</v>
      </c>
      <c r="K917" s="17">
        <f t="shared" si="56"/>
        <v>55327</v>
      </c>
      <c r="L917" s="17">
        <f t="shared" si="57"/>
        <v>80947</v>
      </c>
      <c r="M917" s="17">
        <f t="shared" si="58"/>
        <v>25620</v>
      </c>
      <c r="N917" s="17" t="str">
        <f t="shared" si="59"/>
        <v>profit</v>
      </c>
    </row>
    <row r="918" spans="1:14" ht="15.6" thickTop="1" thickBot="1" x14ac:dyDescent="0.35">
      <c r="A918" s="15">
        <v>45637</v>
      </c>
      <c r="B918" s="15" t="s">
        <v>213</v>
      </c>
      <c r="C918" s="16" t="s">
        <v>221</v>
      </c>
      <c r="D918" s="16" t="s">
        <v>58</v>
      </c>
      <c r="E918" s="16" t="s">
        <v>123</v>
      </c>
      <c r="F918" s="16" t="s">
        <v>47</v>
      </c>
      <c r="G918" s="16" t="s">
        <v>12</v>
      </c>
      <c r="H918" s="16">
        <v>55</v>
      </c>
      <c r="I918" s="16">
        <v>666</v>
      </c>
      <c r="J918" s="16">
        <v>1358</v>
      </c>
      <c r="K918" s="17">
        <f t="shared" si="56"/>
        <v>36630</v>
      </c>
      <c r="L918" s="17">
        <f t="shared" si="57"/>
        <v>74690</v>
      </c>
      <c r="M918" s="17">
        <f t="shared" si="58"/>
        <v>38060</v>
      </c>
      <c r="N918" s="17" t="str">
        <f t="shared" si="59"/>
        <v>profit</v>
      </c>
    </row>
    <row r="919" spans="1:14" ht="15.6" thickTop="1" thickBot="1" x14ac:dyDescent="0.35">
      <c r="A919" s="15">
        <v>45558</v>
      </c>
      <c r="B919" s="15" t="s">
        <v>94</v>
      </c>
      <c r="C919" s="16" t="s">
        <v>349</v>
      </c>
      <c r="D919" s="16" t="s">
        <v>58</v>
      </c>
      <c r="E919" s="16" t="s">
        <v>143</v>
      </c>
      <c r="F919" s="16" t="s">
        <v>74</v>
      </c>
      <c r="G919" s="16" t="s">
        <v>8</v>
      </c>
      <c r="H919" s="16">
        <v>52</v>
      </c>
      <c r="I919" s="16">
        <v>766</v>
      </c>
      <c r="J919" s="16">
        <v>1318</v>
      </c>
      <c r="K919" s="17">
        <f t="shared" si="56"/>
        <v>39832</v>
      </c>
      <c r="L919" s="17">
        <f t="shared" si="57"/>
        <v>68536</v>
      </c>
      <c r="M919" s="17">
        <f t="shared" si="58"/>
        <v>28704</v>
      </c>
      <c r="N919" s="17" t="str">
        <f t="shared" si="59"/>
        <v>profit</v>
      </c>
    </row>
    <row r="920" spans="1:14" ht="15.6" thickTop="1" thickBot="1" x14ac:dyDescent="0.35">
      <c r="A920" s="15">
        <v>45559</v>
      </c>
      <c r="B920" s="15" t="s">
        <v>94</v>
      </c>
      <c r="C920" s="16" t="s">
        <v>350</v>
      </c>
      <c r="D920" s="16" t="s">
        <v>58</v>
      </c>
      <c r="E920" s="16" t="s">
        <v>143</v>
      </c>
      <c r="F920" s="16" t="s">
        <v>53</v>
      </c>
      <c r="G920" s="16" t="s">
        <v>12</v>
      </c>
      <c r="H920" s="16">
        <v>96</v>
      </c>
      <c r="I920" s="16">
        <v>520</v>
      </c>
      <c r="J920" s="16">
        <v>1208</v>
      </c>
      <c r="K920" s="17">
        <f t="shared" si="56"/>
        <v>49920</v>
      </c>
      <c r="L920" s="17">
        <f t="shared" si="57"/>
        <v>115968</v>
      </c>
      <c r="M920" s="17">
        <f t="shared" si="58"/>
        <v>66048</v>
      </c>
      <c r="N920" s="17" t="str">
        <f t="shared" si="59"/>
        <v>profit</v>
      </c>
    </row>
    <row r="921" spans="1:14" ht="15.6" thickTop="1" thickBot="1" x14ac:dyDescent="0.35">
      <c r="A921" s="15">
        <v>45560</v>
      </c>
      <c r="B921" s="15" t="s">
        <v>94</v>
      </c>
      <c r="C921" s="16" t="s">
        <v>351</v>
      </c>
      <c r="D921" s="16" t="s">
        <v>58</v>
      </c>
      <c r="E921" s="16" t="s">
        <v>143</v>
      </c>
      <c r="F921" s="16" t="s">
        <v>77</v>
      </c>
      <c r="G921" s="16" t="s">
        <v>12</v>
      </c>
      <c r="H921" s="16">
        <v>90</v>
      </c>
      <c r="I921" s="16">
        <v>792</v>
      </c>
      <c r="J921" s="16">
        <v>818</v>
      </c>
      <c r="K921" s="17">
        <f t="shared" si="56"/>
        <v>71280</v>
      </c>
      <c r="L921" s="17">
        <f t="shared" si="57"/>
        <v>73620</v>
      </c>
      <c r="M921" s="17">
        <f t="shared" si="58"/>
        <v>2340</v>
      </c>
      <c r="N921" s="17" t="str">
        <f t="shared" si="59"/>
        <v>profit</v>
      </c>
    </row>
    <row r="922" spans="1:14" ht="15.6" thickTop="1" thickBot="1" x14ac:dyDescent="0.35">
      <c r="A922" s="15">
        <v>45561</v>
      </c>
      <c r="B922" s="15" t="s">
        <v>94</v>
      </c>
      <c r="C922" s="16" t="s">
        <v>352</v>
      </c>
      <c r="D922" s="16" t="s">
        <v>58</v>
      </c>
      <c r="E922" s="16" t="s">
        <v>143</v>
      </c>
      <c r="F922" s="16" t="s">
        <v>79</v>
      </c>
      <c r="G922" s="16" t="s">
        <v>12</v>
      </c>
      <c r="H922" s="16">
        <v>98</v>
      </c>
      <c r="I922" s="16">
        <v>711</v>
      </c>
      <c r="J922" s="16">
        <v>1190</v>
      </c>
      <c r="K922" s="17">
        <f t="shared" si="56"/>
        <v>69678</v>
      </c>
      <c r="L922" s="17">
        <f t="shared" si="57"/>
        <v>116620</v>
      </c>
      <c r="M922" s="17">
        <f t="shared" si="58"/>
        <v>46942</v>
      </c>
      <c r="N922" s="17" t="str">
        <f t="shared" si="59"/>
        <v>profit</v>
      </c>
    </row>
    <row r="923" spans="1:14" ht="15.6" thickTop="1" thickBot="1" x14ac:dyDescent="0.35">
      <c r="A923" s="15">
        <v>45642</v>
      </c>
      <c r="B923" s="15" t="s">
        <v>213</v>
      </c>
      <c r="C923" s="16" t="s">
        <v>225</v>
      </c>
      <c r="D923" s="16" t="s">
        <v>58</v>
      </c>
      <c r="E923" s="16" t="s">
        <v>123</v>
      </c>
      <c r="F923" s="16" t="s">
        <v>64</v>
      </c>
      <c r="G923" s="16" t="s">
        <v>8</v>
      </c>
      <c r="H923" s="16">
        <v>94</v>
      </c>
      <c r="I923" s="16">
        <v>616</v>
      </c>
      <c r="J923" s="16">
        <v>1200</v>
      </c>
      <c r="K923" s="17">
        <f t="shared" si="56"/>
        <v>57904</v>
      </c>
      <c r="L923" s="17">
        <f t="shared" si="57"/>
        <v>112800</v>
      </c>
      <c r="M923" s="17">
        <f t="shared" si="58"/>
        <v>54896</v>
      </c>
      <c r="N923" s="17" t="str">
        <f t="shared" si="59"/>
        <v>profit</v>
      </c>
    </row>
    <row r="924" spans="1:14" ht="15.6" thickTop="1" thickBot="1" x14ac:dyDescent="0.35">
      <c r="A924" s="15">
        <v>45569</v>
      </c>
      <c r="B924" s="15" t="s">
        <v>109</v>
      </c>
      <c r="C924" s="16" t="s">
        <v>353</v>
      </c>
      <c r="D924" s="16" t="s">
        <v>58</v>
      </c>
      <c r="E924" s="16" t="s">
        <v>123</v>
      </c>
      <c r="F924" s="16" t="s">
        <v>55</v>
      </c>
      <c r="G924" s="16" t="s">
        <v>8</v>
      </c>
      <c r="H924" s="16">
        <v>93</v>
      </c>
      <c r="I924" s="16">
        <v>660</v>
      </c>
      <c r="J924" s="16">
        <v>880</v>
      </c>
      <c r="K924" s="17">
        <f t="shared" si="56"/>
        <v>61380</v>
      </c>
      <c r="L924" s="17">
        <f t="shared" si="57"/>
        <v>81840</v>
      </c>
      <c r="M924" s="17">
        <f t="shared" si="58"/>
        <v>20460</v>
      </c>
      <c r="N924" s="17" t="str">
        <f t="shared" si="59"/>
        <v>profit</v>
      </c>
    </row>
    <row r="925" spans="1:14" ht="15.6" thickTop="1" thickBot="1" x14ac:dyDescent="0.35">
      <c r="A925" s="15">
        <v>45570</v>
      </c>
      <c r="B925" s="15" t="s">
        <v>109</v>
      </c>
      <c r="C925" s="16" t="s">
        <v>354</v>
      </c>
      <c r="D925" s="16" t="s">
        <v>58</v>
      </c>
      <c r="E925" s="16" t="s">
        <v>123</v>
      </c>
      <c r="F925" s="16" t="s">
        <v>137</v>
      </c>
      <c r="G925" s="16" t="s">
        <v>8</v>
      </c>
      <c r="H925" s="16">
        <v>59</v>
      </c>
      <c r="I925" s="16">
        <v>623</v>
      </c>
      <c r="J925" s="16">
        <v>1386</v>
      </c>
      <c r="K925" s="17">
        <f t="shared" si="56"/>
        <v>36757</v>
      </c>
      <c r="L925" s="17">
        <f t="shared" si="57"/>
        <v>81774</v>
      </c>
      <c r="M925" s="17">
        <f t="shared" si="58"/>
        <v>45017</v>
      </c>
      <c r="N925" s="17" t="str">
        <f t="shared" si="59"/>
        <v>profit</v>
      </c>
    </row>
    <row r="926" spans="1:14" ht="15.6" thickTop="1" thickBot="1" x14ac:dyDescent="0.35">
      <c r="A926" s="15">
        <v>45572</v>
      </c>
      <c r="B926" s="15" t="s">
        <v>109</v>
      </c>
      <c r="C926" s="16" t="s">
        <v>355</v>
      </c>
      <c r="D926" s="16" t="s">
        <v>58</v>
      </c>
      <c r="E926" s="16" t="s">
        <v>123</v>
      </c>
      <c r="F926" s="16" t="s">
        <v>176</v>
      </c>
      <c r="G926" s="16" t="s">
        <v>8</v>
      </c>
      <c r="H926" s="16">
        <v>98</v>
      </c>
      <c r="I926" s="16">
        <v>865</v>
      </c>
      <c r="J926" s="16">
        <v>1260</v>
      </c>
      <c r="K926" s="17">
        <f t="shared" si="56"/>
        <v>84770</v>
      </c>
      <c r="L926" s="17">
        <f t="shared" si="57"/>
        <v>123480</v>
      </c>
      <c r="M926" s="17">
        <f t="shared" si="58"/>
        <v>38710</v>
      </c>
      <c r="N926" s="17" t="str">
        <f t="shared" si="59"/>
        <v>profit</v>
      </c>
    </row>
    <row r="927" spans="1:14" ht="15.6" thickTop="1" thickBot="1" x14ac:dyDescent="0.35">
      <c r="A927" s="15">
        <v>45646</v>
      </c>
      <c r="B927" s="15" t="s">
        <v>213</v>
      </c>
      <c r="C927" s="16" t="s">
        <v>229</v>
      </c>
      <c r="D927" s="16" t="s">
        <v>58</v>
      </c>
      <c r="E927" s="16" t="s">
        <v>123</v>
      </c>
      <c r="F927" s="16" t="s">
        <v>64</v>
      </c>
      <c r="G927" s="16" t="s">
        <v>8</v>
      </c>
      <c r="H927" s="16">
        <v>67</v>
      </c>
      <c r="I927" s="16">
        <v>898</v>
      </c>
      <c r="J927" s="16">
        <v>1133</v>
      </c>
      <c r="K927" s="17">
        <f t="shared" si="56"/>
        <v>60166</v>
      </c>
      <c r="L927" s="17">
        <f t="shared" si="57"/>
        <v>75911</v>
      </c>
      <c r="M927" s="17">
        <f t="shared" si="58"/>
        <v>15745</v>
      </c>
      <c r="N927" s="17" t="str">
        <f t="shared" si="59"/>
        <v>profit</v>
      </c>
    </row>
    <row r="928" spans="1:14" ht="15.6" thickTop="1" thickBot="1" x14ac:dyDescent="0.35">
      <c r="A928" s="15">
        <v>45573</v>
      </c>
      <c r="B928" s="15" t="s">
        <v>109</v>
      </c>
      <c r="C928" s="16" t="s">
        <v>356</v>
      </c>
      <c r="D928" s="16" t="s">
        <v>58</v>
      </c>
      <c r="E928" s="16" t="s">
        <v>123</v>
      </c>
      <c r="F928" s="16" t="s">
        <v>178</v>
      </c>
      <c r="G928" s="16" t="s">
        <v>8</v>
      </c>
      <c r="H928" s="16">
        <v>83</v>
      </c>
      <c r="I928" s="16">
        <v>709</v>
      </c>
      <c r="J928" s="16">
        <v>1206</v>
      </c>
      <c r="K928" s="17">
        <f t="shared" si="56"/>
        <v>58847</v>
      </c>
      <c r="L928" s="17">
        <f t="shared" si="57"/>
        <v>100098</v>
      </c>
      <c r="M928" s="17">
        <f t="shared" si="58"/>
        <v>41251</v>
      </c>
      <c r="N928" s="17" t="str">
        <f t="shared" si="59"/>
        <v>profit</v>
      </c>
    </row>
    <row r="929" spans="1:14" ht="15.6" thickTop="1" thickBot="1" x14ac:dyDescent="0.35">
      <c r="A929" s="15">
        <v>45648</v>
      </c>
      <c r="B929" s="15" t="s">
        <v>213</v>
      </c>
      <c r="C929" s="16" t="s">
        <v>231</v>
      </c>
      <c r="D929" s="16" t="s">
        <v>58</v>
      </c>
      <c r="E929" s="16" t="s">
        <v>143</v>
      </c>
      <c r="F929" s="16" t="s">
        <v>137</v>
      </c>
      <c r="G929" s="16" t="s">
        <v>8</v>
      </c>
      <c r="H929" s="16">
        <v>72</v>
      </c>
      <c r="I929" s="16">
        <v>603</v>
      </c>
      <c r="J929" s="16">
        <v>941</v>
      </c>
      <c r="K929" s="17">
        <f t="shared" si="56"/>
        <v>43416</v>
      </c>
      <c r="L929" s="17">
        <f t="shared" si="57"/>
        <v>67752</v>
      </c>
      <c r="M929" s="17">
        <f t="shared" si="58"/>
        <v>24336</v>
      </c>
      <c r="N929" s="17" t="str">
        <f t="shared" si="59"/>
        <v>profit</v>
      </c>
    </row>
    <row r="930" spans="1:14" ht="15.6" thickTop="1" thickBot="1" x14ac:dyDescent="0.35">
      <c r="A930" s="15">
        <v>45574</v>
      </c>
      <c r="B930" s="15" t="s">
        <v>109</v>
      </c>
      <c r="C930" s="16" t="s">
        <v>357</v>
      </c>
      <c r="D930" s="16" t="s">
        <v>58</v>
      </c>
      <c r="E930" s="16" t="s">
        <v>143</v>
      </c>
      <c r="F930" s="16" t="s">
        <v>45</v>
      </c>
      <c r="G930" s="16" t="s">
        <v>8</v>
      </c>
      <c r="H930" s="16">
        <v>69</v>
      </c>
      <c r="I930" s="16">
        <v>657</v>
      </c>
      <c r="J930" s="16">
        <v>1493</v>
      </c>
      <c r="K930" s="17">
        <f t="shared" si="56"/>
        <v>45333</v>
      </c>
      <c r="L930" s="17">
        <f t="shared" si="57"/>
        <v>103017</v>
      </c>
      <c r="M930" s="17">
        <f t="shared" si="58"/>
        <v>57684</v>
      </c>
      <c r="N930" s="17" t="str">
        <f t="shared" si="59"/>
        <v>profit</v>
      </c>
    </row>
    <row r="931" spans="1:14" ht="15.6" thickTop="1" thickBot="1" x14ac:dyDescent="0.35">
      <c r="A931" s="15">
        <v>45575</v>
      </c>
      <c r="B931" s="15" t="s">
        <v>109</v>
      </c>
      <c r="C931" s="16" t="s">
        <v>358</v>
      </c>
      <c r="D931" s="16" t="s">
        <v>58</v>
      </c>
      <c r="E931" s="16" t="s">
        <v>143</v>
      </c>
      <c r="F931" s="16" t="s">
        <v>47</v>
      </c>
      <c r="G931" s="16" t="s">
        <v>8</v>
      </c>
      <c r="H931" s="16">
        <v>81</v>
      </c>
      <c r="I931" s="16">
        <v>709</v>
      </c>
      <c r="J931" s="16">
        <v>1180</v>
      </c>
      <c r="K931" s="17">
        <f t="shared" si="56"/>
        <v>57429</v>
      </c>
      <c r="L931" s="17">
        <f t="shared" si="57"/>
        <v>95580</v>
      </c>
      <c r="M931" s="17">
        <f t="shared" si="58"/>
        <v>38151</v>
      </c>
      <c r="N931" s="17" t="str">
        <f t="shared" si="59"/>
        <v>profit</v>
      </c>
    </row>
    <row r="932" spans="1:14" ht="15.6" thickTop="1" thickBot="1" x14ac:dyDescent="0.35">
      <c r="A932" s="15">
        <v>45576</v>
      </c>
      <c r="B932" s="15" t="s">
        <v>109</v>
      </c>
      <c r="C932" s="16" t="s">
        <v>359</v>
      </c>
      <c r="D932" s="16" t="s">
        <v>58</v>
      </c>
      <c r="E932" s="16" t="s">
        <v>143</v>
      </c>
      <c r="F932" s="16" t="s">
        <v>49</v>
      </c>
      <c r="G932" s="16" t="s">
        <v>8</v>
      </c>
      <c r="H932" s="16">
        <v>61</v>
      </c>
      <c r="I932" s="16">
        <v>547</v>
      </c>
      <c r="J932" s="16">
        <v>1060</v>
      </c>
      <c r="K932" s="17">
        <f t="shared" si="56"/>
        <v>33367</v>
      </c>
      <c r="L932" s="17">
        <f t="shared" si="57"/>
        <v>64660</v>
      </c>
      <c r="M932" s="17">
        <f t="shared" si="58"/>
        <v>31293</v>
      </c>
      <c r="N932" s="17" t="str">
        <f t="shared" si="59"/>
        <v>profit</v>
      </c>
    </row>
    <row r="933" spans="1:14" ht="15.6" thickTop="1" thickBot="1" x14ac:dyDescent="0.35">
      <c r="A933" s="15">
        <v>45577</v>
      </c>
      <c r="B933" s="15" t="s">
        <v>109</v>
      </c>
      <c r="C933" s="16" t="s">
        <v>360</v>
      </c>
      <c r="D933" s="16" t="s">
        <v>58</v>
      </c>
      <c r="E933" s="16" t="s">
        <v>143</v>
      </c>
      <c r="F933" s="16" t="s">
        <v>51</v>
      </c>
      <c r="G933" s="16" t="s">
        <v>8</v>
      </c>
      <c r="H933" s="16">
        <v>57</v>
      </c>
      <c r="I933" s="16">
        <v>734</v>
      </c>
      <c r="J933" s="16">
        <v>979</v>
      </c>
      <c r="K933" s="17">
        <f t="shared" si="56"/>
        <v>41838</v>
      </c>
      <c r="L933" s="17">
        <f t="shared" si="57"/>
        <v>55803</v>
      </c>
      <c r="M933" s="17">
        <f t="shared" si="58"/>
        <v>13965</v>
      </c>
      <c r="N933" s="17" t="str">
        <f t="shared" si="59"/>
        <v>profit</v>
      </c>
    </row>
    <row r="934" spans="1:14" ht="15.6" thickTop="1" thickBot="1" x14ac:dyDescent="0.35">
      <c r="A934" s="15">
        <v>45653</v>
      </c>
      <c r="B934" s="15" t="s">
        <v>213</v>
      </c>
      <c r="C934" s="16" t="s">
        <v>236</v>
      </c>
      <c r="D934" s="16" t="s">
        <v>58</v>
      </c>
      <c r="E934" s="16" t="s">
        <v>143</v>
      </c>
      <c r="F934" s="16" t="s">
        <v>47</v>
      </c>
      <c r="G934" s="16" t="s">
        <v>12</v>
      </c>
      <c r="H934" s="16">
        <v>97</v>
      </c>
      <c r="I934" s="16">
        <v>500</v>
      </c>
      <c r="J934" s="16">
        <v>1417</v>
      </c>
      <c r="K934" s="17">
        <f t="shared" si="56"/>
        <v>48500</v>
      </c>
      <c r="L934" s="17">
        <f t="shared" si="57"/>
        <v>137449</v>
      </c>
      <c r="M934" s="17">
        <f t="shared" si="58"/>
        <v>88949</v>
      </c>
      <c r="N934" s="17" t="str">
        <f t="shared" si="59"/>
        <v>profit</v>
      </c>
    </row>
    <row r="935" spans="1:14" ht="15.6" thickTop="1" thickBot="1" x14ac:dyDescent="0.35">
      <c r="A935" s="15">
        <v>45579</v>
      </c>
      <c r="B935" s="15" t="s">
        <v>109</v>
      </c>
      <c r="C935" s="16" t="s">
        <v>361</v>
      </c>
      <c r="D935" s="16" t="s">
        <v>58</v>
      </c>
      <c r="E935" s="16" t="s">
        <v>143</v>
      </c>
      <c r="F935" s="16" t="s">
        <v>53</v>
      </c>
      <c r="G935" s="16" t="s">
        <v>12</v>
      </c>
      <c r="H935" s="16">
        <v>60</v>
      </c>
      <c r="I935" s="16">
        <v>937</v>
      </c>
      <c r="J935" s="16">
        <v>948</v>
      </c>
      <c r="K935" s="17">
        <f t="shared" si="56"/>
        <v>56220</v>
      </c>
      <c r="L935" s="17">
        <f t="shared" si="57"/>
        <v>56880</v>
      </c>
      <c r="M935" s="17">
        <f t="shared" si="58"/>
        <v>660</v>
      </c>
      <c r="N935" s="17" t="str">
        <f t="shared" si="59"/>
        <v>profit</v>
      </c>
    </row>
    <row r="936" spans="1:14" ht="15.6" thickTop="1" thickBot="1" x14ac:dyDescent="0.35">
      <c r="A936" s="15">
        <v>45592</v>
      </c>
      <c r="B936" s="15" t="s">
        <v>109</v>
      </c>
      <c r="C936" s="16" t="s">
        <v>362</v>
      </c>
      <c r="D936" s="16" t="s">
        <v>58</v>
      </c>
      <c r="E936" s="16" t="s">
        <v>59</v>
      </c>
      <c r="F936" s="16" t="s">
        <v>137</v>
      </c>
      <c r="G936" s="16" t="s">
        <v>12</v>
      </c>
      <c r="H936" s="16">
        <v>71</v>
      </c>
      <c r="I936" s="16">
        <v>777</v>
      </c>
      <c r="J936" s="16">
        <v>1034</v>
      </c>
      <c r="K936" s="17">
        <f t="shared" si="56"/>
        <v>55167</v>
      </c>
      <c r="L936" s="17">
        <f t="shared" si="57"/>
        <v>73414</v>
      </c>
      <c r="M936" s="17">
        <f t="shared" si="58"/>
        <v>18247</v>
      </c>
      <c r="N936" s="17" t="str">
        <f t="shared" si="59"/>
        <v>profit</v>
      </c>
    </row>
    <row r="937" spans="1:14" ht="15.6" thickTop="1" thickBot="1" x14ac:dyDescent="0.35">
      <c r="A937" s="15">
        <v>45593</v>
      </c>
      <c r="B937" s="15" t="s">
        <v>109</v>
      </c>
      <c r="C937" s="16" t="s">
        <v>363</v>
      </c>
      <c r="D937" s="16" t="s">
        <v>58</v>
      </c>
      <c r="E937" s="16" t="s">
        <v>59</v>
      </c>
      <c r="F937" s="16" t="s">
        <v>69</v>
      </c>
      <c r="G937" s="16" t="s">
        <v>12</v>
      </c>
      <c r="H937" s="16">
        <v>52</v>
      </c>
      <c r="I937" s="16">
        <v>509</v>
      </c>
      <c r="J937" s="16">
        <v>764</v>
      </c>
      <c r="K937" s="17">
        <f t="shared" si="56"/>
        <v>26468</v>
      </c>
      <c r="L937" s="17">
        <f t="shared" si="57"/>
        <v>39728</v>
      </c>
      <c r="M937" s="17">
        <f t="shared" si="58"/>
        <v>13260</v>
      </c>
      <c r="N937" s="17" t="str">
        <f t="shared" si="59"/>
        <v>profit</v>
      </c>
    </row>
    <row r="938" spans="1:14" ht="15.6" thickTop="1" thickBot="1" x14ac:dyDescent="0.35">
      <c r="A938" s="15">
        <v>45594</v>
      </c>
      <c r="B938" s="15" t="s">
        <v>109</v>
      </c>
      <c r="C938" s="16" t="s">
        <v>364</v>
      </c>
      <c r="D938" s="16" t="s">
        <v>58</v>
      </c>
      <c r="E938" s="16" t="s">
        <v>59</v>
      </c>
      <c r="F938" s="16" t="s">
        <v>176</v>
      </c>
      <c r="G938" s="16" t="s">
        <v>8</v>
      </c>
      <c r="H938" s="16">
        <v>66</v>
      </c>
      <c r="I938" s="16">
        <v>701</v>
      </c>
      <c r="J938" s="16">
        <v>1204</v>
      </c>
      <c r="K938" s="17">
        <f t="shared" si="56"/>
        <v>46266</v>
      </c>
      <c r="L938" s="17">
        <f t="shared" si="57"/>
        <v>79464</v>
      </c>
      <c r="M938" s="17">
        <f t="shared" si="58"/>
        <v>33198</v>
      </c>
      <c r="N938" s="17" t="str">
        <f t="shared" si="59"/>
        <v>profit</v>
      </c>
    </row>
    <row r="939" spans="1:14" ht="15.6" thickTop="1" thickBot="1" x14ac:dyDescent="0.35">
      <c r="A939" s="15">
        <v>45595</v>
      </c>
      <c r="B939" s="15" t="s">
        <v>109</v>
      </c>
      <c r="C939" s="16" t="s">
        <v>365</v>
      </c>
      <c r="D939" s="16" t="s">
        <v>58</v>
      </c>
      <c r="E939" s="16" t="s">
        <v>59</v>
      </c>
      <c r="F939" s="16" t="s">
        <v>178</v>
      </c>
      <c r="G939" s="16" t="s">
        <v>12</v>
      </c>
      <c r="H939" s="16">
        <v>97</v>
      </c>
      <c r="I939" s="16">
        <v>654</v>
      </c>
      <c r="J939" s="16">
        <v>839</v>
      </c>
      <c r="K939" s="17">
        <f t="shared" si="56"/>
        <v>63438</v>
      </c>
      <c r="L939" s="17">
        <f t="shared" si="57"/>
        <v>81383</v>
      </c>
      <c r="M939" s="17">
        <f t="shared" si="58"/>
        <v>17945</v>
      </c>
      <c r="N939" s="17" t="str">
        <f t="shared" si="59"/>
        <v>profit</v>
      </c>
    </row>
    <row r="940" spans="1:14" ht="15.6" thickTop="1" thickBot="1" x14ac:dyDescent="0.35">
      <c r="A940" s="15">
        <v>45603</v>
      </c>
      <c r="B940" s="15" t="s">
        <v>184</v>
      </c>
      <c r="C940" s="16" t="s">
        <v>366</v>
      </c>
      <c r="D940" s="16" t="s">
        <v>58</v>
      </c>
      <c r="E940" s="16" t="s">
        <v>186</v>
      </c>
      <c r="F940" s="16" t="s">
        <v>51</v>
      </c>
      <c r="G940" s="16" t="s">
        <v>8</v>
      </c>
      <c r="H940" s="16">
        <v>63</v>
      </c>
      <c r="I940" s="16">
        <v>833</v>
      </c>
      <c r="J940" s="16">
        <v>1040</v>
      </c>
      <c r="K940" s="17">
        <f t="shared" si="56"/>
        <v>52479</v>
      </c>
      <c r="L940" s="17">
        <f t="shared" si="57"/>
        <v>65520</v>
      </c>
      <c r="M940" s="17">
        <f t="shared" si="58"/>
        <v>13041</v>
      </c>
      <c r="N940" s="17" t="str">
        <f t="shared" si="59"/>
        <v>profit</v>
      </c>
    </row>
    <row r="941" spans="1:14" ht="15.6" thickTop="1" thickBot="1" x14ac:dyDescent="0.35">
      <c r="A941" s="15">
        <v>45660</v>
      </c>
      <c r="B941" s="15" t="s">
        <v>119</v>
      </c>
      <c r="C941" s="16" t="s">
        <v>243</v>
      </c>
      <c r="D941" s="16" t="s">
        <v>43</v>
      </c>
      <c r="E941" s="16" t="s">
        <v>44</v>
      </c>
      <c r="F941" s="16" t="s">
        <v>100</v>
      </c>
      <c r="G941" s="16" t="s">
        <v>8</v>
      </c>
      <c r="H941" s="16">
        <v>12</v>
      </c>
      <c r="I941" s="16">
        <v>864</v>
      </c>
      <c r="J941" s="16">
        <v>953</v>
      </c>
      <c r="K941" s="17">
        <f t="shared" si="56"/>
        <v>10368</v>
      </c>
      <c r="L941" s="17">
        <f t="shared" si="57"/>
        <v>11436</v>
      </c>
      <c r="M941" s="17">
        <f t="shared" si="58"/>
        <v>1068</v>
      </c>
      <c r="N941" s="17" t="str">
        <f t="shared" si="59"/>
        <v>profit</v>
      </c>
    </row>
    <row r="942" spans="1:14" ht="15.6" thickTop="1" thickBot="1" x14ac:dyDescent="0.35">
      <c r="A942" s="15">
        <v>45604</v>
      </c>
      <c r="B942" s="15" t="s">
        <v>184</v>
      </c>
      <c r="C942" s="16" t="s">
        <v>367</v>
      </c>
      <c r="D942" s="16" t="s">
        <v>58</v>
      </c>
      <c r="E942" s="16" t="s">
        <v>186</v>
      </c>
      <c r="F942" s="16" t="s">
        <v>100</v>
      </c>
      <c r="G942" s="16" t="s">
        <v>8</v>
      </c>
      <c r="H942" s="16">
        <v>74</v>
      </c>
      <c r="I942" s="16">
        <v>743</v>
      </c>
      <c r="J942" s="16">
        <v>974</v>
      </c>
      <c r="K942" s="17">
        <f t="shared" si="56"/>
        <v>54982</v>
      </c>
      <c r="L942" s="17">
        <f t="shared" si="57"/>
        <v>72076</v>
      </c>
      <c r="M942" s="17">
        <f t="shared" si="58"/>
        <v>17094</v>
      </c>
      <c r="N942" s="17" t="str">
        <f t="shared" si="59"/>
        <v>profit</v>
      </c>
    </row>
    <row r="943" spans="1:14" ht="15.6" thickTop="1" thickBot="1" x14ac:dyDescent="0.35">
      <c r="A943" s="15">
        <v>45662</v>
      </c>
      <c r="B943" s="15" t="s">
        <v>119</v>
      </c>
      <c r="C943" s="16" t="s">
        <v>245</v>
      </c>
      <c r="D943" s="16" t="s">
        <v>43</v>
      </c>
      <c r="E943" s="16" t="s">
        <v>44</v>
      </c>
      <c r="F943" s="16" t="s">
        <v>69</v>
      </c>
      <c r="G943" s="16" t="s">
        <v>8</v>
      </c>
      <c r="H943" s="16">
        <v>13</v>
      </c>
      <c r="I943" s="16">
        <v>839</v>
      </c>
      <c r="J943" s="16">
        <v>1025</v>
      </c>
      <c r="K943" s="17">
        <f t="shared" si="56"/>
        <v>10907</v>
      </c>
      <c r="L943" s="17">
        <f t="shared" si="57"/>
        <v>13325</v>
      </c>
      <c r="M943" s="17">
        <f t="shared" si="58"/>
        <v>2418</v>
      </c>
      <c r="N943" s="17" t="str">
        <f t="shared" si="59"/>
        <v>profit</v>
      </c>
    </row>
    <row r="944" spans="1:14" ht="15.6" thickTop="1" thickBot="1" x14ac:dyDescent="0.35">
      <c r="A944" s="15">
        <v>45606</v>
      </c>
      <c r="B944" s="15" t="s">
        <v>184</v>
      </c>
      <c r="C944" s="16" t="s">
        <v>368</v>
      </c>
      <c r="D944" s="16" t="s">
        <v>58</v>
      </c>
      <c r="E944" s="16" t="s">
        <v>186</v>
      </c>
      <c r="F944" s="16" t="s">
        <v>69</v>
      </c>
      <c r="G944" s="16" t="s">
        <v>8</v>
      </c>
      <c r="H944" s="16">
        <v>86</v>
      </c>
      <c r="I944" s="16">
        <v>593</v>
      </c>
      <c r="J944" s="16">
        <v>1425</v>
      </c>
      <c r="K944" s="17">
        <f t="shared" si="56"/>
        <v>50998</v>
      </c>
      <c r="L944" s="17">
        <f t="shared" si="57"/>
        <v>122550</v>
      </c>
      <c r="M944" s="17">
        <f t="shared" si="58"/>
        <v>71552</v>
      </c>
      <c r="N944" s="17" t="str">
        <f t="shared" si="59"/>
        <v>profit</v>
      </c>
    </row>
    <row r="945" spans="1:14" ht="15.6" thickTop="1" thickBot="1" x14ac:dyDescent="0.35">
      <c r="A945" s="15">
        <v>45664</v>
      </c>
      <c r="B945" s="15" t="s">
        <v>119</v>
      </c>
      <c r="C945" s="16" t="s">
        <v>247</v>
      </c>
      <c r="D945" s="16" t="s">
        <v>43</v>
      </c>
      <c r="E945" s="16" t="s">
        <v>44</v>
      </c>
      <c r="F945" s="16" t="s">
        <v>49</v>
      </c>
      <c r="G945" s="16" t="s">
        <v>8</v>
      </c>
      <c r="H945" s="16">
        <v>11</v>
      </c>
      <c r="I945" s="16">
        <v>944</v>
      </c>
      <c r="J945" s="16">
        <v>949</v>
      </c>
      <c r="K945" s="17">
        <f t="shared" si="56"/>
        <v>10384</v>
      </c>
      <c r="L945" s="17">
        <f t="shared" si="57"/>
        <v>10439</v>
      </c>
      <c r="M945" s="17">
        <f t="shared" si="58"/>
        <v>55</v>
      </c>
      <c r="N945" s="17" t="str">
        <f t="shared" si="59"/>
        <v>profit</v>
      </c>
    </row>
    <row r="946" spans="1:14" ht="15.6" thickTop="1" thickBot="1" x14ac:dyDescent="0.35">
      <c r="A946" s="15">
        <v>45607</v>
      </c>
      <c r="B946" s="15" t="s">
        <v>184</v>
      </c>
      <c r="C946" s="16" t="s">
        <v>369</v>
      </c>
      <c r="D946" s="16" t="s">
        <v>58</v>
      </c>
      <c r="E946" s="16" t="s">
        <v>186</v>
      </c>
      <c r="F946" s="16" t="s">
        <v>51</v>
      </c>
      <c r="G946" s="16" t="s">
        <v>8</v>
      </c>
      <c r="H946" s="16">
        <v>92</v>
      </c>
      <c r="I946" s="16">
        <v>609</v>
      </c>
      <c r="J946" s="16">
        <v>792</v>
      </c>
      <c r="K946" s="17">
        <f t="shared" si="56"/>
        <v>56028</v>
      </c>
      <c r="L946" s="17">
        <f t="shared" si="57"/>
        <v>72864</v>
      </c>
      <c r="M946" s="17">
        <f t="shared" si="58"/>
        <v>16836</v>
      </c>
      <c r="N946" s="17" t="str">
        <f t="shared" si="59"/>
        <v>profit</v>
      </c>
    </row>
    <row r="947" spans="1:14" ht="15.6" thickTop="1" thickBot="1" x14ac:dyDescent="0.35">
      <c r="A947" s="15">
        <v>45608</v>
      </c>
      <c r="B947" s="15" t="s">
        <v>184</v>
      </c>
      <c r="C947" s="16" t="s">
        <v>370</v>
      </c>
      <c r="D947" s="16" t="s">
        <v>58</v>
      </c>
      <c r="E947" s="16" t="s">
        <v>186</v>
      </c>
      <c r="F947" s="16" t="s">
        <v>89</v>
      </c>
      <c r="G947" s="16" t="s">
        <v>8</v>
      </c>
      <c r="H947" s="16">
        <v>96</v>
      </c>
      <c r="I947" s="16">
        <v>674</v>
      </c>
      <c r="J947" s="16">
        <v>1178</v>
      </c>
      <c r="K947" s="17">
        <f t="shared" si="56"/>
        <v>64704</v>
      </c>
      <c r="L947" s="17">
        <f t="shared" si="57"/>
        <v>113088</v>
      </c>
      <c r="M947" s="17">
        <f t="shared" si="58"/>
        <v>48384</v>
      </c>
      <c r="N947" s="17" t="str">
        <f t="shared" si="59"/>
        <v>profit</v>
      </c>
    </row>
    <row r="948" spans="1:14" ht="15.6" thickTop="1" thickBot="1" x14ac:dyDescent="0.35">
      <c r="A948" s="15">
        <v>45636</v>
      </c>
      <c r="B948" s="15" t="s">
        <v>213</v>
      </c>
      <c r="C948" s="16" t="s">
        <v>215</v>
      </c>
      <c r="D948" s="16" t="s">
        <v>58</v>
      </c>
      <c r="E948" s="16" t="s">
        <v>123</v>
      </c>
      <c r="F948" s="16" t="s">
        <v>45</v>
      </c>
      <c r="G948" s="16" t="s">
        <v>12</v>
      </c>
      <c r="H948" s="16">
        <v>65</v>
      </c>
      <c r="I948" s="16">
        <v>804</v>
      </c>
      <c r="J948" s="16">
        <v>876</v>
      </c>
      <c r="K948" s="17">
        <f t="shared" si="56"/>
        <v>52260</v>
      </c>
      <c r="L948" s="17">
        <f t="shared" si="57"/>
        <v>56940</v>
      </c>
      <c r="M948" s="17">
        <f t="shared" si="58"/>
        <v>4680</v>
      </c>
      <c r="N948" s="17" t="str">
        <f t="shared" si="59"/>
        <v>profit</v>
      </c>
    </row>
    <row r="949" spans="1:14" ht="15.6" thickTop="1" thickBot="1" x14ac:dyDescent="0.35">
      <c r="A949" s="15">
        <v>45638</v>
      </c>
      <c r="B949" s="15" t="s">
        <v>213</v>
      </c>
      <c r="C949" s="16" t="s">
        <v>371</v>
      </c>
      <c r="D949" s="16" t="s">
        <v>58</v>
      </c>
      <c r="E949" s="16" t="s">
        <v>123</v>
      </c>
      <c r="F949" s="16" t="s">
        <v>49</v>
      </c>
      <c r="G949" s="16" t="s">
        <v>8</v>
      </c>
      <c r="H949" s="16">
        <v>83</v>
      </c>
      <c r="I949" s="16">
        <v>541</v>
      </c>
      <c r="J949" s="16">
        <v>1072</v>
      </c>
      <c r="K949" s="17">
        <f t="shared" si="56"/>
        <v>44903</v>
      </c>
      <c r="L949" s="17">
        <f t="shared" si="57"/>
        <v>88976</v>
      </c>
      <c r="M949" s="17">
        <f t="shared" si="58"/>
        <v>44073</v>
      </c>
      <c r="N949" s="17" t="str">
        <f t="shared" si="59"/>
        <v>profit</v>
      </c>
    </row>
    <row r="950" spans="1:14" ht="15.6" thickTop="1" thickBot="1" x14ac:dyDescent="0.35">
      <c r="A950" s="15">
        <v>45639</v>
      </c>
      <c r="B950" s="15" t="s">
        <v>213</v>
      </c>
      <c r="C950" s="16" t="s">
        <v>372</v>
      </c>
      <c r="D950" s="16" t="s">
        <v>58</v>
      </c>
      <c r="E950" s="16" t="s">
        <v>123</v>
      </c>
      <c r="F950" s="16" t="s">
        <v>51</v>
      </c>
      <c r="G950" s="16" t="s">
        <v>8</v>
      </c>
      <c r="H950" s="16">
        <v>89</v>
      </c>
      <c r="I950" s="16">
        <v>545</v>
      </c>
      <c r="J950" s="16">
        <v>978</v>
      </c>
      <c r="K950" s="17">
        <f t="shared" si="56"/>
        <v>48505</v>
      </c>
      <c r="L950" s="17">
        <f t="shared" si="57"/>
        <v>87042</v>
      </c>
      <c r="M950" s="17">
        <f t="shared" si="58"/>
        <v>38537</v>
      </c>
      <c r="N950" s="17" t="str">
        <f t="shared" si="59"/>
        <v>profit</v>
      </c>
    </row>
    <row r="951" spans="1:14" ht="15.6" thickTop="1" thickBot="1" x14ac:dyDescent="0.35">
      <c r="A951" s="15">
        <v>45640</v>
      </c>
      <c r="B951" s="15" t="s">
        <v>213</v>
      </c>
      <c r="C951" s="16" t="s">
        <v>373</v>
      </c>
      <c r="D951" s="16" t="s">
        <v>58</v>
      </c>
      <c r="E951" s="16" t="s">
        <v>123</v>
      </c>
      <c r="F951" s="16" t="s">
        <v>60</v>
      </c>
      <c r="G951" s="16" t="s">
        <v>8</v>
      </c>
      <c r="H951" s="16">
        <v>80</v>
      </c>
      <c r="I951" s="16">
        <v>671</v>
      </c>
      <c r="J951" s="16">
        <v>1251</v>
      </c>
      <c r="K951" s="17">
        <f t="shared" si="56"/>
        <v>53680</v>
      </c>
      <c r="L951" s="17">
        <f t="shared" si="57"/>
        <v>100080</v>
      </c>
      <c r="M951" s="17">
        <f t="shared" si="58"/>
        <v>46400</v>
      </c>
      <c r="N951" s="17" t="str">
        <f t="shared" si="59"/>
        <v>profit</v>
      </c>
    </row>
    <row r="952" spans="1:14" ht="15.6" thickTop="1" thickBot="1" x14ac:dyDescent="0.35">
      <c r="A952" s="15">
        <v>45671</v>
      </c>
      <c r="B952" s="15" t="s">
        <v>119</v>
      </c>
      <c r="C952" s="16" t="s">
        <v>254</v>
      </c>
      <c r="D952" s="16" t="s">
        <v>58</v>
      </c>
      <c r="E952" s="16" t="s">
        <v>143</v>
      </c>
      <c r="F952" s="16" t="s">
        <v>85</v>
      </c>
      <c r="G952" s="16" t="s">
        <v>12</v>
      </c>
      <c r="H952" s="16">
        <v>82</v>
      </c>
      <c r="I952" s="16">
        <v>822</v>
      </c>
      <c r="J952" s="16">
        <v>1445</v>
      </c>
      <c r="K952" s="17">
        <f t="shared" si="56"/>
        <v>67404</v>
      </c>
      <c r="L952" s="17">
        <f t="shared" si="57"/>
        <v>118490</v>
      </c>
      <c r="M952" s="17">
        <f t="shared" si="58"/>
        <v>51086</v>
      </c>
      <c r="N952" s="17" t="str">
        <f t="shared" si="59"/>
        <v>profit</v>
      </c>
    </row>
    <row r="953" spans="1:14" ht="15.6" thickTop="1" thickBot="1" x14ac:dyDescent="0.35">
      <c r="A953" s="15">
        <v>45641</v>
      </c>
      <c r="B953" s="15" t="s">
        <v>213</v>
      </c>
      <c r="C953" s="16" t="s">
        <v>374</v>
      </c>
      <c r="D953" s="16" t="s">
        <v>58</v>
      </c>
      <c r="E953" s="16" t="s">
        <v>123</v>
      </c>
      <c r="F953" s="16" t="s">
        <v>64</v>
      </c>
      <c r="G953" s="16" t="s">
        <v>8</v>
      </c>
      <c r="H953" s="16">
        <v>68</v>
      </c>
      <c r="I953" s="16">
        <v>815</v>
      </c>
      <c r="J953" s="16">
        <v>808</v>
      </c>
      <c r="K953" s="17">
        <f t="shared" si="56"/>
        <v>55420</v>
      </c>
      <c r="L953" s="17">
        <f t="shared" si="57"/>
        <v>54944</v>
      </c>
      <c r="M953" s="17">
        <f t="shared" si="58"/>
        <v>-476</v>
      </c>
      <c r="N953" s="17" t="str">
        <f t="shared" si="59"/>
        <v>loss</v>
      </c>
    </row>
    <row r="954" spans="1:14" ht="15.6" thickTop="1" thickBot="1" x14ac:dyDescent="0.35">
      <c r="A954" s="15">
        <v>45643</v>
      </c>
      <c r="B954" s="15" t="s">
        <v>213</v>
      </c>
      <c r="C954" s="16" t="s">
        <v>375</v>
      </c>
      <c r="D954" s="16" t="s">
        <v>58</v>
      </c>
      <c r="E954" s="16" t="s">
        <v>123</v>
      </c>
      <c r="F954" s="16" t="s">
        <v>89</v>
      </c>
      <c r="G954" s="16" t="s">
        <v>8</v>
      </c>
      <c r="H954" s="16">
        <v>88</v>
      </c>
      <c r="I954" s="16">
        <v>674</v>
      </c>
      <c r="J954" s="16">
        <v>891</v>
      </c>
      <c r="K954" s="17">
        <f t="shared" si="56"/>
        <v>59312</v>
      </c>
      <c r="L954" s="17">
        <f t="shared" si="57"/>
        <v>78408</v>
      </c>
      <c r="M954" s="17">
        <f t="shared" si="58"/>
        <v>19096</v>
      </c>
      <c r="N954" s="17" t="str">
        <f t="shared" si="59"/>
        <v>profit</v>
      </c>
    </row>
    <row r="955" spans="1:14" ht="15.6" thickTop="1" thickBot="1" x14ac:dyDescent="0.35">
      <c r="A955" s="15">
        <v>45644</v>
      </c>
      <c r="B955" s="15" t="s">
        <v>213</v>
      </c>
      <c r="C955" s="16" t="s">
        <v>376</v>
      </c>
      <c r="D955" s="16" t="s">
        <v>58</v>
      </c>
      <c r="E955" s="16" t="s">
        <v>123</v>
      </c>
      <c r="F955" s="16" t="s">
        <v>89</v>
      </c>
      <c r="G955" s="16" t="s">
        <v>8</v>
      </c>
      <c r="H955" s="16">
        <v>64</v>
      </c>
      <c r="I955" s="16">
        <v>665</v>
      </c>
      <c r="J955" s="16">
        <v>783</v>
      </c>
      <c r="K955" s="17">
        <f t="shared" si="56"/>
        <v>42560</v>
      </c>
      <c r="L955" s="17">
        <f t="shared" si="57"/>
        <v>50112</v>
      </c>
      <c r="M955" s="17">
        <f t="shared" si="58"/>
        <v>7552</v>
      </c>
      <c r="N955" s="17" t="str">
        <f t="shared" si="59"/>
        <v>profit</v>
      </c>
    </row>
    <row r="956" spans="1:14" ht="15.6" thickTop="1" thickBot="1" x14ac:dyDescent="0.35">
      <c r="A956" s="15">
        <v>45645</v>
      </c>
      <c r="B956" s="15" t="s">
        <v>213</v>
      </c>
      <c r="C956" s="16" t="s">
        <v>377</v>
      </c>
      <c r="D956" s="16" t="s">
        <v>58</v>
      </c>
      <c r="E956" s="16" t="s">
        <v>123</v>
      </c>
      <c r="F956" s="16" t="s">
        <v>85</v>
      </c>
      <c r="G956" s="16" t="s">
        <v>8</v>
      </c>
      <c r="H956" s="16">
        <v>81</v>
      </c>
      <c r="I956" s="16">
        <v>801</v>
      </c>
      <c r="J956" s="16">
        <v>846</v>
      </c>
      <c r="K956" s="17">
        <f t="shared" si="56"/>
        <v>64881</v>
      </c>
      <c r="L956" s="17">
        <f t="shared" si="57"/>
        <v>68526</v>
      </c>
      <c r="M956" s="17">
        <f t="shared" si="58"/>
        <v>3645</v>
      </c>
      <c r="N956" s="17" t="str">
        <f t="shared" si="59"/>
        <v>profit</v>
      </c>
    </row>
    <row r="957" spans="1:14" ht="15.6" thickTop="1" thickBot="1" x14ac:dyDescent="0.35">
      <c r="A957" s="15">
        <v>45647</v>
      </c>
      <c r="B957" s="15" t="s">
        <v>213</v>
      </c>
      <c r="C957" s="16" t="s">
        <v>378</v>
      </c>
      <c r="D957" s="16" t="s">
        <v>58</v>
      </c>
      <c r="E957" s="16" t="s">
        <v>123</v>
      </c>
      <c r="F957" s="16" t="s">
        <v>55</v>
      </c>
      <c r="G957" s="16" t="s">
        <v>8</v>
      </c>
      <c r="H957" s="16">
        <v>74</v>
      </c>
      <c r="I957" s="16">
        <v>734</v>
      </c>
      <c r="J957" s="16">
        <v>886</v>
      </c>
      <c r="K957" s="17">
        <f t="shared" si="56"/>
        <v>54316</v>
      </c>
      <c r="L957" s="17">
        <f t="shared" si="57"/>
        <v>65564</v>
      </c>
      <c r="M957" s="17">
        <f t="shared" si="58"/>
        <v>11248</v>
      </c>
      <c r="N957" s="17" t="str">
        <f t="shared" si="59"/>
        <v>profit</v>
      </c>
    </row>
    <row r="958" spans="1:14" ht="15.6" thickTop="1" thickBot="1" x14ac:dyDescent="0.35">
      <c r="A958" s="15">
        <v>45677</v>
      </c>
      <c r="B958" s="15" t="s">
        <v>119</v>
      </c>
      <c r="C958" s="16" t="s">
        <v>152</v>
      </c>
      <c r="D958" s="16" t="s">
        <v>43</v>
      </c>
      <c r="E958" s="16" t="s">
        <v>62</v>
      </c>
      <c r="F958" s="16" t="s">
        <v>178</v>
      </c>
      <c r="G958" s="16" t="s">
        <v>8</v>
      </c>
      <c r="H958" s="16">
        <v>10</v>
      </c>
      <c r="I958" s="16">
        <v>519</v>
      </c>
      <c r="J958" s="16">
        <v>1420</v>
      </c>
      <c r="K958" s="17">
        <f t="shared" si="56"/>
        <v>5190</v>
      </c>
      <c r="L958" s="17">
        <f t="shared" si="57"/>
        <v>14200</v>
      </c>
      <c r="M958" s="17">
        <f t="shared" si="58"/>
        <v>9010</v>
      </c>
      <c r="N958" s="17" t="str">
        <f t="shared" si="59"/>
        <v>profit</v>
      </c>
    </row>
    <row r="959" spans="1:14" ht="15.6" thickTop="1" thickBot="1" x14ac:dyDescent="0.35">
      <c r="A959" s="15">
        <v>45649</v>
      </c>
      <c r="B959" s="15" t="s">
        <v>213</v>
      </c>
      <c r="C959" s="16" t="s">
        <v>379</v>
      </c>
      <c r="D959" s="16" t="s">
        <v>58</v>
      </c>
      <c r="E959" s="16" t="s">
        <v>143</v>
      </c>
      <c r="F959" s="16" t="s">
        <v>69</v>
      </c>
      <c r="G959" s="16" t="s">
        <v>8</v>
      </c>
      <c r="H959" s="16">
        <v>94</v>
      </c>
      <c r="I959" s="16">
        <v>564</v>
      </c>
      <c r="J959" s="16">
        <v>941</v>
      </c>
      <c r="K959" s="17">
        <f t="shared" si="56"/>
        <v>53016</v>
      </c>
      <c r="L959" s="17">
        <f t="shared" si="57"/>
        <v>88454</v>
      </c>
      <c r="M959" s="17">
        <f t="shared" si="58"/>
        <v>35438</v>
      </c>
      <c r="N959" s="17" t="str">
        <f t="shared" si="59"/>
        <v>profit</v>
      </c>
    </row>
    <row r="960" spans="1:14" ht="15.6" thickTop="1" thickBot="1" x14ac:dyDescent="0.35">
      <c r="A960" s="15">
        <v>45650</v>
      </c>
      <c r="B960" s="15" t="s">
        <v>213</v>
      </c>
      <c r="C960" s="16" t="s">
        <v>380</v>
      </c>
      <c r="D960" s="16" t="s">
        <v>58</v>
      </c>
      <c r="E960" s="16" t="s">
        <v>143</v>
      </c>
      <c r="F960" s="16" t="s">
        <v>176</v>
      </c>
      <c r="G960" s="16" t="s">
        <v>8</v>
      </c>
      <c r="H960" s="16">
        <v>50</v>
      </c>
      <c r="I960" s="16">
        <v>545</v>
      </c>
      <c r="J960" s="16">
        <v>1050</v>
      </c>
      <c r="K960" s="17">
        <f t="shared" si="56"/>
        <v>27250</v>
      </c>
      <c r="L960" s="17">
        <f t="shared" si="57"/>
        <v>52500</v>
      </c>
      <c r="M960" s="17">
        <f t="shared" si="58"/>
        <v>25250</v>
      </c>
      <c r="N960" s="17" t="str">
        <f t="shared" si="59"/>
        <v>profit</v>
      </c>
    </row>
    <row r="961" spans="1:14" ht="15.6" thickTop="1" thickBot="1" x14ac:dyDescent="0.35">
      <c r="A961" s="15">
        <v>45651</v>
      </c>
      <c r="B961" s="15" t="s">
        <v>213</v>
      </c>
      <c r="C961" s="16" t="s">
        <v>381</v>
      </c>
      <c r="D961" s="16" t="s">
        <v>58</v>
      </c>
      <c r="E961" s="16" t="s">
        <v>143</v>
      </c>
      <c r="F961" s="16" t="s">
        <v>178</v>
      </c>
      <c r="G961" s="16" t="s">
        <v>8</v>
      </c>
      <c r="H961" s="16">
        <v>60</v>
      </c>
      <c r="I961" s="16">
        <v>783</v>
      </c>
      <c r="J961" s="16">
        <v>1422</v>
      </c>
      <c r="K961" s="17">
        <f t="shared" si="56"/>
        <v>46980</v>
      </c>
      <c r="L961" s="17">
        <f t="shared" si="57"/>
        <v>85320</v>
      </c>
      <c r="M961" s="17">
        <f t="shared" si="58"/>
        <v>38340</v>
      </c>
      <c r="N961" s="17" t="str">
        <f t="shared" si="59"/>
        <v>profit</v>
      </c>
    </row>
    <row r="962" spans="1:14" ht="15.6" thickTop="1" thickBot="1" x14ac:dyDescent="0.35">
      <c r="A962" s="15">
        <v>45652</v>
      </c>
      <c r="B962" s="15" t="s">
        <v>213</v>
      </c>
      <c r="C962" s="16" t="s">
        <v>382</v>
      </c>
      <c r="D962" s="16" t="s">
        <v>58</v>
      </c>
      <c r="E962" s="16" t="s">
        <v>143</v>
      </c>
      <c r="F962" s="16" t="s">
        <v>45</v>
      </c>
      <c r="G962" s="16" t="s">
        <v>8</v>
      </c>
      <c r="H962" s="16">
        <v>63</v>
      </c>
      <c r="I962" s="16">
        <v>746</v>
      </c>
      <c r="J962" s="16">
        <v>1075</v>
      </c>
      <c r="K962" s="17">
        <f t="shared" ref="K962:K993" si="60">H962*I962</f>
        <v>46998</v>
      </c>
      <c r="L962" s="17">
        <f t="shared" ref="L962:L993" si="61">H962*J962</f>
        <v>67725</v>
      </c>
      <c r="M962" s="17">
        <f t="shared" ref="M962:M993" si="62">L962-K962</f>
        <v>20727</v>
      </c>
      <c r="N962" s="17" t="str">
        <f t="shared" ref="N962:N993" si="63">IF(M962&gt;0,"profit","loss")</f>
        <v>profit</v>
      </c>
    </row>
    <row r="963" spans="1:14" ht="15.6" thickTop="1" thickBot="1" x14ac:dyDescent="0.35">
      <c r="A963" s="15">
        <v>45654</v>
      </c>
      <c r="B963" s="15" t="s">
        <v>213</v>
      </c>
      <c r="C963" s="16" t="s">
        <v>383</v>
      </c>
      <c r="D963" s="16" t="s">
        <v>58</v>
      </c>
      <c r="E963" s="16" t="s">
        <v>143</v>
      </c>
      <c r="F963" s="16" t="s">
        <v>49</v>
      </c>
      <c r="G963" s="16" t="s">
        <v>12</v>
      </c>
      <c r="H963" s="16">
        <v>86</v>
      </c>
      <c r="I963" s="16">
        <v>834</v>
      </c>
      <c r="J963" s="16">
        <v>1372</v>
      </c>
      <c r="K963" s="17">
        <f t="shared" si="60"/>
        <v>71724</v>
      </c>
      <c r="L963" s="17">
        <f t="shared" si="61"/>
        <v>117992</v>
      </c>
      <c r="M963" s="17">
        <f t="shared" si="62"/>
        <v>46268</v>
      </c>
      <c r="N963" s="17" t="str">
        <f t="shared" si="63"/>
        <v>profit</v>
      </c>
    </row>
    <row r="964" spans="1:14" ht="15.6" thickTop="1" thickBot="1" x14ac:dyDescent="0.35">
      <c r="A964" s="15">
        <v>45683</v>
      </c>
      <c r="B964" s="15" t="s">
        <v>119</v>
      </c>
      <c r="C964" s="16" t="s">
        <v>266</v>
      </c>
      <c r="D964" s="16" t="s">
        <v>43</v>
      </c>
      <c r="E964" s="16" t="s">
        <v>62</v>
      </c>
      <c r="F964" s="16" t="s">
        <v>53</v>
      </c>
      <c r="G964" s="16" t="s">
        <v>8</v>
      </c>
      <c r="H964" s="16">
        <v>17</v>
      </c>
      <c r="I964" s="16">
        <v>922</v>
      </c>
      <c r="J964" s="16">
        <v>899</v>
      </c>
      <c r="K964" s="17">
        <f t="shared" si="60"/>
        <v>15674</v>
      </c>
      <c r="L964" s="17">
        <f t="shared" si="61"/>
        <v>15283</v>
      </c>
      <c r="M964" s="17">
        <f t="shared" si="62"/>
        <v>-391</v>
      </c>
      <c r="N964" s="17" t="str">
        <f t="shared" si="63"/>
        <v>loss</v>
      </c>
    </row>
    <row r="965" spans="1:14" ht="15.6" thickTop="1" thickBot="1" x14ac:dyDescent="0.35">
      <c r="A965" s="15">
        <v>45655</v>
      </c>
      <c r="B965" s="15" t="s">
        <v>213</v>
      </c>
      <c r="C965" s="16" t="s">
        <v>384</v>
      </c>
      <c r="D965" s="16" t="s">
        <v>58</v>
      </c>
      <c r="E965" s="16" t="s">
        <v>143</v>
      </c>
      <c r="F965" s="16" t="s">
        <v>51</v>
      </c>
      <c r="G965" s="16" t="s">
        <v>12</v>
      </c>
      <c r="H965" s="16">
        <v>51</v>
      </c>
      <c r="I965" s="16">
        <v>944</v>
      </c>
      <c r="J965" s="16">
        <v>1062</v>
      </c>
      <c r="K965" s="17">
        <f t="shared" si="60"/>
        <v>48144</v>
      </c>
      <c r="L965" s="17">
        <f t="shared" si="61"/>
        <v>54162</v>
      </c>
      <c r="M965" s="17">
        <f t="shared" si="62"/>
        <v>6018</v>
      </c>
      <c r="N965" s="17" t="str">
        <f t="shared" si="63"/>
        <v>profit</v>
      </c>
    </row>
    <row r="966" spans="1:14" ht="15.6" thickTop="1" thickBot="1" x14ac:dyDescent="0.35">
      <c r="A966" s="15">
        <v>45656</v>
      </c>
      <c r="B966" s="15" t="s">
        <v>213</v>
      </c>
      <c r="C966" s="16" t="s">
        <v>385</v>
      </c>
      <c r="D966" s="16" t="s">
        <v>58</v>
      </c>
      <c r="E966" s="16" t="s">
        <v>143</v>
      </c>
      <c r="F966" s="16" t="s">
        <v>51</v>
      </c>
      <c r="G966" s="16" t="s">
        <v>12</v>
      </c>
      <c r="H966" s="16">
        <v>75</v>
      </c>
      <c r="I966" s="16">
        <v>547</v>
      </c>
      <c r="J966" s="16">
        <v>1203</v>
      </c>
      <c r="K966" s="17">
        <f t="shared" si="60"/>
        <v>41025</v>
      </c>
      <c r="L966" s="17">
        <f t="shared" si="61"/>
        <v>90225</v>
      </c>
      <c r="M966" s="17">
        <f t="shared" si="62"/>
        <v>49200</v>
      </c>
      <c r="N966" s="17" t="str">
        <f t="shared" si="63"/>
        <v>profit</v>
      </c>
    </row>
    <row r="967" spans="1:14" ht="15.6" thickTop="1" thickBot="1" x14ac:dyDescent="0.35">
      <c r="A967" s="15">
        <v>45657</v>
      </c>
      <c r="B967" s="15" t="s">
        <v>213</v>
      </c>
      <c r="C967" s="16" t="s">
        <v>386</v>
      </c>
      <c r="D967" s="16" t="s">
        <v>58</v>
      </c>
      <c r="E967" s="16" t="s">
        <v>143</v>
      </c>
      <c r="F967" s="16" t="s">
        <v>53</v>
      </c>
      <c r="G967" s="16" t="s">
        <v>12</v>
      </c>
      <c r="H967" s="16">
        <v>64</v>
      </c>
      <c r="I967" s="16">
        <v>918</v>
      </c>
      <c r="J967" s="16">
        <v>907</v>
      </c>
      <c r="K967" s="17">
        <f t="shared" si="60"/>
        <v>58752</v>
      </c>
      <c r="L967" s="17">
        <f t="shared" si="61"/>
        <v>58048</v>
      </c>
      <c r="M967" s="17">
        <f t="shared" si="62"/>
        <v>-704</v>
      </c>
      <c r="N967" s="17" t="str">
        <f t="shared" si="63"/>
        <v>loss</v>
      </c>
    </row>
    <row r="968" spans="1:14" ht="15.6" thickTop="1" thickBot="1" x14ac:dyDescent="0.35">
      <c r="A968" s="15">
        <v>45687</v>
      </c>
      <c r="B968" s="15" t="s">
        <v>119</v>
      </c>
      <c r="C968" s="16" t="s">
        <v>270</v>
      </c>
      <c r="D968" s="16" t="s">
        <v>43</v>
      </c>
      <c r="E968" s="16" t="s">
        <v>62</v>
      </c>
      <c r="F968" s="16" t="s">
        <v>55</v>
      </c>
      <c r="G968" s="16" t="s">
        <v>12</v>
      </c>
      <c r="H968" s="16">
        <v>12</v>
      </c>
      <c r="I968" s="16">
        <v>519</v>
      </c>
      <c r="J968" s="16">
        <v>1212</v>
      </c>
      <c r="K968" s="17">
        <f t="shared" si="60"/>
        <v>6228</v>
      </c>
      <c r="L968" s="17">
        <f t="shared" si="61"/>
        <v>14544</v>
      </c>
      <c r="M968" s="17">
        <f t="shared" si="62"/>
        <v>8316</v>
      </c>
      <c r="N968" s="17" t="str">
        <f t="shared" si="63"/>
        <v>profit</v>
      </c>
    </row>
    <row r="969" spans="1:14" ht="15.6" thickTop="1" thickBot="1" x14ac:dyDescent="0.35">
      <c r="A969" s="15">
        <v>45658</v>
      </c>
      <c r="B969" s="15" t="s">
        <v>119</v>
      </c>
      <c r="C969" s="16" t="s">
        <v>387</v>
      </c>
      <c r="D969" s="16" t="s">
        <v>58</v>
      </c>
      <c r="E969" s="16" t="s">
        <v>143</v>
      </c>
      <c r="F969" s="16" t="s">
        <v>55</v>
      </c>
      <c r="G969" s="16" t="s">
        <v>8</v>
      </c>
      <c r="H969" s="16">
        <v>74</v>
      </c>
      <c r="I969" s="16">
        <v>965</v>
      </c>
      <c r="J969" s="16">
        <v>906</v>
      </c>
      <c r="K969" s="17">
        <f t="shared" si="60"/>
        <v>71410</v>
      </c>
      <c r="L969" s="17">
        <f t="shared" si="61"/>
        <v>67044</v>
      </c>
      <c r="M969" s="17">
        <f t="shared" si="62"/>
        <v>-4366</v>
      </c>
      <c r="N969" s="17" t="str">
        <f t="shared" si="63"/>
        <v>loss</v>
      </c>
    </row>
    <row r="970" spans="1:14" ht="15.6" thickTop="1" thickBot="1" x14ac:dyDescent="0.35">
      <c r="A970" s="15">
        <v>45666</v>
      </c>
      <c r="B970" s="15" t="s">
        <v>119</v>
      </c>
      <c r="C970" s="16" t="s">
        <v>388</v>
      </c>
      <c r="D970" s="16" t="s">
        <v>58</v>
      </c>
      <c r="E970" s="16" t="s">
        <v>123</v>
      </c>
      <c r="F970" s="16" t="s">
        <v>60</v>
      </c>
      <c r="G970" s="16" t="s">
        <v>12</v>
      </c>
      <c r="H970" s="16">
        <v>100</v>
      </c>
      <c r="I970" s="16">
        <v>667</v>
      </c>
      <c r="J970" s="16">
        <v>1109</v>
      </c>
      <c r="K970" s="17">
        <f t="shared" si="60"/>
        <v>66700</v>
      </c>
      <c r="L970" s="17">
        <f t="shared" si="61"/>
        <v>110900</v>
      </c>
      <c r="M970" s="17">
        <f t="shared" si="62"/>
        <v>44200</v>
      </c>
      <c r="N970" s="17" t="str">
        <f t="shared" si="63"/>
        <v>profit</v>
      </c>
    </row>
    <row r="971" spans="1:14" ht="15.6" thickTop="1" thickBot="1" x14ac:dyDescent="0.35">
      <c r="A971" s="15">
        <v>45667</v>
      </c>
      <c r="B971" s="15" t="s">
        <v>119</v>
      </c>
      <c r="C971" s="16" t="s">
        <v>389</v>
      </c>
      <c r="D971" s="16" t="s">
        <v>58</v>
      </c>
      <c r="E971" s="16" t="s">
        <v>123</v>
      </c>
      <c r="F971" s="16" t="s">
        <v>64</v>
      </c>
      <c r="G971" s="16" t="s">
        <v>12</v>
      </c>
      <c r="H971" s="16">
        <v>60</v>
      </c>
      <c r="I971" s="16">
        <v>509</v>
      </c>
      <c r="J971" s="16">
        <v>954</v>
      </c>
      <c r="K971" s="17">
        <f t="shared" si="60"/>
        <v>30540</v>
      </c>
      <c r="L971" s="17">
        <f t="shared" si="61"/>
        <v>57240</v>
      </c>
      <c r="M971" s="17">
        <f t="shared" si="62"/>
        <v>26700</v>
      </c>
      <c r="N971" s="17" t="str">
        <f t="shared" si="63"/>
        <v>profit</v>
      </c>
    </row>
    <row r="972" spans="1:14" ht="15.6" thickTop="1" thickBot="1" x14ac:dyDescent="0.35">
      <c r="A972" s="15">
        <v>45668</v>
      </c>
      <c r="B972" s="15" t="s">
        <v>119</v>
      </c>
      <c r="C972" s="16" t="s">
        <v>390</v>
      </c>
      <c r="D972" s="16" t="s">
        <v>58</v>
      </c>
      <c r="E972" s="16" t="s">
        <v>123</v>
      </c>
      <c r="F972" s="16" t="s">
        <v>64</v>
      </c>
      <c r="G972" s="16" t="s">
        <v>12</v>
      </c>
      <c r="H972" s="16">
        <v>93</v>
      </c>
      <c r="I972" s="16">
        <v>814</v>
      </c>
      <c r="J972" s="16">
        <v>832</v>
      </c>
      <c r="K972" s="17">
        <f t="shared" si="60"/>
        <v>75702</v>
      </c>
      <c r="L972" s="17">
        <f t="shared" si="61"/>
        <v>77376</v>
      </c>
      <c r="M972" s="17">
        <f t="shared" si="62"/>
        <v>1674</v>
      </c>
      <c r="N972" s="17" t="str">
        <f t="shared" si="63"/>
        <v>profit</v>
      </c>
    </row>
    <row r="973" spans="1:14" ht="15.6" thickTop="1" thickBot="1" x14ac:dyDescent="0.35">
      <c r="A973" s="15">
        <v>45669</v>
      </c>
      <c r="B973" s="15" t="s">
        <v>119</v>
      </c>
      <c r="C973" s="16" t="s">
        <v>391</v>
      </c>
      <c r="D973" s="16" t="s">
        <v>58</v>
      </c>
      <c r="E973" s="16" t="s">
        <v>123</v>
      </c>
      <c r="F973" s="16" t="s">
        <v>89</v>
      </c>
      <c r="G973" s="16" t="s">
        <v>8</v>
      </c>
      <c r="H973" s="16">
        <v>86</v>
      </c>
      <c r="I973" s="16">
        <v>567</v>
      </c>
      <c r="J973" s="16">
        <v>1491</v>
      </c>
      <c r="K973" s="17">
        <f t="shared" si="60"/>
        <v>48762</v>
      </c>
      <c r="L973" s="17">
        <f t="shared" si="61"/>
        <v>128226</v>
      </c>
      <c r="M973" s="17">
        <f t="shared" si="62"/>
        <v>79464</v>
      </c>
      <c r="N973" s="17" t="str">
        <f t="shared" si="63"/>
        <v>profit</v>
      </c>
    </row>
    <row r="974" spans="1:14" ht="15.6" thickTop="1" thickBot="1" x14ac:dyDescent="0.35">
      <c r="A974" s="15">
        <v>45670</v>
      </c>
      <c r="B974" s="15" t="s">
        <v>119</v>
      </c>
      <c r="C974" s="16" t="s">
        <v>392</v>
      </c>
      <c r="D974" s="16" t="s">
        <v>58</v>
      </c>
      <c r="E974" s="16" t="s">
        <v>123</v>
      </c>
      <c r="F974" s="16" t="s">
        <v>89</v>
      </c>
      <c r="G974" s="16" t="s">
        <v>12</v>
      </c>
      <c r="H974" s="16">
        <v>54</v>
      </c>
      <c r="I974" s="16">
        <v>674</v>
      </c>
      <c r="J974" s="16">
        <v>787</v>
      </c>
      <c r="K974" s="17">
        <f t="shared" si="60"/>
        <v>36396</v>
      </c>
      <c r="L974" s="17">
        <f t="shared" si="61"/>
        <v>42498</v>
      </c>
      <c r="M974" s="17">
        <f t="shared" si="62"/>
        <v>6102</v>
      </c>
      <c r="N974" s="17" t="str">
        <f t="shared" si="63"/>
        <v>profit</v>
      </c>
    </row>
    <row r="975" spans="1:14" ht="15.6" thickTop="1" thickBot="1" x14ac:dyDescent="0.35">
      <c r="A975" s="15">
        <v>45672</v>
      </c>
      <c r="B975" s="15" t="s">
        <v>119</v>
      </c>
      <c r="C975" s="16" t="s">
        <v>393</v>
      </c>
      <c r="D975" s="16" t="s">
        <v>58</v>
      </c>
      <c r="E975" s="16" t="s">
        <v>143</v>
      </c>
      <c r="F975" s="16" t="s">
        <v>64</v>
      </c>
      <c r="G975" s="16" t="s">
        <v>12</v>
      </c>
      <c r="H975" s="16">
        <v>98</v>
      </c>
      <c r="I975" s="16">
        <v>950</v>
      </c>
      <c r="J975" s="16">
        <v>1426</v>
      </c>
      <c r="K975" s="17">
        <f t="shared" si="60"/>
        <v>93100</v>
      </c>
      <c r="L975" s="17">
        <f t="shared" si="61"/>
        <v>139748</v>
      </c>
      <c r="M975" s="17">
        <f t="shared" si="62"/>
        <v>46648</v>
      </c>
      <c r="N975" s="17" t="str">
        <f t="shared" si="63"/>
        <v>profit</v>
      </c>
    </row>
    <row r="976" spans="1:14" ht="15.6" thickTop="1" thickBot="1" x14ac:dyDescent="0.35">
      <c r="A976" s="15">
        <v>45673</v>
      </c>
      <c r="B976" s="15" t="s">
        <v>119</v>
      </c>
      <c r="C976" s="16" t="s">
        <v>394</v>
      </c>
      <c r="D976" s="16" t="s">
        <v>58</v>
      </c>
      <c r="E976" s="16" t="s">
        <v>143</v>
      </c>
      <c r="F976" s="16" t="s">
        <v>55</v>
      </c>
      <c r="G976" s="16" t="s">
        <v>12</v>
      </c>
      <c r="H976" s="16">
        <v>82</v>
      </c>
      <c r="I976" s="16">
        <v>916</v>
      </c>
      <c r="J976" s="16">
        <v>1461</v>
      </c>
      <c r="K976" s="17">
        <f t="shared" si="60"/>
        <v>75112</v>
      </c>
      <c r="L976" s="17">
        <f t="shared" si="61"/>
        <v>119802</v>
      </c>
      <c r="M976" s="17">
        <f t="shared" si="62"/>
        <v>44690</v>
      </c>
      <c r="N976" s="17" t="str">
        <f t="shared" si="63"/>
        <v>profit</v>
      </c>
    </row>
    <row r="977" spans="1:14" ht="15.6" thickTop="1" thickBot="1" x14ac:dyDescent="0.35">
      <c r="A977" s="15">
        <v>45674</v>
      </c>
      <c r="B977" s="15" t="s">
        <v>119</v>
      </c>
      <c r="C977" s="16" t="s">
        <v>395</v>
      </c>
      <c r="D977" s="16" t="s">
        <v>58</v>
      </c>
      <c r="E977" s="16" t="s">
        <v>143</v>
      </c>
      <c r="F977" s="16" t="s">
        <v>137</v>
      </c>
      <c r="G977" s="16" t="s">
        <v>8</v>
      </c>
      <c r="H977" s="16">
        <v>66</v>
      </c>
      <c r="I977" s="16">
        <v>710</v>
      </c>
      <c r="J977" s="16">
        <v>1034</v>
      </c>
      <c r="K977" s="17">
        <f t="shared" si="60"/>
        <v>46860</v>
      </c>
      <c r="L977" s="17">
        <f t="shared" si="61"/>
        <v>68244</v>
      </c>
      <c r="M977" s="17">
        <f t="shared" si="62"/>
        <v>21384</v>
      </c>
      <c r="N977" s="17" t="str">
        <f t="shared" si="63"/>
        <v>profit</v>
      </c>
    </row>
    <row r="978" spans="1:14" ht="15.6" thickTop="1" thickBot="1" x14ac:dyDescent="0.35">
      <c r="A978" s="15">
        <v>45675</v>
      </c>
      <c r="B978" s="15" t="s">
        <v>119</v>
      </c>
      <c r="C978" s="16" t="s">
        <v>396</v>
      </c>
      <c r="D978" s="16" t="s">
        <v>58</v>
      </c>
      <c r="E978" s="16" t="s">
        <v>143</v>
      </c>
      <c r="F978" s="16" t="s">
        <v>69</v>
      </c>
      <c r="G978" s="16" t="s">
        <v>8</v>
      </c>
      <c r="H978" s="16">
        <v>77</v>
      </c>
      <c r="I978" s="16">
        <v>922</v>
      </c>
      <c r="J978" s="16">
        <v>1400</v>
      </c>
      <c r="K978" s="17">
        <f t="shared" si="60"/>
        <v>70994</v>
      </c>
      <c r="L978" s="17">
        <f t="shared" si="61"/>
        <v>107800</v>
      </c>
      <c r="M978" s="17">
        <f t="shared" si="62"/>
        <v>36806</v>
      </c>
      <c r="N978" s="17" t="str">
        <f t="shared" si="63"/>
        <v>profit</v>
      </c>
    </row>
    <row r="979" spans="1:14" ht="15.6" thickTop="1" thickBot="1" x14ac:dyDescent="0.35">
      <c r="A979" s="15">
        <v>45698</v>
      </c>
      <c r="B979" s="15" t="s">
        <v>262</v>
      </c>
      <c r="C979" s="16" t="s">
        <v>275</v>
      </c>
      <c r="D979" s="16" t="s">
        <v>71</v>
      </c>
      <c r="E979" s="16" t="s">
        <v>10</v>
      </c>
      <c r="F979" s="16" t="s">
        <v>55</v>
      </c>
      <c r="G979" s="16" t="s">
        <v>8</v>
      </c>
      <c r="H979" s="16">
        <v>22</v>
      </c>
      <c r="I979" s="16">
        <v>745</v>
      </c>
      <c r="J979" s="16">
        <v>1153</v>
      </c>
      <c r="K979" s="17">
        <f t="shared" si="60"/>
        <v>16390</v>
      </c>
      <c r="L979" s="17">
        <f t="shared" si="61"/>
        <v>25366</v>
      </c>
      <c r="M979" s="17">
        <f t="shared" si="62"/>
        <v>8976</v>
      </c>
      <c r="N979" s="17" t="str">
        <f t="shared" si="63"/>
        <v>profit</v>
      </c>
    </row>
    <row r="980" spans="1:14" ht="15.6" thickTop="1" thickBot="1" x14ac:dyDescent="0.35">
      <c r="A980" s="15">
        <v>45676</v>
      </c>
      <c r="B980" s="15" t="s">
        <v>119</v>
      </c>
      <c r="C980" s="16" t="s">
        <v>397</v>
      </c>
      <c r="D980" s="16" t="s">
        <v>58</v>
      </c>
      <c r="E980" s="16" t="s">
        <v>143</v>
      </c>
      <c r="F980" s="16" t="s">
        <v>176</v>
      </c>
      <c r="G980" s="16" t="s">
        <v>8</v>
      </c>
      <c r="H980" s="16">
        <v>93</v>
      </c>
      <c r="I980" s="16">
        <v>887</v>
      </c>
      <c r="J980" s="16">
        <v>993</v>
      </c>
      <c r="K980" s="17">
        <f t="shared" si="60"/>
        <v>82491</v>
      </c>
      <c r="L980" s="17">
        <f t="shared" si="61"/>
        <v>92349</v>
      </c>
      <c r="M980" s="17">
        <f t="shared" si="62"/>
        <v>9858</v>
      </c>
      <c r="N980" s="17" t="str">
        <f t="shared" si="63"/>
        <v>profit</v>
      </c>
    </row>
    <row r="981" spans="1:14" ht="15.6" thickTop="1" thickBot="1" x14ac:dyDescent="0.35">
      <c r="A981" s="15">
        <v>45700</v>
      </c>
      <c r="B981" s="15" t="s">
        <v>262</v>
      </c>
      <c r="C981" s="16" t="s">
        <v>398</v>
      </c>
      <c r="D981" s="16" t="s">
        <v>58</v>
      </c>
      <c r="E981" s="16" t="s">
        <v>123</v>
      </c>
      <c r="F981" s="16" t="s">
        <v>64</v>
      </c>
      <c r="G981" s="16" t="s">
        <v>8</v>
      </c>
      <c r="H981" s="16">
        <v>78</v>
      </c>
      <c r="I981" s="16">
        <v>709</v>
      </c>
      <c r="J981" s="16">
        <v>1494</v>
      </c>
      <c r="K981" s="17">
        <f t="shared" si="60"/>
        <v>55302</v>
      </c>
      <c r="L981" s="17">
        <f t="shared" si="61"/>
        <v>116532</v>
      </c>
      <c r="M981" s="17">
        <f t="shared" si="62"/>
        <v>61230</v>
      </c>
      <c r="N981" s="17" t="str">
        <f t="shared" si="63"/>
        <v>profit</v>
      </c>
    </row>
    <row r="982" spans="1:14" ht="15.6" thickTop="1" thickBot="1" x14ac:dyDescent="0.35">
      <c r="A982" s="15">
        <v>45701</v>
      </c>
      <c r="B982" s="15" t="s">
        <v>262</v>
      </c>
      <c r="C982" s="16" t="s">
        <v>399</v>
      </c>
      <c r="D982" s="16" t="s">
        <v>58</v>
      </c>
      <c r="E982" s="16" t="s">
        <v>123</v>
      </c>
      <c r="F982" s="16" t="s">
        <v>64</v>
      </c>
      <c r="G982" s="16" t="s">
        <v>8</v>
      </c>
      <c r="H982" s="16">
        <v>87</v>
      </c>
      <c r="I982" s="16">
        <v>714</v>
      </c>
      <c r="J982" s="16">
        <v>926</v>
      </c>
      <c r="K982" s="17">
        <f t="shared" si="60"/>
        <v>62118</v>
      </c>
      <c r="L982" s="17">
        <f t="shared" si="61"/>
        <v>80562</v>
      </c>
      <c r="M982" s="17">
        <f t="shared" si="62"/>
        <v>18444</v>
      </c>
      <c r="N982" s="17" t="str">
        <f t="shared" si="63"/>
        <v>profit</v>
      </c>
    </row>
    <row r="983" spans="1:14" ht="15.6" thickTop="1" thickBot="1" x14ac:dyDescent="0.35">
      <c r="A983" s="15">
        <v>45702</v>
      </c>
      <c r="B983" s="15" t="s">
        <v>262</v>
      </c>
      <c r="C983" s="16" t="s">
        <v>276</v>
      </c>
      <c r="D983" s="16" t="s">
        <v>58</v>
      </c>
      <c r="E983" s="16" t="s">
        <v>123</v>
      </c>
      <c r="F983" s="16" t="s">
        <v>89</v>
      </c>
      <c r="G983" s="16" t="s">
        <v>8</v>
      </c>
      <c r="H983" s="16">
        <v>90</v>
      </c>
      <c r="I983" s="16">
        <v>983</v>
      </c>
      <c r="J983" s="16">
        <v>924</v>
      </c>
      <c r="K983" s="17">
        <f t="shared" si="60"/>
        <v>88470</v>
      </c>
      <c r="L983" s="17">
        <f t="shared" si="61"/>
        <v>83160</v>
      </c>
      <c r="M983" s="17">
        <f t="shared" si="62"/>
        <v>-5310</v>
      </c>
      <c r="N983" s="17" t="str">
        <f t="shared" si="63"/>
        <v>loss</v>
      </c>
    </row>
    <row r="984" spans="1:14" ht="15.6" thickTop="1" thickBot="1" x14ac:dyDescent="0.35">
      <c r="A984" s="15">
        <v>45703</v>
      </c>
      <c r="B984" s="15" t="s">
        <v>262</v>
      </c>
      <c r="C984" s="16" t="s">
        <v>400</v>
      </c>
      <c r="D984" s="16" t="s">
        <v>58</v>
      </c>
      <c r="E984" s="16" t="s">
        <v>123</v>
      </c>
      <c r="F984" s="16" t="s">
        <v>89</v>
      </c>
      <c r="G984" s="16" t="s">
        <v>8</v>
      </c>
      <c r="H984" s="16">
        <v>78</v>
      </c>
      <c r="I984" s="16">
        <v>789</v>
      </c>
      <c r="J984" s="16">
        <v>1064</v>
      </c>
      <c r="K984" s="17">
        <f t="shared" si="60"/>
        <v>61542</v>
      </c>
      <c r="L984" s="17">
        <f t="shared" si="61"/>
        <v>82992</v>
      </c>
      <c r="M984" s="17">
        <f t="shared" si="62"/>
        <v>21450</v>
      </c>
      <c r="N984" s="17" t="str">
        <f t="shared" si="63"/>
        <v>profit</v>
      </c>
    </row>
    <row r="985" spans="1:14" ht="15.6" thickTop="1" thickBot="1" x14ac:dyDescent="0.35">
      <c r="A985" s="15">
        <v>45704</v>
      </c>
      <c r="B985" s="15" t="s">
        <v>262</v>
      </c>
      <c r="C985" s="16" t="s">
        <v>401</v>
      </c>
      <c r="D985" s="16" t="s">
        <v>58</v>
      </c>
      <c r="E985" s="16" t="s">
        <v>123</v>
      </c>
      <c r="F985" s="16" t="s">
        <v>85</v>
      </c>
      <c r="G985" s="16" t="s">
        <v>12</v>
      </c>
      <c r="H985" s="16">
        <v>74</v>
      </c>
      <c r="I985" s="16">
        <v>835</v>
      </c>
      <c r="J985" s="16">
        <v>1096</v>
      </c>
      <c r="K985" s="17">
        <f t="shared" si="60"/>
        <v>61790</v>
      </c>
      <c r="L985" s="17">
        <f t="shared" si="61"/>
        <v>81104</v>
      </c>
      <c r="M985" s="17">
        <f t="shared" si="62"/>
        <v>19314</v>
      </c>
      <c r="N985" s="17" t="str">
        <f t="shared" si="63"/>
        <v>profit</v>
      </c>
    </row>
    <row r="986" spans="1:14" ht="15.6" thickTop="1" thickBot="1" x14ac:dyDescent="0.35">
      <c r="A986" s="15">
        <v>45705</v>
      </c>
      <c r="B986" s="15" t="s">
        <v>262</v>
      </c>
      <c r="C986" s="16" t="s">
        <v>402</v>
      </c>
      <c r="D986" s="16" t="s">
        <v>58</v>
      </c>
      <c r="E986" s="16" t="s">
        <v>123</v>
      </c>
      <c r="F986" s="16" t="s">
        <v>64</v>
      </c>
      <c r="G986" s="16" t="s">
        <v>12</v>
      </c>
      <c r="H986" s="16">
        <v>94</v>
      </c>
      <c r="I986" s="16">
        <v>952</v>
      </c>
      <c r="J986" s="16">
        <v>1425</v>
      </c>
      <c r="K986" s="17">
        <f t="shared" si="60"/>
        <v>89488</v>
      </c>
      <c r="L986" s="17">
        <f t="shared" si="61"/>
        <v>133950</v>
      </c>
      <c r="M986" s="17">
        <f t="shared" si="62"/>
        <v>44462</v>
      </c>
      <c r="N986" s="17" t="str">
        <f t="shared" si="63"/>
        <v>profit</v>
      </c>
    </row>
    <row r="987" spans="1:14" ht="15.6" thickTop="1" thickBot="1" x14ac:dyDescent="0.35">
      <c r="A987" s="15">
        <v>45706</v>
      </c>
      <c r="B987" s="15" t="s">
        <v>262</v>
      </c>
      <c r="C987" s="16" t="s">
        <v>403</v>
      </c>
      <c r="D987" s="16" t="s">
        <v>58</v>
      </c>
      <c r="E987" s="16" t="s">
        <v>123</v>
      </c>
      <c r="F987" s="16" t="s">
        <v>55</v>
      </c>
      <c r="G987" s="16" t="s">
        <v>12</v>
      </c>
      <c r="H987" s="16">
        <v>55</v>
      </c>
      <c r="I987" s="16">
        <v>558</v>
      </c>
      <c r="J987" s="16">
        <v>1203</v>
      </c>
      <c r="K987" s="17">
        <f t="shared" si="60"/>
        <v>30690</v>
      </c>
      <c r="L987" s="17">
        <f t="shared" si="61"/>
        <v>66165</v>
      </c>
      <c r="M987" s="17">
        <f t="shared" si="62"/>
        <v>35475</v>
      </c>
      <c r="N987" s="17" t="str">
        <f t="shared" si="63"/>
        <v>profit</v>
      </c>
    </row>
    <row r="988" spans="1:14" ht="15.6" thickTop="1" thickBot="1" x14ac:dyDescent="0.35">
      <c r="A988" s="15">
        <v>45707</v>
      </c>
      <c r="B988" s="15" t="s">
        <v>262</v>
      </c>
      <c r="C988" s="16" t="s">
        <v>404</v>
      </c>
      <c r="D988" s="16" t="s">
        <v>58</v>
      </c>
      <c r="E988" s="16" t="s">
        <v>123</v>
      </c>
      <c r="F988" s="16" t="s">
        <v>137</v>
      </c>
      <c r="G988" s="16" t="s">
        <v>12</v>
      </c>
      <c r="H988" s="16">
        <v>56</v>
      </c>
      <c r="I988" s="16">
        <v>562</v>
      </c>
      <c r="J988" s="16">
        <v>1341</v>
      </c>
      <c r="K988" s="17">
        <f t="shared" si="60"/>
        <v>31472</v>
      </c>
      <c r="L988" s="17">
        <f t="shared" si="61"/>
        <v>75096</v>
      </c>
      <c r="M988" s="17">
        <f t="shared" si="62"/>
        <v>43624</v>
      </c>
      <c r="N988" s="17" t="str">
        <f t="shared" si="63"/>
        <v>profit</v>
      </c>
    </row>
    <row r="989" spans="1:14" ht="15.6" thickTop="1" thickBot="1" x14ac:dyDescent="0.35">
      <c r="A989" s="15">
        <v>45708</v>
      </c>
      <c r="B989" s="15" t="s">
        <v>262</v>
      </c>
      <c r="C989" s="16" t="s">
        <v>405</v>
      </c>
      <c r="D989" s="16" t="s">
        <v>58</v>
      </c>
      <c r="E989" s="16" t="s">
        <v>123</v>
      </c>
      <c r="F989" s="16" t="s">
        <v>69</v>
      </c>
      <c r="G989" s="16" t="s">
        <v>8</v>
      </c>
      <c r="H989" s="16">
        <v>94</v>
      </c>
      <c r="I989" s="16">
        <v>513</v>
      </c>
      <c r="J989" s="16">
        <v>1318</v>
      </c>
      <c r="K989" s="17">
        <f t="shared" si="60"/>
        <v>48222</v>
      </c>
      <c r="L989" s="17">
        <f t="shared" si="61"/>
        <v>123892</v>
      </c>
      <c r="M989" s="17">
        <f t="shared" si="62"/>
        <v>75670</v>
      </c>
      <c r="N989" s="17" t="str">
        <f t="shared" si="63"/>
        <v>profit</v>
      </c>
    </row>
    <row r="990" spans="1:14" ht="15.6" thickTop="1" thickBot="1" x14ac:dyDescent="0.35">
      <c r="A990" s="15">
        <v>45709</v>
      </c>
      <c r="B990" s="15" t="s">
        <v>262</v>
      </c>
      <c r="C990" s="16" t="s">
        <v>277</v>
      </c>
      <c r="D990" s="16" t="s">
        <v>58</v>
      </c>
      <c r="E990" s="16" t="s">
        <v>123</v>
      </c>
      <c r="F990" s="16" t="s">
        <v>176</v>
      </c>
      <c r="G990" s="16" t="s">
        <v>12</v>
      </c>
      <c r="H990" s="16">
        <v>76</v>
      </c>
      <c r="I990" s="16">
        <v>526</v>
      </c>
      <c r="J990" s="16">
        <v>1260</v>
      </c>
      <c r="K990" s="17">
        <f t="shared" si="60"/>
        <v>39976</v>
      </c>
      <c r="L990" s="17">
        <f t="shared" si="61"/>
        <v>95760</v>
      </c>
      <c r="M990" s="17">
        <f t="shared" si="62"/>
        <v>55784</v>
      </c>
      <c r="N990" s="17" t="str">
        <f t="shared" si="63"/>
        <v>profit</v>
      </c>
    </row>
    <row r="991" spans="1:14" ht="15.6" thickTop="1" thickBot="1" x14ac:dyDescent="0.35">
      <c r="A991" s="15">
        <v>45710</v>
      </c>
      <c r="B991" s="15" t="s">
        <v>262</v>
      </c>
      <c r="C991" s="16" t="s">
        <v>406</v>
      </c>
      <c r="D991" s="16" t="s">
        <v>58</v>
      </c>
      <c r="E991" s="16" t="s">
        <v>123</v>
      </c>
      <c r="F991" s="16" t="s">
        <v>178</v>
      </c>
      <c r="G991" s="16" t="s">
        <v>12</v>
      </c>
      <c r="H991" s="16">
        <v>61</v>
      </c>
      <c r="I991" s="16">
        <v>545</v>
      </c>
      <c r="J991" s="16">
        <v>915</v>
      </c>
      <c r="K991" s="17">
        <f t="shared" si="60"/>
        <v>33245</v>
      </c>
      <c r="L991" s="17">
        <f t="shared" si="61"/>
        <v>55815</v>
      </c>
      <c r="M991" s="17">
        <f t="shared" si="62"/>
        <v>22570</v>
      </c>
      <c r="N991" s="17" t="str">
        <f t="shared" si="63"/>
        <v>profit</v>
      </c>
    </row>
    <row r="992" spans="1:14" ht="15.6" thickTop="1" thickBot="1" x14ac:dyDescent="0.35">
      <c r="A992" s="15">
        <v>45711</v>
      </c>
      <c r="B992" s="15" t="s">
        <v>262</v>
      </c>
      <c r="C992" s="16" t="s">
        <v>407</v>
      </c>
      <c r="D992" s="16" t="s">
        <v>58</v>
      </c>
      <c r="E992" s="16" t="s">
        <v>123</v>
      </c>
      <c r="F992" s="16" t="s">
        <v>45</v>
      </c>
      <c r="G992" s="16" t="s">
        <v>12</v>
      </c>
      <c r="H992" s="16">
        <v>99</v>
      </c>
      <c r="I992" s="16">
        <v>943</v>
      </c>
      <c r="J992" s="16">
        <v>823</v>
      </c>
      <c r="K992" s="17">
        <f t="shared" si="60"/>
        <v>93357</v>
      </c>
      <c r="L992" s="17">
        <f t="shared" si="61"/>
        <v>81477</v>
      </c>
      <c r="M992" s="17">
        <f t="shared" si="62"/>
        <v>-11880</v>
      </c>
      <c r="N992" s="17" t="str">
        <f t="shared" si="63"/>
        <v>loss</v>
      </c>
    </row>
    <row r="993" spans="1:14" ht="15.6" thickTop="1" thickBot="1" x14ac:dyDescent="0.35">
      <c r="A993" s="15">
        <v>45712</v>
      </c>
      <c r="B993" s="18" t="s">
        <v>262</v>
      </c>
      <c r="C993" s="19" t="s">
        <v>408</v>
      </c>
      <c r="D993" s="19" t="s">
        <v>58</v>
      </c>
      <c r="E993" s="19" t="s">
        <v>143</v>
      </c>
      <c r="F993" s="19" t="s">
        <v>47</v>
      </c>
      <c r="G993" s="16" t="s">
        <v>12</v>
      </c>
      <c r="H993" s="16">
        <v>84</v>
      </c>
      <c r="I993" s="16">
        <v>738</v>
      </c>
      <c r="J993" s="16">
        <v>1080</v>
      </c>
      <c r="K993" s="17">
        <f t="shared" si="60"/>
        <v>61992</v>
      </c>
      <c r="L993" s="17">
        <f t="shared" si="61"/>
        <v>90720</v>
      </c>
      <c r="M993" s="17">
        <f t="shared" si="62"/>
        <v>28728</v>
      </c>
      <c r="N993" s="17" t="str">
        <f t="shared" si="63"/>
        <v>profit</v>
      </c>
    </row>
    <row r="994" spans="1:14" ht="15" thickTop="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490C-63B4-4476-BD46-73C7BF30C515}">
  <sheetPr>
    <tabColor theme="9" tint="0.39997558519241921"/>
  </sheetPr>
  <dimension ref="A1:E52"/>
  <sheetViews>
    <sheetView topLeftCell="A21" workbookViewId="0">
      <selection activeCell="F39" sqref="F39"/>
    </sheetView>
  </sheetViews>
  <sheetFormatPr defaultRowHeight="14.4" x14ac:dyDescent="0.3"/>
  <cols>
    <col min="1" max="1" width="19" bestFit="1" customWidth="1"/>
    <col min="2" max="2" width="13.21875" bestFit="1" customWidth="1"/>
    <col min="3" max="3" width="8.21875" bestFit="1" customWidth="1"/>
    <col min="4" max="4" width="7.109375" bestFit="1" customWidth="1"/>
    <col min="5" max="5" width="7.886718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5" t="s">
        <v>8</v>
      </c>
      <c r="E2" s="6">
        <v>122444</v>
      </c>
    </row>
    <row r="3" spans="1:5" x14ac:dyDescent="0.3">
      <c r="A3" s="4" t="s">
        <v>9</v>
      </c>
      <c r="B3" s="5" t="s">
        <v>10</v>
      </c>
      <c r="C3" s="5" t="s">
        <v>11</v>
      </c>
      <c r="D3" s="5" t="s">
        <v>12</v>
      </c>
      <c r="E3" s="6">
        <v>94138</v>
      </c>
    </row>
    <row r="4" spans="1:5" x14ac:dyDescent="0.3">
      <c r="A4" s="4" t="s">
        <v>13</v>
      </c>
      <c r="B4" s="5" t="s">
        <v>6</v>
      </c>
      <c r="C4" s="5" t="s">
        <v>7</v>
      </c>
      <c r="D4" s="5" t="s">
        <v>8</v>
      </c>
      <c r="E4" s="6">
        <v>72679</v>
      </c>
    </row>
    <row r="5" spans="1:5" x14ac:dyDescent="0.3">
      <c r="A5" s="4" t="s">
        <v>14</v>
      </c>
      <c r="B5" s="5" t="s">
        <v>6</v>
      </c>
      <c r="C5" s="5" t="s">
        <v>7</v>
      </c>
      <c r="D5" s="5" t="s">
        <v>8</v>
      </c>
      <c r="E5" s="6">
        <v>130238</v>
      </c>
    </row>
    <row r="6" spans="1:5" x14ac:dyDescent="0.3">
      <c r="A6" s="4" t="s">
        <v>15</v>
      </c>
      <c r="B6" s="5" t="s">
        <v>10</v>
      </c>
      <c r="C6" s="5" t="s">
        <v>11</v>
      </c>
      <c r="D6" s="5" t="s">
        <v>8</v>
      </c>
      <c r="E6" s="6">
        <v>108636</v>
      </c>
    </row>
    <row r="7" spans="1:5" x14ac:dyDescent="0.3">
      <c r="A7" s="4" t="s">
        <v>16</v>
      </c>
      <c r="B7" s="5" t="s">
        <v>17</v>
      </c>
      <c r="C7" s="5" t="s">
        <v>18</v>
      </c>
      <c r="D7" s="5" t="s">
        <v>12</v>
      </c>
      <c r="E7" s="6">
        <v>108005</v>
      </c>
    </row>
    <row r="8" spans="1:5" x14ac:dyDescent="0.3">
      <c r="A8" s="4" t="s">
        <v>19</v>
      </c>
      <c r="B8" s="5" t="s">
        <v>17</v>
      </c>
      <c r="C8" s="5" t="s">
        <v>7</v>
      </c>
      <c r="D8" s="5" t="s">
        <v>12</v>
      </c>
      <c r="E8" s="6">
        <v>141259</v>
      </c>
    </row>
    <row r="9" spans="1:5" x14ac:dyDescent="0.3">
      <c r="A9" s="4" t="s">
        <v>20</v>
      </c>
      <c r="B9" s="5" t="s">
        <v>17</v>
      </c>
      <c r="C9" s="5" t="s">
        <v>7</v>
      </c>
      <c r="D9" s="5" t="s">
        <v>12</v>
      </c>
      <c r="E9" s="6">
        <v>86739</v>
      </c>
    </row>
    <row r="10" spans="1:5" x14ac:dyDescent="0.3">
      <c r="A10" s="4" t="s">
        <v>21</v>
      </c>
      <c r="B10" s="5" t="s">
        <v>6</v>
      </c>
      <c r="C10" s="5" t="s">
        <v>18</v>
      </c>
      <c r="D10" s="5" t="s">
        <v>8</v>
      </c>
      <c r="E10" s="6">
        <v>95170</v>
      </c>
    </row>
    <row r="11" spans="1:5" x14ac:dyDescent="0.3">
      <c r="A11" s="4" t="s">
        <v>22</v>
      </c>
      <c r="B11" s="5" t="s">
        <v>10</v>
      </c>
      <c r="C11" s="5" t="s">
        <v>11</v>
      </c>
      <c r="D11" s="5" t="s">
        <v>12</v>
      </c>
      <c r="E11" s="6">
        <v>50655</v>
      </c>
    </row>
    <row r="12" spans="1:5" x14ac:dyDescent="0.3">
      <c r="A12" s="4" t="s">
        <v>5</v>
      </c>
      <c r="B12" s="5" t="s">
        <v>10</v>
      </c>
      <c r="C12" s="5" t="s">
        <v>11</v>
      </c>
      <c r="D12" s="5" t="s">
        <v>8</v>
      </c>
      <c r="E12" s="6">
        <v>76361</v>
      </c>
    </row>
    <row r="13" spans="1:5" x14ac:dyDescent="0.3">
      <c r="A13" s="4" t="s">
        <v>9</v>
      </c>
      <c r="B13" s="5" t="s">
        <v>10</v>
      </c>
      <c r="C13" s="5" t="s">
        <v>23</v>
      </c>
      <c r="D13" s="5" t="s">
        <v>8</v>
      </c>
      <c r="E13" s="6">
        <v>59986</v>
      </c>
    </row>
    <row r="14" spans="1:5" x14ac:dyDescent="0.3">
      <c r="A14" s="4" t="s">
        <v>13</v>
      </c>
      <c r="B14" s="5" t="s">
        <v>6</v>
      </c>
      <c r="C14" s="5" t="s">
        <v>23</v>
      </c>
      <c r="D14" s="5" t="s">
        <v>12</v>
      </c>
      <c r="E14" s="6">
        <v>96489</v>
      </c>
    </row>
    <row r="15" spans="1:5" x14ac:dyDescent="0.3">
      <c r="A15" s="4" t="s">
        <v>14</v>
      </c>
      <c r="B15" s="5" t="s">
        <v>6</v>
      </c>
      <c r="C15" s="5" t="s">
        <v>23</v>
      </c>
      <c r="D15" s="5" t="s">
        <v>12</v>
      </c>
      <c r="E15" s="6">
        <v>96845</v>
      </c>
    </row>
    <row r="16" spans="1:5" x14ac:dyDescent="0.3">
      <c r="A16" s="4" t="s">
        <v>15</v>
      </c>
      <c r="B16" s="5" t="s">
        <v>17</v>
      </c>
      <c r="C16" s="5" t="s">
        <v>7</v>
      </c>
      <c r="D16" s="5" t="s">
        <v>8</v>
      </c>
      <c r="E16" s="6">
        <v>147430</v>
      </c>
    </row>
    <row r="17" spans="1:5" x14ac:dyDescent="0.3">
      <c r="A17" s="4" t="s">
        <v>16</v>
      </c>
      <c r="B17" s="5" t="s">
        <v>17</v>
      </c>
      <c r="C17" s="5" t="s">
        <v>7</v>
      </c>
      <c r="D17" s="5" t="s">
        <v>8</v>
      </c>
      <c r="E17" s="6">
        <v>116547</v>
      </c>
    </row>
    <row r="18" spans="1:5" x14ac:dyDescent="0.3">
      <c r="A18" s="4" t="s">
        <v>19</v>
      </c>
      <c r="B18" s="5" t="s">
        <v>6</v>
      </c>
      <c r="C18" s="5" t="s">
        <v>11</v>
      </c>
      <c r="D18" s="5" t="s">
        <v>8</v>
      </c>
      <c r="E18" s="6">
        <v>50478</v>
      </c>
    </row>
    <row r="19" spans="1:5" x14ac:dyDescent="0.3">
      <c r="A19" s="4" t="s">
        <v>20</v>
      </c>
      <c r="B19" s="5" t="s">
        <v>10</v>
      </c>
      <c r="C19" s="5" t="s">
        <v>18</v>
      </c>
      <c r="D19" s="5" t="s">
        <v>12</v>
      </c>
      <c r="E19" s="6">
        <v>131028</v>
      </c>
    </row>
    <row r="20" spans="1:5" x14ac:dyDescent="0.3">
      <c r="A20" s="4" t="s">
        <v>21</v>
      </c>
      <c r="B20" s="5" t="s">
        <v>6</v>
      </c>
      <c r="C20" s="5" t="s">
        <v>18</v>
      </c>
      <c r="D20" s="5" t="s">
        <v>12</v>
      </c>
      <c r="E20" s="6">
        <v>136265</v>
      </c>
    </row>
    <row r="21" spans="1:5" x14ac:dyDescent="0.3">
      <c r="A21" s="4" t="s">
        <v>22</v>
      </c>
      <c r="B21" s="5" t="s">
        <v>6</v>
      </c>
      <c r="C21" s="5" t="s">
        <v>7</v>
      </c>
      <c r="D21" s="5" t="s">
        <v>12</v>
      </c>
      <c r="E21" s="6">
        <v>143860</v>
      </c>
    </row>
    <row r="22" spans="1:5" x14ac:dyDescent="0.3">
      <c r="A22" s="4" t="s">
        <v>5</v>
      </c>
      <c r="B22" s="5" t="s">
        <v>10</v>
      </c>
      <c r="C22" s="5" t="s">
        <v>11</v>
      </c>
      <c r="D22" s="5" t="s">
        <v>8</v>
      </c>
      <c r="E22" s="6">
        <v>57757</v>
      </c>
    </row>
    <row r="23" spans="1:5" x14ac:dyDescent="0.3">
      <c r="A23" s="4" t="s">
        <v>9</v>
      </c>
      <c r="B23" s="5" t="s">
        <v>17</v>
      </c>
      <c r="C23" s="5" t="s">
        <v>23</v>
      </c>
      <c r="D23" s="5" t="s">
        <v>8</v>
      </c>
      <c r="E23" s="6">
        <v>122231</v>
      </c>
    </row>
    <row r="24" spans="1:5" x14ac:dyDescent="0.3">
      <c r="A24" s="4" t="s">
        <v>13</v>
      </c>
      <c r="B24" s="5" t="s">
        <v>17</v>
      </c>
      <c r="C24" s="5" t="s">
        <v>23</v>
      </c>
      <c r="D24" s="5" t="s">
        <v>12</v>
      </c>
      <c r="E24" s="6">
        <v>127292</v>
      </c>
    </row>
    <row r="25" spans="1:5" x14ac:dyDescent="0.3">
      <c r="A25" s="4" t="s">
        <v>14</v>
      </c>
      <c r="B25" s="5" t="s">
        <v>17</v>
      </c>
      <c r="C25" s="5" t="s">
        <v>18</v>
      </c>
      <c r="D25" s="5" t="s">
        <v>12</v>
      </c>
      <c r="E25" s="6">
        <v>50194</v>
      </c>
    </row>
    <row r="26" spans="1:5" x14ac:dyDescent="0.3">
      <c r="A26" s="4" t="s">
        <v>15</v>
      </c>
      <c r="B26" s="5" t="s">
        <v>6</v>
      </c>
      <c r="C26" s="5" t="s">
        <v>11</v>
      </c>
      <c r="D26" s="5" t="s">
        <v>8</v>
      </c>
      <c r="E26" s="6">
        <v>76180</v>
      </c>
    </row>
    <row r="27" spans="1:5" x14ac:dyDescent="0.3">
      <c r="A27" s="4" t="s">
        <v>16</v>
      </c>
      <c r="B27" s="5" t="s">
        <v>10</v>
      </c>
      <c r="C27" s="5" t="s">
        <v>11</v>
      </c>
      <c r="D27" s="5" t="s">
        <v>8</v>
      </c>
      <c r="E27" s="6">
        <v>112323</v>
      </c>
    </row>
    <row r="28" spans="1:5" x14ac:dyDescent="0.3">
      <c r="A28" s="4" t="s">
        <v>19</v>
      </c>
      <c r="B28" s="5" t="s">
        <v>10</v>
      </c>
      <c r="C28" s="5" t="s">
        <v>23</v>
      </c>
      <c r="D28" s="5" t="s">
        <v>12</v>
      </c>
      <c r="E28" s="6">
        <v>61988</v>
      </c>
    </row>
    <row r="29" spans="1:5" x14ac:dyDescent="0.3">
      <c r="A29" s="4" t="s">
        <v>20</v>
      </c>
      <c r="B29" s="5" t="s">
        <v>10</v>
      </c>
      <c r="C29" s="5" t="s">
        <v>23</v>
      </c>
      <c r="D29" s="5" t="s">
        <v>12</v>
      </c>
      <c r="E29" s="6">
        <v>142292</v>
      </c>
    </row>
    <row r="30" spans="1:5" x14ac:dyDescent="0.3">
      <c r="A30" s="4" t="s">
        <v>21</v>
      </c>
      <c r="B30" s="5" t="s">
        <v>6</v>
      </c>
      <c r="C30" s="5" t="s">
        <v>7</v>
      </c>
      <c r="D30" s="5" t="s">
        <v>8</v>
      </c>
      <c r="E30" s="6">
        <v>135328</v>
      </c>
    </row>
    <row r="31" spans="1:5" x14ac:dyDescent="0.3">
      <c r="A31" s="4" t="s">
        <v>22</v>
      </c>
      <c r="B31" s="5" t="s">
        <v>6</v>
      </c>
      <c r="C31" s="5" t="s">
        <v>7</v>
      </c>
      <c r="D31" s="5" t="s">
        <v>8</v>
      </c>
      <c r="E31" s="6">
        <v>85819</v>
      </c>
    </row>
    <row r="32" spans="1:5" x14ac:dyDescent="0.3">
      <c r="A32" s="5" t="s">
        <v>24</v>
      </c>
      <c r="B32" s="5" t="s">
        <v>6</v>
      </c>
      <c r="C32" s="5" t="s">
        <v>25</v>
      </c>
      <c r="D32" s="5" t="s">
        <v>8</v>
      </c>
      <c r="E32" s="5">
        <v>836511</v>
      </c>
    </row>
    <row r="33" spans="1:5" x14ac:dyDescent="0.3">
      <c r="A33" s="4" t="s">
        <v>9</v>
      </c>
      <c r="B33" s="5" t="s">
        <v>17</v>
      </c>
      <c r="C33" s="5" t="s">
        <v>7</v>
      </c>
      <c r="D33" s="5" t="s">
        <v>12</v>
      </c>
      <c r="E33" s="6">
        <v>103228</v>
      </c>
    </row>
    <row r="34" spans="1:5" x14ac:dyDescent="0.3">
      <c r="A34" s="4" t="s">
        <v>13</v>
      </c>
      <c r="B34" s="5" t="s">
        <v>6</v>
      </c>
      <c r="C34" s="5" t="s">
        <v>11</v>
      </c>
      <c r="D34" s="5" t="s">
        <v>8</v>
      </c>
      <c r="E34" s="6">
        <v>56765</v>
      </c>
    </row>
    <row r="35" spans="1:5" x14ac:dyDescent="0.3">
      <c r="A35" s="4" t="s">
        <v>14</v>
      </c>
      <c r="B35" s="5" t="s">
        <v>10</v>
      </c>
      <c r="C35" s="5" t="s">
        <v>18</v>
      </c>
      <c r="D35" s="5" t="s">
        <v>8</v>
      </c>
      <c r="E35" s="6">
        <v>122853</v>
      </c>
    </row>
    <row r="36" spans="1:5" x14ac:dyDescent="0.3">
      <c r="A36" s="4" t="s">
        <v>15</v>
      </c>
      <c r="B36" s="5" t="s">
        <v>6</v>
      </c>
      <c r="C36" s="5" t="s">
        <v>18</v>
      </c>
      <c r="D36" s="5" t="s">
        <v>12</v>
      </c>
      <c r="E36" s="6">
        <v>59918</v>
      </c>
    </row>
    <row r="37" spans="1:5" x14ac:dyDescent="0.3">
      <c r="A37" s="4" t="s">
        <v>16</v>
      </c>
      <c r="B37" s="5" t="s">
        <v>6</v>
      </c>
      <c r="C37" s="5" t="s">
        <v>7</v>
      </c>
      <c r="D37" s="5" t="s">
        <v>12</v>
      </c>
      <c r="E37" s="6">
        <v>59303</v>
      </c>
    </row>
    <row r="38" spans="1:5" x14ac:dyDescent="0.3">
      <c r="A38" s="4" t="s">
        <v>19</v>
      </c>
      <c r="B38" s="5" t="s">
        <v>10</v>
      </c>
      <c r="C38" s="5" t="s">
        <v>11</v>
      </c>
      <c r="D38" s="5" t="s">
        <v>8</v>
      </c>
      <c r="E38" s="6">
        <v>105850</v>
      </c>
    </row>
    <row r="39" spans="1:5" x14ac:dyDescent="0.3">
      <c r="A39" s="4" t="s">
        <v>20</v>
      </c>
      <c r="B39" s="5" t="s">
        <v>17</v>
      </c>
      <c r="C39" s="5" t="s">
        <v>23</v>
      </c>
      <c r="D39" s="5" t="s">
        <v>12</v>
      </c>
      <c r="E39" s="6">
        <v>146177</v>
      </c>
    </row>
    <row r="40" spans="1:5" x14ac:dyDescent="0.3">
      <c r="A40" s="4" t="s">
        <v>21</v>
      </c>
      <c r="B40" s="5" t="s">
        <v>17</v>
      </c>
      <c r="C40" s="5" t="s">
        <v>18</v>
      </c>
      <c r="D40" s="5" t="s">
        <v>8</v>
      </c>
      <c r="E40" s="6">
        <v>56078</v>
      </c>
    </row>
    <row r="41" spans="1:5" x14ac:dyDescent="0.3">
      <c r="A41" s="4" t="s">
        <v>22</v>
      </c>
      <c r="B41" s="5" t="s">
        <v>17</v>
      </c>
      <c r="C41" s="5" t="s">
        <v>18</v>
      </c>
      <c r="D41" s="5" t="s">
        <v>12</v>
      </c>
      <c r="E41" s="6">
        <v>109136</v>
      </c>
    </row>
    <row r="42" spans="1:5" x14ac:dyDescent="0.3">
      <c r="A42" s="4" t="s">
        <v>5</v>
      </c>
      <c r="B42" s="5" t="s">
        <v>6</v>
      </c>
      <c r="C42" s="5" t="s">
        <v>7</v>
      </c>
      <c r="D42" s="5" t="s">
        <v>12</v>
      </c>
      <c r="E42" s="6">
        <v>76997</v>
      </c>
    </row>
    <row r="43" spans="1:5" x14ac:dyDescent="0.3">
      <c r="A43" s="4" t="s">
        <v>9</v>
      </c>
      <c r="B43" s="5" t="s">
        <v>10</v>
      </c>
      <c r="C43" s="5" t="s">
        <v>7</v>
      </c>
      <c r="D43" s="5" t="s">
        <v>12</v>
      </c>
      <c r="E43" s="6">
        <v>148442</v>
      </c>
    </row>
    <row r="44" spans="1:5" x14ac:dyDescent="0.3">
      <c r="A44" s="4" t="s">
        <v>13</v>
      </c>
      <c r="B44" s="5" t="s">
        <v>10</v>
      </c>
      <c r="C44" s="5" t="s">
        <v>11</v>
      </c>
      <c r="D44" s="5" t="s">
        <v>12</v>
      </c>
      <c r="E44" s="6">
        <v>129500</v>
      </c>
    </row>
    <row r="45" spans="1:5" x14ac:dyDescent="0.3">
      <c r="A45" s="4" t="s">
        <v>14</v>
      </c>
      <c r="B45" s="5" t="s">
        <v>10</v>
      </c>
      <c r="C45" s="5" t="s">
        <v>23</v>
      </c>
      <c r="D45" s="5" t="s">
        <v>8</v>
      </c>
      <c r="E45" s="6">
        <v>133884</v>
      </c>
    </row>
    <row r="46" spans="1:5" x14ac:dyDescent="0.3">
      <c r="A46" s="4" t="s">
        <v>15</v>
      </c>
      <c r="B46" s="5" t="s">
        <v>6</v>
      </c>
      <c r="C46" s="5" t="s">
        <v>23</v>
      </c>
      <c r="D46" s="5" t="s">
        <v>8</v>
      </c>
      <c r="E46" s="6">
        <v>106065</v>
      </c>
    </row>
    <row r="47" spans="1:5" x14ac:dyDescent="0.3">
      <c r="A47" s="4" t="s">
        <v>16</v>
      </c>
      <c r="B47" s="5" t="s">
        <v>6</v>
      </c>
      <c r="C47" s="5" t="s">
        <v>23</v>
      </c>
      <c r="D47" s="5" t="s">
        <v>8</v>
      </c>
      <c r="E47" s="6">
        <v>82337</v>
      </c>
    </row>
    <row r="48" spans="1:5" x14ac:dyDescent="0.3">
      <c r="A48" s="4" t="s">
        <v>19</v>
      </c>
      <c r="B48" s="5" t="s">
        <v>17</v>
      </c>
      <c r="C48" s="5" t="s">
        <v>11</v>
      </c>
      <c r="D48" s="5" t="s">
        <v>12</v>
      </c>
      <c r="E48" s="6">
        <v>73197</v>
      </c>
    </row>
    <row r="49" spans="1:5" x14ac:dyDescent="0.3">
      <c r="A49" s="4" t="s">
        <v>20</v>
      </c>
      <c r="B49" s="5" t="s">
        <v>17</v>
      </c>
      <c r="C49" s="5" t="s">
        <v>7</v>
      </c>
      <c r="D49" s="5" t="s">
        <v>12</v>
      </c>
      <c r="E49" s="6">
        <v>119829</v>
      </c>
    </row>
    <row r="50" spans="1:5" x14ac:dyDescent="0.3">
      <c r="A50" s="4" t="s">
        <v>21</v>
      </c>
      <c r="B50" s="5" t="s">
        <v>17</v>
      </c>
      <c r="C50" s="5" t="s">
        <v>7</v>
      </c>
      <c r="D50" s="5" t="s">
        <v>12</v>
      </c>
      <c r="E50" s="6">
        <v>92926</v>
      </c>
    </row>
    <row r="51" spans="1:5" x14ac:dyDescent="0.3">
      <c r="A51" s="7" t="s">
        <v>22</v>
      </c>
      <c r="B51" s="8" t="s">
        <v>6</v>
      </c>
      <c r="C51" s="8" t="s">
        <v>18</v>
      </c>
      <c r="D51" s="8" t="s">
        <v>8</v>
      </c>
      <c r="E51" s="9">
        <v>88313</v>
      </c>
    </row>
    <row r="52" spans="1:5" x14ac:dyDescent="0.3">
      <c r="A52" s="10" t="s">
        <v>26</v>
      </c>
      <c r="B52" s="10" t="s">
        <v>10</v>
      </c>
      <c r="C52" s="10" t="s">
        <v>25</v>
      </c>
      <c r="D52" s="10" t="s">
        <v>12</v>
      </c>
      <c r="E52" s="10">
        <v>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Main pivot</vt:lpstr>
      <vt:lpstr>main data</vt:lpstr>
      <vt:lpstr>main shot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faiz</dc:creator>
  <cp:lastModifiedBy>Md faiz</cp:lastModifiedBy>
  <dcterms:created xsi:type="dcterms:W3CDTF">2025-10-18T08:46:04Z</dcterms:created>
  <dcterms:modified xsi:type="dcterms:W3CDTF">2025-10-19T12:23:57Z</dcterms:modified>
</cp:coreProperties>
</file>